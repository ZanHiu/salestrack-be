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KHACH HANG" sheetId="1" r:id="rId1"/>
    <sheet name="SL TỔNG THEO SẢN PHẨM" sheetId="2" r:id="rId2"/>
    <sheet name="THEO KHÁCH HÀNG" sheetId="6" r:id="rId3"/>
    <sheet name="DMSP" sheetId="9" r:id="rId4"/>
    <sheet name="IN" sheetId="8" r:id="rId5"/>
    <sheet name="CHUYEN SỐ" sheetId="10" r:id="rId6"/>
  </sheets>
  <definedNames>
    <definedName name="_xlnm._FilterDatabase" localSheetId="0" hidden="1">'KHACH HANG'!$A$5:$T$2133</definedName>
    <definedName name="_xlnm._FilterDatabase" localSheetId="2" hidden="1">'THEO KHÁCH HÀNG'!$A$5:$S$62</definedName>
    <definedName name="_xlnm._FilterDatabase" localSheetId="4" hidden="1">IN!$A$3:$S$41</definedName>
    <definedName name="_xlnm._FilterDatabase" localSheetId="5" hidden="1">'CHUYEN SỐ'!$B$8:$B$35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<sst xmlns="http://schemas.openxmlformats.org/spreadsheetml/2006/main" count="425" uniqueCount="119">
  <si>
    <t>KẾ HOẠCH PHÂN BỔ DOANH SỐ 2017 TỈNH……..</t>
  </si>
  <si>
    <t>DOANH SỐ THỰC HIỆN THEO TỪNG THÁNG</t>
  </si>
  <si>
    <t>DS THEO TỪNG THÁNG</t>
  </si>
  <si>
    <t>NHÂN VIÊN</t>
  </si>
  <si>
    <t>TÊN KH</t>
  </si>
  <si>
    <t>TT</t>
  </si>
  <si>
    <t>PHÂN LOẠI SP</t>
  </si>
  <si>
    <t>SẢN PHẨM</t>
  </si>
  <si>
    <t>total</t>
  </si>
  <si>
    <t>Grand Total</t>
  </si>
  <si>
    <t>TOTAL</t>
  </si>
  <si>
    <t>VÕ ĐÔNG CUNG</t>
  </si>
  <si>
    <t xml:space="preserve">GIÁO CÔNG </t>
  </si>
  <si>
    <t>REACH</t>
  </si>
  <si>
    <t xml:space="preserve">TRUNG DŨNG </t>
  </si>
  <si>
    <t xml:space="preserve">TRẦN VĂN KIỀN </t>
  </si>
  <si>
    <t xml:space="preserve">MỸ DUNG </t>
  </si>
  <si>
    <t xml:space="preserve">HÙNG BẾ </t>
  </si>
  <si>
    <t xml:space="preserve">TƯ NHIỀU </t>
  </si>
  <si>
    <t>VHD</t>
  </si>
  <si>
    <t xml:space="preserve">MINH TRIỀU </t>
  </si>
  <si>
    <t xml:space="preserve">THÀNH ĐẠT </t>
  </si>
  <si>
    <t xml:space="preserve">THANH TÂM </t>
  </si>
  <si>
    <t xml:space="preserve">THANH LIÊM </t>
  </si>
  <si>
    <t xml:space="preserve">KIM DUNG </t>
  </si>
  <si>
    <t xml:space="preserve">BA THƠ </t>
  </si>
  <si>
    <t xml:space="preserve">GIÁO DẨN </t>
  </si>
  <si>
    <t xml:space="preserve">TƯ HỪNG </t>
  </si>
  <si>
    <t xml:space="preserve">HOÀNG PHÁT </t>
  </si>
  <si>
    <t xml:space="preserve">PHƯỚC LỢI </t>
  </si>
  <si>
    <t xml:space="preserve">NGHĨA THẮM </t>
  </si>
  <si>
    <t xml:space="preserve">THANH TUẤN </t>
  </si>
  <si>
    <t>KHUYA</t>
  </si>
  <si>
    <t>TRIỆU Đồng</t>
  </si>
  <si>
    <t>KẾ HOẠCH DOANH SỐ THEO SẢN PHẨM NĂM 2020 VÙNG.....................</t>
  </si>
  <si>
    <t>NHÓM SP</t>
  </si>
  <si>
    <t xml:space="preserve">TỔNG </t>
  </si>
  <si>
    <t>CỘT</t>
  </si>
  <si>
    <t>TỪ</t>
  </si>
  <si>
    <t>ĐẾN</t>
  </si>
  <si>
    <t>ĐL 1234</t>
  </si>
  <si>
    <t>X</t>
  </si>
  <si>
    <t>DSUM('NHAN VIEN'!$E$5:$Q$2133,"1"</t>
  </si>
  <si>
    <t>Y</t>
  </si>
  <si>
    <t>Z</t>
  </si>
  <si>
    <t>AA</t>
  </si>
  <si>
    <t>AB</t>
  </si>
  <si>
    <t>AC</t>
  </si>
  <si>
    <t>TONG DL</t>
  </si>
  <si>
    <t>TRIỆU ĐỒNG</t>
  </si>
  <si>
    <t>DOANH SO THEO THÁNG</t>
  </si>
  <si>
    <t>tt</t>
  </si>
  <si>
    <t>TEN KH</t>
  </si>
  <si>
    <t>TỔNG CHỈ TIÊU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</si>
  <si>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</si>
  <si>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</si>
  <si>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</si>
  <si>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</si>
  <si>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</si>
  <si>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</si>
  <si>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</si>
  <si>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</si>
  <si>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</si>
  <si>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</si>
  <si>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</si>
  <si>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</si>
  <si>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Tổng cộng</t>
  </si>
  <si>
    <t>1.TOBA XANH</t>
  </si>
  <si>
    <t>TOBA GOLD</t>
  </si>
  <si>
    <t>TOBA XANH</t>
  </si>
  <si>
    <t>2.HC</t>
  </si>
  <si>
    <t>HC BOOSTER</t>
  </si>
  <si>
    <t>HC KING-ROOT</t>
  </si>
  <si>
    <t>HAPPY FARM</t>
  </si>
  <si>
    <t>WOW</t>
  </si>
  <si>
    <t xml:space="preserve">3.SPRAY </t>
  </si>
  <si>
    <t>KELPIT</t>
  </si>
  <si>
    <t>SI-K</t>
  </si>
  <si>
    <t>SPRAY PHOS 620</t>
  </si>
  <si>
    <t>4.DƯỠNG RỄ</t>
  </si>
  <si>
    <t>CHITOSAN</t>
  </si>
  <si>
    <t>ĐẠM CÁ</t>
  </si>
  <si>
    <t>ĐẠM TÔM</t>
  </si>
  <si>
    <t>SUPERMIC</t>
  </si>
  <si>
    <t>5.TRUYỀN THỐNG</t>
  </si>
  <si>
    <t>CABO</t>
  </si>
  <si>
    <t>F94</t>
  </si>
  <si>
    <t>F95</t>
  </si>
  <si>
    <t>THIOURE</t>
  </si>
  <si>
    <t>TOBA JUM</t>
  </si>
  <si>
    <t>TOBA NET</t>
  </si>
  <si>
    <t>6.BVTV</t>
  </si>
  <si>
    <t>ABAFAX 1.8</t>
  </si>
  <si>
    <t>ABAFAX 3.6</t>
  </si>
  <si>
    <t>AZET</t>
  </si>
  <si>
    <t>BACBA</t>
  </si>
  <si>
    <t>BIOROSAMIL</t>
  </si>
  <si>
    <t>COC 86</t>
  </si>
  <si>
    <t>HEXA 5</t>
  </si>
  <si>
    <t>TAMALA</t>
  </si>
  <si>
    <t>7.KHÁC</t>
  </si>
  <si>
    <t>KẼM VÀNG</t>
  </si>
  <si>
    <t>KHÁC1</t>
  </si>
  <si>
    <t>KHÁC2</t>
  </si>
  <si>
    <t>RỬA RONG RÊU</t>
  </si>
  <si>
    <t>TB BO</t>
  </si>
  <si>
    <t>TB FRUIT</t>
  </si>
  <si>
    <t>TB PHOS</t>
  </si>
  <si>
    <t>TOBA BÁM DÍNH</t>
  </si>
  <si>
    <t>VỌT HOA NHÃN</t>
  </si>
  <si>
    <t>VỌT HOA XOÀI</t>
  </si>
  <si>
    <t>LÊ VĂN THIỆN</t>
  </si>
  <si>
    <t>ĐL SỐ 1</t>
  </si>
  <si>
    <t>2.HC ÚC</t>
  </si>
  <si>
    <t>HC KING</t>
  </si>
  <si>
    <t>HC ROOT</t>
  </si>
  <si>
    <t>AMINO</t>
  </si>
  <si>
    <t xml:space="preserve">VÕ HOÀNG DŨNG </t>
  </si>
  <si>
    <t>THIỆN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</si>
</sst>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\ _₫_-;\-* #,##0\ _₫_-;_-* &quot;-&quot;\ _₫_-;_-@_-"/>
    <numFmt numFmtId="176" formatCode="_(* #,##0.00_);_(* \(#,##0.00\);_(* &quot;-&quot;??_);_(@_)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_);_(* \(#,##0\);_(* &quot;-&quot;??_);_(@_)"/>
    <numFmt numFmtId="181" formatCode="0.0%"/>
    <numFmt numFmtId="182" formatCode="#,##0.0_ ;\-#,##0.0\ "/>
    <numFmt numFmtId="183" formatCode="_(* #,##0.0_);_(* \(#,##0.0\);_(* &quot;-&quot;??_);_(@_)"/>
  </numFmts>
  <fonts count="68">
    <font>
      <sz val="12"/>
      <color theme="1"/>
      <name val="Times New Roman"/>
      <charset val="134"/>
    </font>
    <font>
      <b/>
      <sz val="10"/>
      <color theme="0"/>
      <name val="Arial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b/>
      <sz val="10"/>
      <color rgb="FFFF0000"/>
      <name val="Arial"/>
      <charset val="134"/>
    </font>
    <font>
      <b/>
      <sz val="26"/>
      <color theme="1"/>
      <name val="Times New Roman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theme="1"/>
      <name val="Times New Roman"/>
      <charset val="134"/>
    </font>
    <font>
      <b/>
      <sz val="24"/>
      <color theme="1"/>
      <name val="Times New Roman"/>
      <charset val="134"/>
    </font>
    <font>
      <sz val="20"/>
      <color rgb="FFFF0000"/>
      <name val="Times New Roman"/>
      <charset val="134"/>
    </font>
    <font>
      <b/>
      <sz val="14"/>
      <color theme="0"/>
      <name val="Arial"/>
      <charset val="134"/>
    </font>
    <font>
      <b/>
      <sz val="12"/>
      <name val="Arial"/>
      <charset val="134"/>
    </font>
    <font>
      <b/>
      <sz val="11"/>
      <name val="Calibri"/>
      <charset val="134"/>
    </font>
    <font>
      <sz val="12"/>
      <color theme="1"/>
      <name val="Times New Roman"/>
      <charset val="134"/>
    </font>
    <font>
      <sz val="36"/>
      <color rgb="FFFF0000"/>
      <name val="Times New Roman"/>
      <charset val="134"/>
    </font>
    <font>
      <sz val="9.5"/>
      <name val="Arial"/>
      <charset val="134"/>
    </font>
    <font>
      <sz val="9.5"/>
      <name val="Times New Roman"/>
      <charset val="134"/>
    </font>
    <font>
      <b/>
      <sz val="9.5"/>
      <name val="Arial"/>
      <charset val="134"/>
    </font>
    <font>
      <sz val="9.5"/>
      <color theme="1"/>
      <name val="Calibri"/>
      <charset val="134"/>
    </font>
    <font>
      <b/>
      <sz val="9.5"/>
      <color theme="1"/>
      <name val="Calibri"/>
      <charset val="134"/>
    </font>
    <font>
      <b/>
      <sz val="9.5"/>
      <color rgb="FFFF0000"/>
      <name val="Arial"/>
      <charset val="134"/>
    </font>
    <font>
      <b/>
      <sz val="9.5"/>
      <color theme="1"/>
      <name val="Arial"/>
      <charset val="134"/>
    </font>
    <font>
      <sz val="9.5"/>
      <color theme="1"/>
      <name val="Times New Roman"/>
      <charset val="134"/>
    </font>
    <font>
      <sz val="9.5"/>
      <color rgb="FF0070C0"/>
      <name val="Calibri"/>
      <charset val="134"/>
    </font>
    <font>
      <b/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sz val="14"/>
      <name val="Arial"/>
      <charset val="134"/>
    </font>
    <font>
      <b/>
      <sz val="22"/>
      <name val="Arial"/>
      <charset val="134"/>
    </font>
    <font>
      <b/>
      <sz val="20"/>
      <name val="Arial"/>
      <charset val="134"/>
    </font>
    <font>
      <b/>
      <sz val="22"/>
      <color theme="0"/>
      <name val="Arial"/>
      <charset val="134"/>
    </font>
    <font>
      <b/>
      <sz val="16"/>
      <color theme="0"/>
      <name val="Times New Roman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24"/>
      <name val="Times New Roman"/>
      <charset val="134"/>
    </font>
    <font>
      <b/>
      <sz val="14"/>
      <color theme="1"/>
      <name val="Arial"/>
      <charset val="134"/>
    </font>
    <font>
      <b/>
      <sz val="20"/>
      <color theme="0"/>
      <name val="Times New Roman"/>
      <charset val="134"/>
    </font>
    <font>
      <b/>
      <sz val="14"/>
      <color theme="0"/>
      <name val="Times New Roman"/>
      <charset val="134"/>
    </font>
    <font>
      <b/>
      <sz val="12"/>
      <color theme="0"/>
      <name val="Arial"/>
      <charset val="134"/>
    </font>
    <font>
      <b/>
      <sz val="14"/>
      <color theme="1"/>
      <name val="Calibri"/>
      <charset val="134"/>
    </font>
    <font>
      <b/>
      <sz val="10"/>
      <color theme="1"/>
      <name val="Arial"/>
      <charset val="134"/>
    </font>
    <font>
      <b/>
      <sz val="12"/>
      <color theme="0"/>
      <name val="Calibri"/>
      <charset val="134"/>
    </font>
    <font>
      <b/>
      <sz val="16"/>
      <color theme="1"/>
      <name val="Arial"/>
      <charset val="134"/>
    </font>
    <font>
      <sz val="10"/>
      <name val="Times New Roman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177" fontId="4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48" fillId="0" borderId="0" applyFont="0" applyFill="0" applyBorder="0" applyAlignment="0" applyProtection="0">
      <alignment vertical="center"/>
    </xf>
    <xf numFmtId="179" fontId="48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12" borderId="15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3" borderId="18" applyNumberFormat="0" applyAlignment="0" applyProtection="0">
      <alignment vertical="center"/>
    </xf>
    <xf numFmtId="0" fontId="58" fillId="14" borderId="19" applyNumberFormat="0" applyAlignment="0" applyProtection="0">
      <alignment vertical="center"/>
    </xf>
    <xf numFmtId="0" fontId="59" fillId="14" borderId="18" applyNumberFormat="0" applyAlignment="0" applyProtection="0">
      <alignment vertical="center"/>
    </xf>
    <xf numFmtId="0" fontId="60" fillId="15" borderId="20" applyNumberFormat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7" fillId="0" borderId="0"/>
    <xf numFmtId="0" fontId="7" fillId="0" borderId="0"/>
    <xf numFmtId="9" fontId="0" fillId="0" borderId="0" applyFont="0" applyFill="0" applyBorder="0" applyAlignment="0" applyProtection="0"/>
  </cellStyleXfs>
  <cellXfs count="177">
    <xf numFmtId="0" fontId="0" fillId="0" borderId="0" xfId="0"/>
    <xf numFmtId="180" fontId="1" fillId="2" borderId="1" xfId="51" applyNumberFormat="1" applyFont="1" applyFill="1" applyBorder="1" applyAlignment="1" applyProtection="1">
      <alignment horizontal="left" vertical="top"/>
      <protection locked="0"/>
    </xf>
    <xf numFmtId="0" fontId="2" fillId="3" borderId="2" xfId="51" applyFont="1" applyFill="1" applyBorder="1" applyAlignment="1">
      <alignment horizontal="left" vertical="center"/>
    </xf>
    <xf numFmtId="180" fontId="3" fillId="0" borderId="1" xfId="1" applyNumberFormat="1" applyFont="1" applyFill="1" applyBorder="1" applyAlignment="1" applyProtection="1">
      <alignment horizontal="left" vertical="center"/>
      <protection locked="0"/>
    </xf>
    <xf numFmtId="181" fontId="0" fillId="0" borderId="0" xfId="3" applyNumberFormat="1" applyFont="1"/>
    <xf numFmtId="180" fontId="4" fillId="0" borderId="1" xfId="1" applyNumberFormat="1" applyFont="1" applyFill="1" applyBorder="1" applyAlignment="1" applyProtection="1">
      <protection locked="0"/>
    </xf>
    <xf numFmtId="180" fontId="5" fillId="0" borderId="1" xfId="51" applyNumberFormat="1" applyFont="1" applyBorder="1"/>
    <xf numFmtId="180" fontId="6" fillId="0" borderId="3" xfId="0" applyNumberFormat="1" applyFont="1" applyBorder="1" applyAlignment="1">
      <alignment horizontal="center" vertical="center"/>
    </xf>
    <xf numFmtId="180" fontId="4" fillId="4" borderId="1" xfId="1" applyNumberFormat="1" applyFont="1" applyFill="1" applyBorder="1" applyAlignment="1" applyProtection="1">
      <protection locked="0"/>
    </xf>
    <xf numFmtId="180" fontId="7" fillId="0" borderId="1" xfId="50" applyNumberFormat="1" applyFont="1" applyFill="1" applyBorder="1" applyAlignment="1" applyProtection="1">
      <protection locked="0"/>
    </xf>
    <xf numFmtId="0" fontId="7" fillId="0" borderId="1" xfId="51" applyBorder="1" applyProtection="1">
      <protection locked="0"/>
    </xf>
    <xf numFmtId="180" fontId="8" fillId="0" borderId="1" xfId="51" applyNumberFormat="1" applyFont="1" applyBorder="1" applyProtection="1">
      <protection locked="0"/>
    </xf>
    <xf numFmtId="0" fontId="6" fillId="0" borderId="3" xfId="0" applyFont="1" applyBorder="1" applyAlignment="1">
      <alignment horizontal="center" vertical="center"/>
    </xf>
    <xf numFmtId="180" fontId="0" fillId="0" borderId="0" xfId="1" applyNumberFormat="1" applyFont="1"/>
    <xf numFmtId="180" fontId="0" fillId="0" borderId="0" xfId="0" applyNumberFormat="1"/>
    <xf numFmtId="180" fontId="9" fillId="0" borderId="1" xfId="50" applyNumberFormat="1" applyFont="1" applyFill="1" applyBorder="1" applyAlignment="1" applyProtection="1">
      <protection locked="0"/>
    </xf>
    <xf numFmtId="181" fontId="0" fillId="0" borderId="0" xfId="53" applyNumberFormat="1" applyFont="1"/>
    <xf numFmtId="181" fontId="10" fillId="5" borderId="0" xfId="53" applyNumberFormat="1" applyFont="1" applyFill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2" borderId="5" xfId="51" applyFont="1" applyFill="1" applyBorder="1" applyAlignment="1" applyProtection="1">
      <alignment horizontal="left" vertical="top" wrapText="1"/>
      <protection locked="0"/>
    </xf>
    <xf numFmtId="180" fontId="13" fillId="6" borderId="1" xfId="1" applyNumberFormat="1" applyFont="1" applyFill="1" applyBorder="1" applyAlignment="1" applyProtection="1">
      <alignment horizontal="center" vertical="top" wrapText="1"/>
      <protection locked="0"/>
    </xf>
    <xf numFmtId="180" fontId="14" fillId="6" borderId="1" xfId="1" applyNumberFormat="1" applyFont="1" applyFill="1" applyBorder="1" applyAlignment="1" applyProtection="1">
      <alignment horizontal="left" vertical="center"/>
      <protection locked="0"/>
    </xf>
    <xf numFmtId="176" fontId="0" fillId="0" borderId="0" xfId="0" applyNumberFormat="1"/>
    <xf numFmtId="3" fontId="15" fillId="0" borderId="1" xfId="0" applyNumberFormat="1" applyFont="1" applyBorder="1" applyProtection="1">
      <protection locked="0"/>
    </xf>
    <xf numFmtId="180" fontId="5" fillId="0" borderId="1" xfId="51" applyNumberFormat="1" applyFont="1" applyBorder="1" applyProtection="1">
      <protection locked="0"/>
    </xf>
    <xf numFmtId="180" fontId="5" fillId="0" borderId="1" xfId="50" applyNumberFormat="1" applyFont="1" applyFill="1" applyBorder="1" applyAlignment="1" applyProtection="1">
      <protection locked="0"/>
    </xf>
    <xf numFmtId="180" fontId="8" fillId="0" borderId="1" xfId="50" applyNumberFormat="1" applyFont="1" applyFill="1" applyBorder="1" applyAlignment="1" applyProtection="1">
      <protection locked="0"/>
    </xf>
    <xf numFmtId="176" fontId="16" fillId="5" borderId="0" xfId="0" applyNumberFormat="1" applyFont="1" applyFill="1"/>
    <xf numFmtId="0" fontId="7" fillId="0" borderId="0" xfId="51" applyAlignment="1">
      <alignment horizontal="left" vertical="top"/>
    </xf>
    <xf numFmtId="0" fontId="17" fillId="0" borderId="0" xfId="51" applyFont="1"/>
    <xf numFmtId="0" fontId="7" fillId="0" borderId="0" xfId="51"/>
    <xf numFmtId="0" fontId="8" fillId="0" borderId="0" xfId="51" applyFont="1"/>
    <xf numFmtId="180" fontId="9" fillId="0" borderId="0" xfId="50" applyNumberFormat="1" applyFont="1" applyAlignment="1"/>
    <xf numFmtId="0" fontId="8" fillId="0" borderId="0" xfId="51" applyFont="1" applyAlignment="1">
      <alignment horizontal="center" vertical="center" wrapText="1"/>
    </xf>
    <xf numFmtId="180" fontId="7" fillId="0" borderId="6" xfId="50" applyNumberFormat="1" applyFont="1" applyBorder="1" applyAlignment="1"/>
    <xf numFmtId="180" fontId="9" fillId="0" borderId="6" xfId="50" applyNumberFormat="1" applyFont="1" applyBorder="1" applyAlignment="1"/>
    <xf numFmtId="0" fontId="1" fillId="2" borderId="6" xfId="51" applyFont="1" applyFill="1" applyBorder="1" applyAlignment="1" applyProtection="1">
      <alignment horizontal="left" vertical="top" wrapText="1"/>
      <protection locked="0"/>
    </xf>
    <xf numFmtId="0" fontId="1" fillId="2" borderId="5" xfId="51" applyFont="1" applyFill="1" applyBorder="1" applyAlignment="1" applyProtection="1">
      <alignment horizontal="left" vertical="top" wrapText="1"/>
      <protection locked="0"/>
    </xf>
    <xf numFmtId="0" fontId="1" fillId="2" borderId="5" xfId="51" applyFont="1" applyFill="1" applyBorder="1" applyAlignment="1" applyProtection="1">
      <alignment vertical="top" wrapText="1"/>
      <protection locked="0"/>
    </xf>
    <xf numFmtId="0" fontId="1" fillId="2" borderId="1" xfId="51" applyFont="1" applyFill="1" applyBorder="1" applyAlignment="1" applyProtection="1">
      <alignment horizontal="left" vertical="top" wrapText="1"/>
      <protection locked="0"/>
    </xf>
    <xf numFmtId="180" fontId="8" fillId="0" borderId="1" xfId="51" applyNumberFormat="1" applyFont="1" applyBorder="1" applyAlignment="1" applyProtection="1">
      <alignment horizontal="left" vertical="top"/>
      <protection locked="0"/>
    </xf>
    <xf numFmtId="0" fontId="18" fillId="7" borderId="7" xfId="51" applyFont="1" applyFill="1" applyBorder="1" applyAlignment="1" applyProtection="1">
      <alignment vertical="center" textRotation="90"/>
      <protection locked="0"/>
    </xf>
    <xf numFmtId="0" fontId="19" fillId="8" borderId="6" xfId="51" applyFont="1" applyFill="1" applyBorder="1" applyAlignment="1" applyProtection="1">
      <alignment horizontal="center" vertical="center" textRotation="90"/>
      <protection locked="0"/>
    </xf>
    <xf numFmtId="0" fontId="20" fillId="3" borderId="2" xfId="51" applyFont="1" applyFill="1" applyBorder="1" applyAlignment="1" applyProtection="1">
      <alignment horizontal="center" vertical="center"/>
      <protection locked="0"/>
    </xf>
    <xf numFmtId="0" fontId="20" fillId="3" borderId="2" xfId="51" applyFont="1" applyFill="1" applyBorder="1" applyAlignment="1" applyProtection="1">
      <alignment vertical="center"/>
      <protection locked="0"/>
    </xf>
    <xf numFmtId="0" fontId="21" fillId="0" borderId="1" xfId="51" applyFont="1" applyBorder="1" applyAlignment="1" applyProtection="1">
      <alignment horizontal="left" vertical="center"/>
      <protection locked="0"/>
    </xf>
    <xf numFmtId="180" fontId="17" fillId="0" borderId="1" xfId="50" applyNumberFormat="1" applyFont="1" applyFill="1" applyBorder="1" applyAlignment="1" applyProtection="1">
      <protection locked="0"/>
    </xf>
    <xf numFmtId="0" fontId="17" fillId="0" borderId="1" xfId="51" applyFont="1" applyBorder="1" applyProtection="1">
      <protection locked="0"/>
    </xf>
    <xf numFmtId="180" fontId="19" fillId="0" borderId="1" xfId="51" applyNumberFormat="1" applyFont="1" applyBorder="1" applyProtection="1">
      <protection locked="0"/>
    </xf>
    <xf numFmtId="180" fontId="22" fillId="0" borderId="1" xfId="51" applyNumberFormat="1" applyFont="1" applyBorder="1"/>
    <xf numFmtId="182" fontId="23" fillId="0" borderId="6" xfId="49" applyNumberFormat="1" applyFont="1" applyFill="1" applyBorder="1" applyAlignment="1" applyProtection="1">
      <alignment horizontal="center" vertical="center" textRotation="1"/>
    </xf>
    <xf numFmtId="0" fontId="18" fillId="7" borderId="4" xfId="51" applyFont="1" applyFill="1" applyBorder="1" applyAlignment="1" applyProtection="1">
      <alignment vertical="center" textRotation="90"/>
      <protection locked="0"/>
    </xf>
    <xf numFmtId="0" fontId="19" fillId="8" borderId="8" xfId="51" applyFont="1" applyFill="1" applyBorder="1" applyAlignment="1" applyProtection="1">
      <alignment horizontal="center" vertical="center" textRotation="90"/>
      <protection locked="0"/>
    </xf>
    <xf numFmtId="182" fontId="23" fillId="0" borderId="8" xfId="49" applyNumberFormat="1" applyFont="1" applyFill="1" applyBorder="1" applyAlignment="1" applyProtection="1">
      <alignment horizontal="center" vertical="center" textRotation="1"/>
    </xf>
    <xf numFmtId="180" fontId="24" fillId="0" borderId="1" xfId="50" applyNumberFormat="1" applyFont="1" applyFill="1" applyBorder="1" applyAlignment="1" applyProtection="1">
      <protection locked="0"/>
    </xf>
    <xf numFmtId="0" fontId="25" fillId="3" borderId="2" xfId="51" applyFont="1" applyFill="1" applyBorder="1" applyAlignment="1" applyProtection="1">
      <alignment vertical="center"/>
      <protection locked="0"/>
    </xf>
    <xf numFmtId="58" fontId="21" fillId="0" borderId="1" xfId="51" applyNumberFormat="1" applyFont="1" applyBorder="1" applyAlignment="1" applyProtection="1">
      <alignment horizontal="left" vertical="center"/>
      <protection locked="0"/>
    </xf>
    <xf numFmtId="180" fontId="22" fillId="0" borderId="1" xfId="51" applyNumberFormat="1" applyFont="1" applyBorder="1" applyProtection="1">
      <protection locked="0"/>
    </xf>
    <xf numFmtId="180" fontId="22" fillId="0" borderId="1" xfId="50" applyNumberFormat="1" applyFont="1" applyFill="1" applyBorder="1" applyAlignment="1" applyProtection="1">
      <protection locked="0"/>
    </xf>
    <xf numFmtId="180" fontId="19" fillId="0" borderId="1" xfId="50" applyNumberFormat="1" applyFont="1" applyFill="1" applyBorder="1" applyAlignment="1" applyProtection="1">
      <protection locked="0"/>
    </xf>
    <xf numFmtId="0" fontId="19" fillId="8" borderId="9" xfId="51" applyFont="1" applyFill="1" applyBorder="1" applyAlignment="1" applyProtection="1">
      <alignment horizontal="center" vertical="center" textRotation="90"/>
      <protection locked="0"/>
    </xf>
    <xf numFmtId="0" fontId="21" fillId="9" borderId="2" xfId="51" applyFont="1" applyFill="1" applyBorder="1" applyAlignment="1">
      <alignment horizontal="center" vertical="center"/>
    </xf>
    <xf numFmtId="0" fontId="20" fillId="3" borderId="2" xfId="51" applyFont="1" applyFill="1" applyBorder="1" applyAlignment="1">
      <alignment vertical="center"/>
    </xf>
    <xf numFmtId="182" fontId="23" fillId="0" borderId="9" xfId="49" applyNumberFormat="1" applyFont="1" applyFill="1" applyBorder="1" applyAlignment="1" applyProtection="1">
      <alignment horizontal="center" vertical="center" textRotation="1"/>
    </xf>
    <xf numFmtId="0" fontId="0" fillId="0" borderId="1" xfId="0" applyBorder="1" applyProtection="1"/>
    <xf numFmtId="0" fontId="15" fillId="0" borderId="1" xfId="0" applyFont="1" applyBorder="1" applyProtection="1"/>
    <xf numFmtId="0" fontId="26" fillId="0" borderId="1" xfId="51" applyFont="1" applyBorder="1" applyAlignment="1" applyProtection="1">
      <alignment horizontal="left" vertical="center"/>
    </xf>
    <xf numFmtId="0" fontId="27" fillId="5" borderId="1" xfId="0" applyFont="1" applyFill="1" applyBorder="1" applyProtection="1"/>
    <xf numFmtId="0" fontId="27" fillId="5" borderId="1" xfId="51" applyFont="1" applyFill="1" applyBorder="1" applyAlignment="1" applyProtection="1">
      <alignment horizontal="left" vertical="center"/>
    </xf>
    <xf numFmtId="0" fontId="28" fillId="0" borderId="0" xfId="51" applyFont="1" applyAlignment="1" applyProtection="1">
      <alignment horizontal="left" vertical="top" wrapText="1"/>
      <protection locked="0"/>
    </xf>
    <xf numFmtId="0" fontId="7" fillId="0" borderId="0" xfId="51" applyProtection="1">
      <protection locked="0"/>
    </xf>
    <xf numFmtId="180" fontId="7" fillId="0" borderId="0" xfId="1" applyNumberFormat="1" applyFont="1" applyAlignment="1" applyProtection="1">
      <protection locked="0"/>
    </xf>
    <xf numFmtId="180" fontId="0" fillId="0" borderId="0" xfId="50" applyNumberFormat="1" applyFont="1" applyAlignment="1" applyProtection="1">
      <protection locked="0"/>
    </xf>
    <xf numFmtId="0" fontId="29" fillId="0" borderId="0" xfId="51" applyFont="1" applyAlignment="1" applyProtection="1">
      <alignment horizontal="center" vertical="center" wrapText="1"/>
      <protection locked="0"/>
    </xf>
    <xf numFmtId="180" fontId="7" fillId="0" borderId="6" xfId="50" applyNumberFormat="1" applyFont="1" applyBorder="1" applyAlignment="1" applyProtection="1">
      <protection locked="0"/>
    </xf>
    <xf numFmtId="0" fontId="30" fillId="0" borderId="3" xfId="51" applyFont="1" applyBorder="1" applyAlignment="1" applyProtection="1">
      <alignment horizontal="left"/>
      <protection locked="0"/>
    </xf>
    <xf numFmtId="0" fontId="30" fillId="0" borderId="0" xfId="51" applyFont="1" applyAlignment="1" applyProtection="1">
      <alignment horizontal="left"/>
      <protection locked="0"/>
    </xf>
    <xf numFmtId="180" fontId="31" fillId="10" borderId="10" xfId="51" applyNumberFormat="1" applyFont="1" applyFill="1" applyBorder="1" applyAlignment="1">
      <alignment horizontal="left" vertical="center"/>
    </xf>
    <xf numFmtId="180" fontId="31" fillId="10" borderId="11" xfId="51" applyNumberFormat="1" applyFont="1" applyFill="1" applyBorder="1" applyAlignment="1">
      <alignment horizontal="left" vertical="center"/>
    </xf>
    <xf numFmtId="180" fontId="32" fillId="10" borderId="0" xfId="50" applyNumberFormat="1" applyFont="1" applyFill="1" applyAlignment="1" applyProtection="1">
      <alignment horizontal="center" vertical="center" wrapText="1"/>
      <protection locked="0"/>
    </xf>
    <xf numFmtId="0" fontId="30" fillId="0" borderId="12" xfId="51" applyFont="1" applyBorder="1" applyAlignment="1" applyProtection="1">
      <alignment horizontal="left"/>
      <protection locked="0"/>
    </xf>
    <xf numFmtId="0" fontId="30" fillId="0" borderId="10" xfId="51" applyFont="1" applyBorder="1" applyAlignment="1" applyProtection="1">
      <alignment horizontal="left"/>
      <protection locked="0"/>
    </xf>
    <xf numFmtId="180" fontId="7" fillId="0" borderId="1" xfId="51" applyNumberFormat="1" applyBorder="1" applyProtection="1">
      <protection locked="0"/>
    </xf>
    <xf numFmtId="0" fontId="33" fillId="0" borderId="13" xfId="51" applyFont="1" applyBorder="1" applyAlignment="1" applyProtection="1">
      <alignment horizontal="left" vertical="center"/>
      <protection locked="0"/>
    </xf>
    <xf numFmtId="0" fontId="33" fillId="0" borderId="14" xfId="51" applyFont="1" applyBorder="1" applyAlignment="1" applyProtection="1">
      <alignment horizontal="left" vertical="center"/>
      <protection locked="0"/>
    </xf>
    <xf numFmtId="180" fontId="13" fillId="5" borderId="1" xfId="51" applyNumberFormat="1" applyFont="1" applyFill="1" applyBorder="1" applyAlignment="1">
      <alignment horizontal="center" shrinkToFit="1"/>
    </xf>
    <xf numFmtId="0" fontId="12" fillId="2" borderId="6" xfId="51" applyFont="1" applyFill="1" applyBorder="1" applyAlignment="1" applyProtection="1">
      <alignment horizontal="left" vertical="top" wrapText="1"/>
      <protection locked="0"/>
    </xf>
    <xf numFmtId="180" fontId="12" fillId="2" borderId="1" xfId="1" applyNumberFormat="1" applyFont="1" applyFill="1" applyBorder="1" applyAlignment="1" applyProtection="1">
      <alignment horizontal="left" vertical="top" wrapText="1"/>
      <protection locked="0"/>
    </xf>
    <xf numFmtId="180" fontId="12" fillId="2" borderId="1" xfId="51" applyNumberFormat="1" applyFont="1" applyFill="1" applyBorder="1" applyAlignment="1" applyProtection="1">
      <alignment horizontal="left" vertical="top" wrapText="1"/>
      <protection locked="0"/>
    </xf>
    <xf numFmtId="180" fontId="34" fillId="0" borderId="1" xfId="51" applyNumberFormat="1" applyFont="1" applyBorder="1" applyAlignment="1" applyProtection="1">
      <alignment horizontal="left" vertical="top" wrapText="1"/>
      <protection locked="0"/>
    </xf>
    <xf numFmtId="0" fontId="35" fillId="7" borderId="4" xfId="51" applyFont="1" applyFill="1" applyBorder="1" applyAlignment="1" applyProtection="1">
      <alignment horizontal="center" vertical="center" textRotation="90"/>
      <protection locked="0"/>
    </xf>
    <xf numFmtId="0" fontId="8" fillId="8" borderId="9" xfId="51" applyFont="1" applyFill="1" applyBorder="1" applyAlignment="1" applyProtection="1">
      <alignment horizontal="center" vertical="center" textRotation="90"/>
      <protection locked="0"/>
    </xf>
    <xf numFmtId="1" fontId="8" fillId="8" borderId="12" xfId="51" applyNumberFormat="1" applyFont="1" applyFill="1" applyBorder="1" applyAlignment="1" applyProtection="1">
      <alignment horizontal="center" vertical="center"/>
      <protection locked="0"/>
    </xf>
    <xf numFmtId="180" fontId="7" fillId="0" borderId="1" xfId="50" applyNumberFormat="1" applyFont="1" applyFill="1" applyBorder="1" applyAlignment="1" applyProtection="1"/>
    <xf numFmtId="182" fontId="36" fillId="0" borderId="1" xfId="49" applyNumberFormat="1" applyFont="1" applyFill="1" applyBorder="1" applyAlignment="1" applyProtection="1">
      <alignment horizontal="center" vertical="center" textRotation="1"/>
      <protection locked="0"/>
    </xf>
    <xf numFmtId="0" fontId="8" fillId="8" borderId="12" xfId="51" applyFont="1" applyFill="1" applyBorder="1" applyAlignment="1" applyProtection="1">
      <alignment horizontal="center" vertical="center" textRotation="90"/>
      <protection locked="0"/>
    </xf>
    <xf numFmtId="0" fontId="2" fillId="3" borderId="1" xfId="51" applyFont="1" applyFill="1" applyBorder="1" applyAlignment="1">
      <alignment horizontal="left" vertical="center"/>
    </xf>
    <xf numFmtId="180" fontId="0" fillId="0" borderId="1" xfId="50" applyNumberFormat="1" applyFont="1" applyBorder="1" applyAlignment="1" applyProtection="1"/>
    <xf numFmtId="0" fontId="8" fillId="5" borderId="1" xfId="51" applyFont="1" applyFill="1" applyBorder="1" applyProtection="1">
      <protection locked="0"/>
    </xf>
    <xf numFmtId="180" fontId="7" fillId="5" borderId="1" xfId="1" applyNumberFormat="1" applyFont="1" applyFill="1" applyBorder="1" applyAlignment="1" applyProtection="1">
      <protection locked="0"/>
    </xf>
    <xf numFmtId="180" fontId="0" fillId="5" borderId="1" xfId="50" applyNumberFormat="1" applyFont="1" applyFill="1" applyBorder="1" applyAlignment="1" applyProtection="1"/>
    <xf numFmtId="183" fontId="26" fillId="5" borderId="1" xfId="50" applyNumberFormat="1" applyFont="1" applyFill="1" applyBorder="1" applyAlignment="1" applyProtection="1"/>
    <xf numFmtId="0" fontId="0" fillId="0" borderId="0" xfId="0" applyProtection="1">
      <protection locked="0"/>
    </xf>
    <xf numFmtId="0" fontId="0" fillId="0" borderId="0" xfId="0" applyFont="1" applyProtection="1">
      <protection locked="0"/>
    </xf>
    <xf numFmtId="180" fontId="37" fillId="10" borderId="10" xfId="1" applyNumberFormat="1" applyFont="1" applyFill="1" applyBorder="1" applyAlignment="1" applyProtection="1">
      <alignment horizontal="center" vertical="center"/>
    </xf>
    <xf numFmtId="180" fontId="38" fillId="10" borderId="10" xfId="1" applyNumberFormat="1" applyFont="1" applyFill="1" applyBorder="1" applyAlignment="1" applyProtection="1">
      <alignment horizontal="center" vertical="center" wrapText="1"/>
    </xf>
    <xf numFmtId="0" fontId="6" fillId="5" borderId="10" xfId="0" applyFont="1" applyFill="1" applyBorder="1" applyAlignment="1">
      <alignment horizontal="left"/>
    </xf>
    <xf numFmtId="0" fontId="12" fillId="2" borderId="6" xfId="51" applyFont="1" applyFill="1" applyBorder="1" applyAlignment="1">
      <alignment horizontal="left" vertical="top"/>
    </xf>
    <xf numFmtId="0" fontId="12" fillId="2" borderId="5" xfId="51" applyFont="1" applyFill="1" applyBorder="1" applyAlignment="1">
      <alignment horizontal="left" vertical="top"/>
    </xf>
    <xf numFmtId="0" fontId="12" fillId="2" borderId="5" xfId="51" applyFont="1" applyFill="1" applyBorder="1" applyAlignment="1">
      <alignment vertical="top"/>
    </xf>
    <xf numFmtId="0" fontId="39" fillId="2" borderId="1" xfId="51" applyFont="1" applyFill="1" applyBorder="1" applyAlignment="1">
      <alignment horizontal="left" vertical="top"/>
    </xf>
    <xf numFmtId="0" fontId="12" fillId="2" borderId="1" xfId="51" applyFont="1" applyFill="1" applyBorder="1" applyAlignment="1">
      <alignment horizontal="left" vertical="top"/>
    </xf>
    <xf numFmtId="180" fontId="12" fillId="2" borderId="1" xfId="51" applyNumberFormat="1" applyFont="1" applyFill="1" applyBorder="1" applyAlignment="1">
      <alignment horizontal="left" vertical="top"/>
    </xf>
    <xf numFmtId="0" fontId="0" fillId="5" borderId="0" xfId="0" applyFill="1"/>
    <xf numFmtId="0" fontId="0" fillId="10" borderId="0" xfId="0" applyFill="1"/>
    <xf numFmtId="0" fontId="0" fillId="5" borderId="0" xfId="0" applyFill="1" applyProtection="1">
      <protection locked="0"/>
    </xf>
    <xf numFmtId="0" fontId="8" fillId="8" borderId="6" xfId="51" applyFont="1" applyFill="1" applyBorder="1" applyAlignment="1">
      <alignment horizontal="center" vertical="center" textRotation="90"/>
    </xf>
    <xf numFmtId="0" fontId="3" fillId="3" borderId="2" xfId="51" applyFont="1" applyFill="1" applyBorder="1" applyAlignment="1">
      <alignment horizontal="center" vertical="center"/>
    </xf>
    <xf numFmtId="0" fontId="3" fillId="3" borderId="2" xfId="51" applyFont="1" applyFill="1" applyBorder="1" applyAlignment="1">
      <alignment vertical="center"/>
    </xf>
    <xf numFmtId="0" fontId="2" fillId="0" borderId="1" xfId="51" applyFont="1" applyBorder="1" applyAlignment="1">
      <alignment horizontal="left" vertical="center"/>
    </xf>
    <xf numFmtId="180" fontId="40" fillId="0" borderId="1" xfId="51" applyNumberFormat="1" applyFont="1" applyBorder="1" applyAlignment="1">
      <alignment horizontal="left" vertical="center"/>
    </xf>
    <xf numFmtId="180" fontId="4" fillId="0" borderId="1" xfId="1" applyNumberFormat="1" applyFont="1" applyFill="1" applyBorder="1" applyAlignment="1" applyProtection="1"/>
    <xf numFmtId="180" fontId="41" fillId="0" borderId="1" xfId="51" applyNumberFormat="1" applyFont="1" applyBorder="1"/>
    <xf numFmtId="180" fontId="0" fillId="0" borderId="0" xfId="0" applyNumberFormat="1" applyProtection="1">
      <protection locked="0"/>
    </xf>
    <xf numFmtId="0" fontId="8" fillId="8" borderId="8" xfId="51" applyFont="1" applyFill="1" applyBorder="1" applyAlignment="1">
      <alignment horizontal="center" vertical="center" textRotation="90"/>
    </xf>
    <xf numFmtId="37" fontId="4" fillId="0" borderId="1" xfId="1" applyNumberFormat="1" applyFont="1" applyFill="1" applyBorder="1" applyAlignment="1" applyProtection="1"/>
    <xf numFmtId="0" fontId="8" fillId="8" borderId="9" xfId="51" applyFont="1" applyFill="1" applyBorder="1" applyAlignment="1">
      <alignment horizontal="center" vertical="center" textRotation="90"/>
    </xf>
    <xf numFmtId="0" fontId="42" fillId="9" borderId="2" xfId="51" applyFont="1" applyFill="1" applyBorder="1" applyAlignment="1">
      <alignment horizontal="center" vertical="center" shrinkToFit="1"/>
    </xf>
    <xf numFmtId="0" fontId="42" fillId="9" borderId="2" xfId="51" applyFont="1" applyFill="1" applyBorder="1" applyAlignment="1">
      <alignment vertical="center" shrinkToFit="1"/>
    </xf>
    <xf numFmtId="0" fontId="42" fillId="9" borderId="1" xfId="51" applyFont="1" applyFill="1" applyBorder="1" applyAlignment="1">
      <alignment horizontal="left" vertical="center" shrinkToFit="1"/>
    </xf>
    <xf numFmtId="180" fontId="42" fillId="9" borderId="1" xfId="51" applyNumberFormat="1" applyFont="1" applyFill="1" applyBorder="1" applyAlignment="1">
      <alignment horizontal="left" vertical="center" shrinkToFit="1"/>
    </xf>
    <xf numFmtId="180" fontId="39" fillId="9" borderId="1" xfId="51" applyNumberFormat="1" applyFont="1" applyFill="1" applyBorder="1" applyAlignment="1">
      <alignment shrinkToFit="1"/>
    </xf>
    <xf numFmtId="180" fontId="43" fillId="11" borderId="1" xfId="51" applyNumberFormat="1" applyFont="1" applyFill="1" applyBorder="1" applyAlignment="1">
      <alignment shrinkToFit="1"/>
    </xf>
    <xf numFmtId="180" fontId="5" fillId="5" borderId="1" xfId="51" applyNumberFormat="1" applyFont="1" applyFill="1" applyBorder="1"/>
    <xf numFmtId="0" fontId="7" fillId="0" borderId="0" xfId="51" applyAlignment="1" applyProtection="1">
      <alignment horizontal="left" vertical="top"/>
      <protection locked="0"/>
    </xf>
    <xf numFmtId="0" fontId="8" fillId="0" borderId="0" xfId="51" applyFont="1" applyProtection="1">
      <protection locked="0"/>
    </xf>
    <xf numFmtId="0" fontId="5" fillId="0" borderId="0" xfId="51" applyFont="1" applyProtection="1">
      <protection locked="0"/>
    </xf>
    <xf numFmtId="180" fontId="9" fillId="0" borderId="0" xfId="50" applyNumberFormat="1" applyFont="1" applyAlignment="1" applyProtection="1">
      <alignment shrinkToFit="1"/>
      <protection locked="0"/>
    </xf>
    <xf numFmtId="0" fontId="7" fillId="0" borderId="0" xfId="51" applyAlignment="1" applyProtection="1">
      <alignment shrinkToFit="1"/>
      <protection locked="0"/>
    </xf>
    <xf numFmtId="0" fontId="8" fillId="0" borderId="0" xfId="51" applyFont="1" applyAlignment="1" applyProtection="1">
      <alignment horizontal="center" vertical="center" wrapText="1"/>
      <protection locked="0"/>
    </xf>
    <xf numFmtId="180" fontId="7" fillId="0" borderId="6" xfId="50" applyNumberFormat="1" applyFont="1" applyBorder="1" applyAlignment="1" applyProtection="1">
      <alignment shrinkToFit="1"/>
      <protection locked="0"/>
    </xf>
    <xf numFmtId="180" fontId="9" fillId="0" borderId="6" xfId="50" applyNumberFormat="1" applyFont="1" applyBorder="1" applyAlignment="1" applyProtection="1">
      <alignment shrinkToFit="1"/>
      <protection locked="0"/>
    </xf>
    <xf numFmtId="180" fontId="1" fillId="10" borderId="0" xfId="51" applyNumberFormat="1" applyFont="1" applyFill="1" applyAlignment="1" applyProtection="1">
      <alignment horizontal="left" vertical="center"/>
      <protection hidden="1"/>
    </xf>
    <xf numFmtId="180" fontId="1" fillId="10" borderId="4" xfId="51" applyNumberFormat="1" applyFont="1" applyFill="1" applyBorder="1" applyAlignment="1" applyProtection="1">
      <alignment horizontal="left" vertical="center"/>
      <protection hidden="1"/>
    </xf>
    <xf numFmtId="180" fontId="5" fillId="10" borderId="4" xfId="51" applyNumberFormat="1" applyFont="1" applyFill="1" applyBorder="1" applyAlignment="1">
      <alignment horizontal="left" vertical="center"/>
    </xf>
    <xf numFmtId="0" fontId="8" fillId="0" borderId="1" xfId="51" applyFont="1" applyBorder="1" applyAlignment="1" applyProtection="1">
      <alignment horizontal="left" shrinkToFit="1"/>
      <protection locked="0"/>
    </xf>
    <xf numFmtId="0" fontId="7" fillId="0" borderId="1" xfId="51" applyBorder="1" applyAlignment="1" applyProtection="1">
      <alignment shrinkToFit="1"/>
      <protection locked="0"/>
    </xf>
    <xf numFmtId="0" fontId="8" fillId="5" borderId="10" xfId="51" applyFont="1" applyFill="1" applyBorder="1" applyAlignment="1" applyProtection="1">
      <alignment horizontal="center" vertical="center"/>
      <protection locked="0"/>
    </xf>
    <xf numFmtId="0" fontId="8" fillId="5" borderId="11" xfId="51" applyFont="1" applyFill="1" applyBorder="1" applyAlignment="1" applyProtection="1">
      <alignment horizontal="center" vertical="center"/>
      <protection locked="0"/>
    </xf>
    <xf numFmtId="0" fontId="5" fillId="5" borderId="11" xfId="51" applyFont="1" applyFill="1" applyBorder="1" applyAlignment="1" applyProtection="1">
      <alignment horizontal="center" vertical="center"/>
      <protection locked="0"/>
    </xf>
    <xf numFmtId="180" fontId="8" fillId="5" borderId="1" xfId="51" applyNumberFormat="1" applyFont="1" applyFill="1" applyBorder="1" applyAlignment="1" applyProtection="1">
      <alignment horizontal="center" shrinkToFit="1"/>
      <protection hidden="1"/>
    </xf>
    <xf numFmtId="0" fontId="1" fillId="2" borderId="5" xfId="51" applyFont="1" applyFill="1" applyBorder="1" applyAlignment="1" applyProtection="1">
      <alignment wrapText="1"/>
      <protection locked="0"/>
    </xf>
    <xf numFmtId="180" fontId="1" fillId="2" borderId="1" xfId="51" applyNumberFormat="1" applyFont="1" applyFill="1" applyBorder="1" applyAlignment="1" applyProtection="1">
      <alignment horizontal="left" vertical="top" shrinkToFit="1"/>
      <protection locked="0"/>
    </xf>
    <xf numFmtId="180" fontId="8" fillId="0" borderId="1" xfId="51" applyNumberFormat="1" applyFont="1" applyBorder="1" applyAlignment="1" applyProtection="1">
      <alignment horizontal="left" vertical="top" shrinkToFit="1"/>
      <protection locked="0"/>
    </xf>
    <xf numFmtId="0" fontId="44" fillId="7" borderId="7" xfId="51" applyFont="1" applyFill="1" applyBorder="1" applyAlignment="1" applyProtection="1">
      <alignment vertical="center" textRotation="90"/>
      <protection locked="0"/>
    </xf>
    <xf numFmtId="0" fontId="8" fillId="8" borderId="6" xfId="51" applyFont="1" applyFill="1" applyBorder="1" applyAlignment="1" applyProtection="1">
      <alignment horizontal="center" vertical="center" textRotation="90"/>
      <protection locked="0"/>
    </xf>
    <xf numFmtId="0" fontId="45" fillId="3" borderId="2" xfId="51" applyFont="1" applyFill="1" applyBorder="1" applyAlignment="1" applyProtection="1">
      <alignment horizontal="center" vertical="center"/>
      <protection locked="0"/>
    </xf>
    <xf numFmtId="0" fontId="45" fillId="3" borderId="2" xfId="51" applyFont="1" applyFill="1" applyBorder="1" applyProtection="1">
      <protection hidden="1"/>
    </xf>
    <xf numFmtId="0" fontId="46" fillId="0" borderId="1" xfId="51" applyFont="1" applyBorder="1" applyAlignment="1" applyProtection="1">
      <alignment horizontal="left" vertical="center"/>
      <protection hidden="1"/>
    </xf>
    <xf numFmtId="180" fontId="47" fillId="0" borderId="1" xfId="51" applyNumberFormat="1" applyFont="1" applyBorder="1" applyAlignment="1" applyProtection="1">
      <alignment horizontal="left" vertical="center"/>
      <protection hidden="1"/>
    </xf>
    <xf numFmtId="180" fontId="7" fillId="7" borderId="1" xfId="50" applyNumberFormat="1" applyFont="1" applyFill="1" applyBorder="1" applyAlignment="1" applyProtection="1">
      <alignment shrinkToFit="1"/>
      <protection locked="0"/>
    </xf>
    <xf numFmtId="180" fontId="5" fillId="0" borderId="1" xfId="51" applyNumberFormat="1" applyFont="1" applyBorder="1" applyAlignment="1" applyProtection="1">
      <alignment shrinkToFit="1"/>
      <protection hidden="1"/>
    </xf>
    <xf numFmtId="182" fontId="41" fillId="0" borderId="6" xfId="49" applyNumberFormat="1" applyFont="1" applyFill="1" applyBorder="1" applyAlignment="1" applyProtection="1">
      <alignment horizontal="center" vertical="center" textRotation="1" shrinkToFit="1"/>
      <protection hidden="1"/>
    </xf>
    <xf numFmtId="0" fontId="45" fillId="3" borderId="2" xfId="51" applyFont="1" applyFill="1" applyBorder="1" applyAlignment="1" applyProtection="1">
      <alignment horizontal="center" vertical="center"/>
      <protection hidden="1"/>
    </xf>
    <xf numFmtId="0" fontId="44" fillId="7" borderId="4" xfId="51" applyFont="1" applyFill="1" applyBorder="1" applyAlignment="1" applyProtection="1">
      <alignment vertical="center" textRotation="90"/>
      <protection locked="0"/>
    </xf>
    <xf numFmtId="0" fontId="8" fillId="8" borderId="8" xfId="51" applyFont="1" applyFill="1" applyBorder="1" applyAlignment="1" applyProtection="1">
      <alignment horizontal="center" vertical="center" textRotation="90"/>
      <protection locked="0"/>
    </xf>
    <xf numFmtId="182" fontId="41" fillId="0" borderId="8" xfId="49" applyNumberFormat="1" applyFont="1" applyFill="1" applyBorder="1" applyAlignment="1" applyProtection="1">
      <alignment horizontal="center" vertical="center" textRotation="1" shrinkToFit="1"/>
      <protection hidden="1"/>
    </xf>
    <xf numFmtId="0" fontId="7" fillId="0" borderId="0" xfId="51" applyProtection="1">
      <protection hidden="1"/>
    </xf>
    <xf numFmtId="0" fontId="46" fillId="0" borderId="1" xfId="51" applyFont="1" applyBorder="1" applyAlignment="1" applyProtection="1">
      <alignment horizontal="left" vertical="center"/>
      <protection locked="0"/>
    </xf>
    <xf numFmtId="0" fontId="46" fillId="9" borderId="2" xfId="51" applyFont="1" applyFill="1" applyBorder="1" applyAlignment="1" applyProtection="1">
      <alignment horizontal="center" vertical="center"/>
      <protection hidden="1"/>
    </xf>
    <xf numFmtId="0" fontId="45" fillId="9" borderId="2" xfId="51" applyFont="1" applyFill="1" applyBorder="1" applyProtection="1">
      <protection locked="0"/>
    </xf>
    <xf numFmtId="0" fontId="46" fillId="9" borderId="1" xfId="51" applyFont="1" applyFill="1" applyBorder="1" applyAlignment="1" applyProtection="1">
      <alignment horizontal="left" vertical="center"/>
      <protection hidden="1"/>
    </xf>
    <xf numFmtId="180" fontId="47" fillId="9" borderId="1" xfId="51" applyNumberFormat="1" applyFont="1" applyFill="1" applyBorder="1" applyAlignment="1" applyProtection="1">
      <alignment horizontal="left" vertical="center"/>
      <protection hidden="1"/>
    </xf>
    <xf numFmtId="180" fontId="5" fillId="9" borderId="1" xfId="51" applyNumberFormat="1" applyFont="1" applyFill="1" applyBorder="1" applyAlignment="1" applyProtection="1">
      <alignment shrinkToFit="1"/>
      <protection hidden="1"/>
    </xf>
    <xf numFmtId="182" fontId="41" fillId="0" borderId="9" xfId="49" applyNumberFormat="1" applyFont="1" applyFill="1" applyBorder="1" applyAlignment="1" applyProtection="1">
      <alignment horizontal="center" vertical="center" textRotation="1" shrinkToFit="1"/>
      <protection hidden="1"/>
    </xf>
    <xf numFmtId="180" fontId="7" fillId="0" borderId="1" xfId="50" applyNumberFormat="1" applyFont="1" applyFill="1" applyBorder="1" applyAlignment="1" applyProtection="1">
      <alignment shrinkToFit="1"/>
      <protection locked="0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2" xfId="50"/>
    <cellStyle name="Normal 2" xfId="51"/>
    <cellStyle name="Normal 4 2" xfId="52"/>
    <cellStyle name="Percent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133"/>
  <sheetViews>
    <sheetView zoomScale="110" zoomScaleNormal="110" topLeftCell="A3" workbookViewId="0">
      <pane xSplit="5" ySplit="3" topLeftCell="F422" activePane="bottomRight" state="frozen"/>
      <selection/>
      <selection pane="topRight"/>
      <selection pane="bottomLeft"/>
      <selection pane="bottomRight" activeCell="R427" sqref="R427"/>
    </sheetView>
  </sheetViews>
  <sheetFormatPr defaultColWidth="13.6" defaultRowHeight="16.5" customHeight="1"/>
  <cols>
    <col min="1" max="1" width="3.2" style="71" customWidth="1"/>
    <col min="2" max="2" width="5.5" style="71" customWidth="1"/>
    <col min="3" max="3" width="5.2" style="71" customWidth="1"/>
    <col min="4" max="4" width="8.7" style="71" customWidth="1"/>
    <col min="5" max="5" width="14.7" style="136" customWidth="1"/>
    <col min="6" max="6" width="11" style="137" customWidth="1"/>
    <col min="7" max="18" width="6.7" style="138" customWidth="1"/>
    <col min="19" max="19" width="10.7" style="138" customWidth="1"/>
    <col min="20" max="20" width="7.1" style="139" customWidth="1"/>
    <col min="21" max="21" width="13.6" style="71" customWidth="1"/>
    <col min="22" max="22" width="3" style="71" hidden="1" customWidth="1"/>
    <col min="23" max="23" width="12.5" style="71" hidden="1" customWidth="1"/>
    <col min="24" max="24" width="14.7" style="71" hidden="1" customWidth="1"/>
    <col min="25" max="25" width="13.2" style="71" hidden="1" customWidth="1"/>
    <col min="26" max="26" width="14.7" style="71" hidden="1" customWidth="1"/>
    <col min="27" max="27" width="10.5" style="71" hidden="1" customWidth="1"/>
    <col min="28" max="28" width="11.6" style="71" hidden="1" customWidth="1"/>
    <col min="29" max="29" width="12.5" style="71" hidden="1" customWidth="1"/>
    <col min="30" max="30" width="9.7" style="71" hidden="1" customWidth="1"/>
    <col min="31" max="32" width="13.6" style="71" hidden="1" customWidth="1"/>
    <col min="33" max="16384" width="13.6" style="71"/>
  </cols>
  <sheetData>
    <row r="1" ht="36" customHeight="1" spans="1:30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</row>
    <row r="2" customHeight="1" spans="1:30"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2"/>
    </row>
    <row r="3" ht="30" hidden="1" customHeight="1" spans="1:30">
      <c r="A3" s="143" t="e">
        <f>S4</f>
        <v>#REF!</v>
      </c>
      <c r="B3" s="143"/>
      <c r="C3" s="143"/>
      <c r="D3" s="143"/>
      <c r="E3" s="144"/>
      <c r="F3" s="145"/>
      <c r="G3" s="146" t="s">
        <v>1</v>
      </c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7"/>
      <c r="T3" s="147"/>
    </row>
    <row r="4" ht="30" hidden="1" customHeight="1" spans="1:30">
      <c r="A4" s="148" t="s">
        <v>2</v>
      </c>
      <c r="B4" s="148"/>
      <c r="C4" s="148"/>
      <c r="D4" s="148"/>
      <c r="E4" s="149"/>
      <c r="F4" s="150"/>
      <c r="G4" s="151" t="e">
        <f>#REF!</f>
        <v>#REF!</v>
      </c>
      <c r="H4" s="151" t="e">
        <f>#REF!</f>
        <v>#REF!</v>
      </c>
      <c r="I4" s="151" t="e">
        <f>#REF!</f>
        <v>#REF!</v>
      </c>
      <c r="J4" s="151" t="e">
        <f>#REF!</f>
        <v>#REF!</v>
      </c>
      <c r="K4" s="151" t="e">
        <f>#REF!</f>
        <v>#REF!</v>
      </c>
      <c r="L4" s="151" t="e">
        <f>#REF!</f>
        <v>#REF!</v>
      </c>
      <c r="M4" s="151" t="e">
        <f>#REF!</f>
        <v>#REF!</v>
      </c>
      <c r="N4" s="151" t="e">
        <f>#REF!</f>
        <v>#REF!</v>
      </c>
      <c r="O4" s="151" t="e">
        <f>#REF!</f>
        <v>#REF!</v>
      </c>
      <c r="P4" s="151" t="e">
        <f>#REF!</f>
        <v>#REF!</v>
      </c>
      <c r="Q4" s="151" t="e">
        <f>#REF!</f>
        <v>#REF!</v>
      </c>
      <c r="R4" s="151" t="e">
        <f>#REF!</f>
        <v>#REF!</v>
      </c>
      <c r="S4" s="151" t="e">
        <f>SUM(G4:R4)</f>
        <v>#REF!</v>
      </c>
      <c r="T4" s="147"/>
    </row>
    <row r="5" s="135" customFormat="1" ht="41.25" customHeight="1" spans="1:30">
      <c r="A5" s="37" t="s">
        <v>3</v>
      </c>
      <c r="B5" s="37" t="s">
        <v>4</v>
      </c>
      <c r="C5" s="38" t="s">
        <v>5</v>
      </c>
      <c r="D5" s="152" t="s">
        <v>6</v>
      </c>
      <c r="E5" s="40" t="s">
        <v>7</v>
      </c>
      <c r="F5" s="40" t="s">
        <v>8</v>
      </c>
      <c r="G5" s="153">
        <v>1</v>
      </c>
      <c r="H5" s="153">
        <v>2</v>
      </c>
      <c r="I5" s="153">
        <v>3</v>
      </c>
      <c r="J5" s="153">
        <v>4</v>
      </c>
      <c r="K5" s="153">
        <v>5</v>
      </c>
      <c r="L5" s="153">
        <v>6</v>
      </c>
      <c r="M5" s="153">
        <v>7</v>
      </c>
      <c r="N5" s="153">
        <v>8</v>
      </c>
      <c r="O5" s="153">
        <v>9</v>
      </c>
      <c r="P5" s="153">
        <v>10</v>
      </c>
      <c r="Q5" s="153">
        <v>11</v>
      </c>
      <c r="R5" s="153">
        <v>12</v>
      </c>
      <c r="S5" s="153" t="s">
        <v>9</v>
      </c>
      <c r="T5" s="154" t="s">
        <v>10</v>
      </c>
      <c r="W5" s="38" t="s">
        <v>6</v>
      </c>
      <c r="X5" s="40" t="s">
        <v>7</v>
      </c>
      <c r="Y5" s="40" t="s">
        <v>7</v>
      </c>
      <c r="Z5" s="40" t="s">
        <v>7</v>
      </c>
      <c r="AA5" s="40" t="s">
        <v>7</v>
      </c>
      <c r="AB5" s="40" t="s">
        <v>7</v>
      </c>
      <c r="AC5" s="40" t="s">
        <v>7</v>
      </c>
      <c r="AD5" s="40" t="s">
        <v>7</v>
      </c>
    </row>
    <row r="6" customHeight="1" spans="1:30">
      <c r="A6" s="155" t="s">
        <v>11</v>
      </c>
      <c r="B6" s="156" t="s">
        <v>12</v>
      </c>
      <c r="C6" s="157">
        <v>1</v>
      </c>
      <c r="D6" s="158" t="str">
        <f>VLOOKUP(C6,DMSP!$A$1:$C$39,2,0)</f>
        <v>1.TOBA XANH</v>
      </c>
      <c r="E6" s="159" t="str">
        <f>VLOOKUP(C6,DMSP!$A$1:$C$39,3,0)</f>
        <v>TOBA XANH</v>
      </c>
      <c r="F6" s="160">
        <f>S6</f>
        <v>0</v>
      </c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2">
        <f>SUM(G6:R6)</f>
        <v>0</v>
      </c>
      <c r="T6" s="163">
        <f>S43</f>
        <v>414</v>
      </c>
      <c r="V6" s="71">
        <v>1</v>
      </c>
      <c r="W6" s="164" t="str">
        <f>D6</f>
        <v>1.TOBA XANH</v>
      </c>
      <c r="X6" s="159" t="str">
        <f>E6</f>
        <v>TOBA XANH</v>
      </c>
      <c r="Y6" s="159" t="str">
        <f>X6</f>
        <v>TOBA XANH</v>
      </c>
      <c r="Z6" s="159" t="str">
        <f>X7</f>
        <v>HC BOOSTER</v>
      </c>
      <c r="AA6" s="159" t="str">
        <f>X8</f>
        <v>HC KING-ROOT</v>
      </c>
      <c r="AB6" s="159" t="str">
        <f>X9</f>
        <v>HAPPY FARM</v>
      </c>
      <c r="AC6" s="159" t="str">
        <f>X10</f>
        <v>WOW</v>
      </c>
      <c r="AD6" s="159" t="str">
        <f>X11</f>
        <v>KELPIT</v>
      </c>
    </row>
    <row r="7" customHeight="1" spans="1:30">
      <c r="A7" s="165"/>
      <c r="B7" s="166"/>
      <c r="C7" s="164">
        <f t="shared" ref="C7:C42" si="0">C6+1</f>
        <v>2</v>
      </c>
      <c r="D7" s="158" t="str">
        <f>VLOOKUP(C7,DMSP!$A$1:$C$39,2,0)</f>
        <v>2.HC</v>
      </c>
      <c r="E7" s="159" t="str">
        <f>VLOOKUP(C7,DMSP!$A$1:$C$39,3,0)</f>
        <v>HC BOOSTER</v>
      </c>
      <c r="F7" s="160">
        <f t="shared" ref="F7:F70" si="1">S7</f>
        <v>11</v>
      </c>
      <c r="G7" s="161">
        <v>11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2">
        <f t="shared" ref="S7:S44" si="2">SUM(G7:R7)</f>
        <v>11</v>
      </c>
      <c r="T7" s="167"/>
      <c r="V7" s="168">
        <f>V6+1</f>
        <v>2</v>
      </c>
      <c r="W7" s="164" t="str">
        <f t="shared" ref="W7:W42" si="3">D7</f>
        <v>2.HC</v>
      </c>
      <c r="X7" s="159" t="str">
        <f t="shared" ref="X7:X42" si="4">E7</f>
        <v>HC BOOSTER</v>
      </c>
      <c r="Y7" s="40" t="s">
        <v>7</v>
      </c>
      <c r="Z7" s="40" t="s">
        <v>7</v>
      </c>
      <c r="AA7" s="40" t="s">
        <v>7</v>
      </c>
      <c r="AB7" s="40" t="s">
        <v>7</v>
      </c>
      <c r="AC7" s="40" t="s">
        <v>7</v>
      </c>
      <c r="AD7" s="40" t="s">
        <v>7</v>
      </c>
    </row>
    <row r="8" customHeight="1" spans="1:30">
      <c r="A8" s="165"/>
      <c r="B8" s="166"/>
      <c r="C8" s="164">
        <f t="shared" si="0"/>
        <v>3</v>
      </c>
      <c r="D8" s="158" t="str">
        <f>VLOOKUP(C8,DMSP!$A$1:$C$39,2,0)</f>
        <v>2.HC</v>
      </c>
      <c r="E8" s="159" t="str">
        <f>VLOOKUP(C8,DMSP!$A$1:$C$39,3,0)</f>
        <v>HC KING-ROOT</v>
      </c>
      <c r="F8" s="160">
        <f t="shared" si="1"/>
        <v>0</v>
      </c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2">
        <f t="shared" si="2"/>
        <v>0</v>
      </c>
      <c r="T8" s="167"/>
      <c r="V8" s="168">
        <f t="shared" ref="V8:V42" si="5">V7+1</f>
        <v>3</v>
      </c>
      <c r="W8" s="164" t="str">
        <f t="shared" si="3"/>
        <v>2.HC</v>
      </c>
      <c r="X8" s="159" t="str">
        <f t="shared" si="4"/>
        <v>HC KING-ROOT</v>
      </c>
      <c r="Y8" s="159" t="str">
        <f>X12</f>
        <v>SI-K</v>
      </c>
      <c r="Z8" s="159" t="str">
        <f>X13</f>
        <v>SPRAY PHOS 620</v>
      </c>
      <c r="AA8" s="159" t="str">
        <f>X14</f>
        <v>CHITOSAN</v>
      </c>
      <c r="AB8" s="159" t="str">
        <f>X15</f>
        <v>ĐẠM CÁ</v>
      </c>
      <c r="AC8" s="159" t="str">
        <f>X16</f>
        <v>ĐẠM TÔM</v>
      </c>
      <c r="AD8" s="159" t="str">
        <f>X17</f>
        <v>SUPERMIC</v>
      </c>
    </row>
    <row r="9" customHeight="1" spans="1:30">
      <c r="A9" s="165"/>
      <c r="B9" s="166"/>
      <c r="C9" s="164">
        <f t="shared" si="0"/>
        <v>4</v>
      </c>
      <c r="D9" s="158" t="str">
        <f>VLOOKUP(C9,DMSP!$A$1:$C$39,2,0)</f>
        <v>2.HC</v>
      </c>
      <c r="E9" s="159" t="str">
        <f>VLOOKUP(C9,DMSP!$A$1:$C$39,3,0)</f>
        <v>HAPPY FARM</v>
      </c>
      <c r="F9" s="160">
        <f t="shared" si="1"/>
        <v>35</v>
      </c>
      <c r="G9" s="161">
        <v>35</v>
      </c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2">
        <f t="shared" si="2"/>
        <v>35</v>
      </c>
      <c r="T9" s="167"/>
      <c r="V9" s="168">
        <f t="shared" si="5"/>
        <v>4</v>
      </c>
      <c r="W9" s="164" t="str">
        <f t="shared" si="3"/>
        <v>2.HC</v>
      </c>
      <c r="X9" s="159" t="str">
        <f t="shared" si="4"/>
        <v>HAPPY FARM</v>
      </c>
      <c r="Y9" s="40" t="s">
        <v>7</v>
      </c>
      <c r="Z9" s="40" t="s">
        <v>7</v>
      </c>
      <c r="AA9" s="40" t="s">
        <v>7</v>
      </c>
      <c r="AB9" s="40" t="s">
        <v>7</v>
      </c>
      <c r="AC9" s="40" t="s">
        <v>7</v>
      </c>
      <c r="AD9" s="40" t="s">
        <v>7</v>
      </c>
    </row>
    <row r="10" customHeight="1" spans="1:30">
      <c r="A10" s="165"/>
      <c r="B10" s="166"/>
      <c r="C10" s="164">
        <f t="shared" si="0"/>
        <v>5</v>
      </c>
      <c r="D10" s="158" t="str">
        <f>VLOOKUP(C10,DMSP!$A$1:$C$39,2,0)</f>
        <v>2.HC</v>
      </c>
      <c r="E10" s="159" t="str">
        <f>VLOOKUP(C10,DMSP!$A$1:$C$39,3,0)</f>
        <v>WOW</v>
      </c>
      <c r="F10" s="160">
        <f t="shared" si="1"/>
        <v>0</v>
      </c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2">
        <f t="shared" si="2"/>
        <v>0</v>
      </c>
      <c r="T10" s="167"/>
      <c r="V10" s="168">
        <f t="shared" si="5"/>
        <v>5</v>
      </c>
      <c r="W10" s="164" t="str">
        <f t="shared" si="3"/>
        <v>2.HC</v>
      </c>
      <c r="X10" s="159" t="str">
        <f t="shared" si="4"/>
        <v>WOW</v>
      </c>
      <c r="Y10" s="159" t="str">
        <f>X18</f>
        <v>CABO</v>
      </c>
      <c r="Z10" s="159" t="str">
        <f>X19</f>
        <v>F94</v>
      </c>
      <c r="AA10" s="159" t="str">
        <f>X20</f>
        <v>F95</v>
      </c>
      <c r="AB10" s="159" t="str">
        <f>X21</f>
        <v>THIOURE</v>
      </c>
      <c r="AC10" s="159" t="str">
        <f>X22</f>
        <v>TOBA JUM</v>
      </c>
      <c r="AD10" s="159" t="str">
        <f>X23</f>
        <v>TOBA NET</v>
      </c>
    </row>
    <row r="11" customHeight="1" spans="1:30">
      <c r="A11" s="165"/>
      <c r="B11" s="166"/>
      <c r="C11" s="164">
        <f t="shared" si="0"/>
        <v>6</v>
      </c>
      <c r="D11" s="158" t="str">
        <f>VLOOKUP(C11,DMSP!$A$1:$C$39,2,0)</f>
        <v>3.SPRAY </v>
      </c>
      <c r="E11" s="159" t="str">
        <f>VLOOKUP(C11,DMSP!$A$1:$C$39,3,0)</f>
        <v>KELPIT</v>
      </c>
      <c r="F11" s="160">
        <f t="shared" si="1"/>
        <v>0</v>
      </c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2">
        <f t="shared" si="2"/>
        <v>0</v>
      </c>
      <c r="T11" s="167"/>
      <c r="V11" s="168">
        <f t="shared" si="5"/>
        <v>6</v>
      </c>
      <c r="W11" s="164" t="str">
        <f t="shared" si="3"/>
        <v>3.SPRAY </v>
      </c>
      <c r="X11" s="159" t="str">
        <f t="shared" si="4"/>
        <v>KELPIT</v>
      </c>
      <c r="Y11" s="40" t="s">
        <v>7</v>
      </c>
      <c r="Z11" s="40" t="s">
        <v>7</v>
      </c>
      <c r="AA11" s="40" t="s">
        <v>7</v>
      </c>
      <c r="AB11" s="40" t="s">
        <v>7</v>
      </c>
      <c r="AC11" s="40" t="s">
        <v>7</v>
      </c>
      <c r="AD11" s="40" t="s">
        <v>7</v>
      </c>
    </row>
    <row r="12" customHeight="1" spans="1:30">
      <c r="A12" s="165"/>
      <c r="B12" s="166"/>
      <c r="C12" s="164">
        <f t="shared" si="0"/>
        <v>7</v>
      </c>
      <c r="D12" s="158" t="str">
        <f>VLOOKUP(C12,DMSP!$A$1:$C$39,2,0)</f>
        <v>3.SPRAY </v>
      </c>
      <c r="E12" s="159" t="str">
        <f>VLOOKUP(C12,DMSP!$A$1:$C$39,3,0)</f>
        <v>SI-K</v>
      </c>
      <c r="F12" s="160">
        <f t="shared" si="1"/>
        <v>74</v>
      </c>
      <c r="G12" s="161"/>
      <c r="H12" s="161"/>
      <c r="I12" s="161"/>
      <c r="J12" s="161"/>
      <c r="K12" s="161">
        <v>25</v>
      </c>
      <c r="L12" s="161">
        <v>49</v>
      </c>
      <c r="M12" s="161"/>
      <c r="N12" s="161"/>
      <c r="O12" s="161"/>
      <c r="P12" s="161"/>
      <c r="Q12" s="161"/>
      <c r="R12" s="161"/>
      <c r="S12" s="162">
        <f t="shared" si="2"/>
        <v>74</v>
      </c>
      <c r="T12" s="167"/>
      <c r="V12" s="168">
        <f t="shared" si="5"/>
        <v>7</v>
      </c>
      <c r="W12" s="164" t="str">
        <f t="shared" si="3"/>
        <v>3.SPRAY </v>
      </c>
      <c r="X12" s="159" t="str">
        <f t="shared" si="4"/>
        <v>SI-K</v>
      </c>
      <c r="Y12" s="159" t="str">
        <f>X24</f>
        <v>ABAFAX 1.8</v>
      </c>
      <c r="Z12" s="159" t="str">
        <f>X25</f>
        <v>ABAFAX 3.6</v>
      </c>
      <c r="AA12" s="159" t="str">
        <f>X26</f>
        <v>AZET</v>
      </c>
      <c r="AB12" s="159" t="str">
        <f>X27</f>
        <v>BACBA</v>
      </c>
      <c r="AC12" s="159" t="str">
        <f>X28</f>
        <v>BIOROSAMIL</v>
      </c>
      <c r="AD12" s="159" t="str">
        <f>X29</f>
        <v>COC 86</v>
      </c>
    </row>
    <row r="13" customHeight="1" spans="1:30">
      <c r="A13" s="165"/>
      <c r="B13" s="166"/>
      <c r="C13" s="164">
        <f t="shared" si="0"/>
        <v>8</v>
      </c>
      <c r="D13" s="158" t="str">
        <f>VLOOKUP(C13,DMSP!$A$1:$C$39,2,0)</f>
        <v>3.SPRAY </v>
      </c>
      <c r="E13" s="159" t="str">
        <f>VLOOKUP(C13,DMSP!$A$1:$C$39,3,0)</f>
        <v>SPRAY PHOS 620</v>
      </c>
      <c r="F13" s="160">
        <f t="shared" si="1"/>
        <v>23</v>
      </c>
      <c r="G13" s="161">
        <v>23</v>
      </c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2">
        <f t="shared" si="2"/>
        <v>23</v>
      </c>
      <c r="T13" s="167"/>
      <c r="V13" s="168">
        <f t="shared" si="5"/>
        <v>8</v>
      </c>
      <c r="W13" s="164" t="str">
        <f t="shared" si="3"/>
        <v>3.SPRAY </v>
      </c>
      <c r="X13" s="159" t="str">
        <f t="shared" si="4"/>
        <v>SPRAY PHOS 620</v>
      </c>
      <c r="Y13" s="40" t="s">
        <v>7</v>
      </c>
      <c r="Z13" s="40" t="s">
        <v>7</v>
      </c>
      <c r="AA13" s="40" t="s">
        <v>7</v>
      </c>
      <c r="AB13" s="40" t="s">
        <v>7</v>
      </c>
      <c r="AC13" s="40" t="s">
        <v>7</v>
      </c>
      <c r="AD13" s="40" t="s">
        <v>7</v>
      </c>
    </row>
    <row r="14" customHeight="1" spans="1:30">
      <c r="A14" s="165"/>
      <c r="B14" s="166"/>
      <c r="C14" s="164">
        <f t="shared" si="0"/>
        <v>9</v>
      </c>
      <c r="D14" s="158" t="str">
        <f>VLOOKUP(C14,DMSP!$A$1:$C$39,2,0)</f>
        <v>4.DƯỠNG RỄ</v>
      </c>
      <c r="E14" s="159" t="str">
        <f>VLOOKUP(C14,DMSP!$A$1:$C$39,3,0)</f>
        <v>CHITOSAN</v>
      </c>
      <c r="F14" s="160">
        <f t="shared" si="1"/>
        <v>0</v>
      </c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2">
        <f t="shared" si="2"/>
        <v>0</v>
      </c>
      <c r="T14" s="167"/>
      <c r="V14" s="168">
        <f t="shared" si="5"/>
        <v>9</v>
      </c>
      <c r="W14" s="164" t="str">
        <f t="shared" si="3"/>
        <v>4.DƯỠNG RỄ</v>
      </c>
      <c r="X14" s="159" t="str">
        <f t="shared" si="4"/>
        <v>CHITOSAN</v>
      </c>
      <c r="Y14" s="159" t="str">
        <f>X30</f>
        <v>HEXA 5</v>
      </c>
      <c r="Z14" s="159" t="str">
        <f>X31</f>
        <v>TAMALA</v>
      </c>
      <c r="AA14" s="159" t="str">
        <f>X32</f>
        <v>KẼM VÀNG</v>
      </c>
      <c r="AB14" s="159" t="str">
        <f>X33</f>
        <v>KHÁC1</v>
      </c>
      <c r="AC14" s="159" t="str">
        <f>X34</f>
        <v>REACH</v>
      </c>
      <c r="AD14" s="159" t="str">
        <f>X35</f>
        <v>RỬA RONG RÊU</v>
      </c>
    </row>
    <row r="15" customHeight="1" spans="1:30">
      <c r="A15" s="165"/>
      <c r="B15" s="166"/>
      <c r="C15" s="164">
        <f t="shared" si="0"/>
        <v>10</v>
      </c>
      <c r="D15" s="158" t="str">
        <f>VLOOKUP(C15,DMSP!$A$1:$C$39,2,0)</f>
        <v>4.DƯỠNG RỄ</v>
      </c>
      <c r="E15" s="159" t="str">
        <f>VLOOKUP(C15,DMSP!$A$1:$C$39,3,0)</f>
        <v>ĐẠM CÁ</v>
      </c>
      <c r="F15" s="160">
        <f t="shared" si="1"/>
        <v>0</v>
      </c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2">
        <f t="shared" si="2"/>
        <v>0</v>
      </c>
      <c r="T15" s="167"/>
      <c r="V15" s="168">
        <f t="shared" si="5"/>
        <v>10</v>
      </c>
      <c r="W15" s="164" t="str">
        <f t="shared" si="3"/>
        <v>4.DƯỠNG RỄ</v>
      </c>
      <c r="X15" s="159" t="str">
        <f t="shared" si="4"/>
        <v>ĐẠM CÁ</v>
      </c>
      <c r="Y15" s="40" t="s">
        <v>7</v>
      </c>
      <c r="Z15" s="40" t="s">
        <v>7</v>
      </c>
      <c r="AA15" s="40" t="s">
        <v>7</v>
      </c>
      <c r="AB15" s="40" t="s">
        <v>7</v>
      </c>
      <c r="AC15" s="40" t="s">
        <v>7</v>
      </c>
      <c r="AD15" s="40" t="s">
        <v>7</v>
      </c>
    </row>
    <row r="16" customHeight="1" spans="1:30">
      <c r="A16" s="165"/>
      <c r="B16" s="166"/>
      <c r="C16" s="164">
        <f t="shared" si="0"/>
        <v>11</v>
      </c>
      <c r="D16" s="158" t="str">
        <f>VLOOKUP(C16,DMSP!$A$1:$C$39,2,0)</f>
        <v>4.DƯỠNG RỄ</v>
      </c>
      <c r="E16" s="159" t="str">
        <f>VLOOKUP(C16,DMSP!$A$1:$C$39,3,0)</f>
        <v>ĐẠM TÔM</v>
      </c>
      <c r="F16" s="160">
        <f t="shared" si="1"/>
        <v>0</v>
      </c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2">
        <f t="shared" si="2"/>
        <v>0</v>
      </c>
      <c r="T16" s="167"/>
      <c r="V16" s="168">
        <f t="shared" si="5"/>
        <v>11</v>
      </c>
      <c r="W16" s="164" t="str">
        <f t="shared" si="3"/>
        <v>4.DƯỠNG RỄ</v>
      </c>
      <c r="X16" s="159" t="str">
        <f t="shared" si="4"/>
        <v>ĐẠM TÔM</v>
      </c>
      <c r="Y16" s="159" t="str">
        <f>X36</f>
        <v>TB BO</v>
      </c>
      <c r="Z16" s="159" t="str">
        <f>X37</f>
        <v>TB FRUIT</v>
      </c>
      <c r="AA16" s="159" t="str">
        <f>X38</f>
        <v>TB PHOS</v>
      </c>
      <c r="AB16" s="159" t="str">
        <f>X39</f>
        <v>TOBA BÁM DÍNH</v>
      </c>
      <c r="AC16" s="159" t="str">
        <f>X40</f>
        <v>VỌT HOA NHÃN</v>
      </c>
      <c r="AD16" s="159" t="str">
        <f>X41</f>
        <v>VỌT HOA XOÀI</v>
      </c>
    </row>
    <row r="17" customHeight="1" spans="1:30">
      <c r="A17" s="165"/>
      <c r="B17" s="166"/>
      <c r="C17" s="164">
        <f t="shared" si="0"/>
        <v>12</v>
      </c>
      <c r="D17" s="158" t="str">
        <f>VLOOKUP(C17,DMSP!$A$1:$C$39,2,0)</f>
        <v>4.DƯỠNG RỄ</v>
      </c>
      <c r="E17" s="159" t="str">
        <f>VLOOKUP(C17,DMSP!$A$1:$C$39,3,0)</f>
        <v>SUPERMIC</v>
      </c>
      <c r="F17" s="160">
        <f t="shared" si="1"/>
        <v>88</v>
      </c>
      <c r="G17" s="161">
        <v>9</v>
      </c>
      <c r="H17" s="161"/>
      <c r="I17" s="161"/>
      <c r="J17" s="161">
        <v>35</v>
      </c>
      <c r="K17" s="161"/>
      <c r="L17" s="161">
        <v>18</v>
      </c>
      <c r="M17" s="161"/>
      <c r="N17" s="161"/>
      <c r="O17" s="161"/>
      <c r="P17" s="161"/>
      <c r="Q17" s="161">
        <v>26</v>
      </c>
      <c r="R17" s="161"/>
      <c r="S17" s="162">
        <f t="shared" si="2"/>
        <v>88</v>
      </c>
      <c r="T17" s="167"/>
      <c r="V17" s="168">
        <f t="shared" si="5"/>
        <v>12</v>
      </c>
      <c r="W17" s="164" t="str">
        <f t="shared" si="3"/>
        <v>4.DƯỠNG RỄ</v>
      </c>
      <c r="X17" s="159" t="str">
        <f t="shared" si="4"/>
        <v>SUPERMIC</v>
      </c>
      <c r="Y17" s="40" t="s">
        <v>7</v>
      </c>
      <c r="Z17" s="40" t="s">
        <v>7</v>
      </c>
      <c r="AA17" s="40" t="s">
        <v>7</v>
      </c>
      <c r="AB17" s="40" t="s">
        <v>7</v>
      </c>
      <c r="AC17" s="40" t="s">
        <v>7</v>
      </c>
      <c r="AD17" s="40" t="s">
        <v>7</v>
      </c>
    </row>
    <row r="18" customHeight="1" spans="1:30">
      <c r="A18" s="165"/>
      <c r="B18" s="166"/>
      <c r="C18" s="164">
        <f t="shared" si="0"/>
        <v>13</v>
      </c>
      <c r="D18" s="158" t="str">
        <f>VLOOKUP(C18,DMSP!$A$1:$C$39,2,0)</f>
        <v>5.TRUYỀN THỐNG</v>
      </c>
      <c r="E18" s="159" t="str">
        <f>VLOOKUP(C18,DMSP!$A$1:$C$39,3,0)</f>
        <v>CABO</v>
      </c>
      <c r="F18" s="160">
        <f t="shared" si="1"/>
        <v>0</v>
      </c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2">
        <f t="shared" si="2"/>
        <v>0</v>
      </c>
      <c r="T18" s="167"/>
      <c r="V18" s="168">
        <f t="shared" si="5"/>
        <v>13</v>
      </c>
      <c r="W18" s="164" t="str">
        <f t="shared" si="3"/>
        <v>5.TRUYỀN THỐNG</v>
      </c>
      <c r="X18" s="159" t="str">
        <f t="shared" si="4"/>
        <v>CABO</v>
      </c>
      <c r="Y18" s="159" t="str">
        <f>X42</f>
        <v>VỌT HOA XOÀI</v>
      </c>
    </row>
    <row r="19" customHeight="1" spans="1:30">
      <c r="A19" s="165"/>
      <c r="B19" s="166"/>
      <c r="C19" s="164">
        <f t="shared" si="0"/>
        <v>14</v>
      </c>
      <c r="D19" s="158" t="str">
        <f>VLOOKUP(C19,DMSP!$A$1:$C$39,2,0)</f>
        <v>5.TRUYỀN THỐNG</v>
      </c>
      <c r="E19" s="159" t="str">
        <f>VLOOKUP(C19,DMSP!$A$1:$C$39,3,0)</f>
        <v>F94</v>
      </c>
      <c r="F19" s="160">
        <f t="shared" si="1"/>
        <v>0</v>
      </c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2">
        <f t="shared" si="2"/>
        <v>0</v>
      </c>
      <c r="T19" s="167"/>
      <c r="V19" s="168">
        <f t="shared" si="5"/>
        <v>14</v>
      </c>
      <c r="W19" s="164" t="str">
        <f t="shared" si="3"/>
        <v>5.TRUYỀN THỐNG</v>
      </c>
      <c r="X19" s="159" t="str">
        <f t="shared" si="4"/>
        <v>F94</v>
      </c>
      <c r="Y19" s="40" t="s">
        <v>7</v>
      </c>
      <c r="Z19" s="40" t="s">
        <v>7</v>
      </c>
      <c r="AA19" s="40" t="s">
        <v>7</v>
      </c>
      <c r="AB19" s="40" t="s">
        <v>7</v>
      </c>
      <c r="AC19" s="40" t="s">
        <v>7</v>
      </c>
      <c r="AD19" s="40" t="s">
        <v>7</v>
      </c>
    </row>
    <row r="20" customHeight="1" spans="1:30">
      <c r="A20" s="165"/>
      <c r="B20" s="166"/>
      <c r="C20" s="164">
        <f t="shared" si="0"/>
        <v>15</v>
      </c>
      <c r="D20" s="158" t="str">
        <f>VLOOKUP(C20,DMSP!$A$1:$C$39,2,0)</f>
        <v>5.TRUYỀN THỐNG</v>
      </c>
      <c r="E20" s="159" t="str">
        <f>VLOOKUP(C20,DMSP!$A$1:$C$39,3,0)</f>
        <v>F95</v>
      </c>
      <c r="F20" s="160">
        <f t="shared" si="1"/>
        <v>0</v>
      </c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2">
        <f t="shared" si="2"/>
        <v>0</v>
      </c>
      <c r="T20" s="167"/>
      <c r="V20" s="168">
        <f t="shared" si="5"/>
        <v>15</v>
      </c>
      <c r="W20" s="164" t="str">
        <f t="shared" si="3"/>
        <v>5.TRUYỀN THỐNG</v>
      </c>
      <c r="X20" s="159" t="str">
        <f t="shared" si="4"/>
        <v>F95</v>
      </c>
    </row>
    <row r="21" customHeight="1" spans="1:30">
      <c r="A21" s="165"/>
      <c r="B21" s="166"/>
      <c r="C21" s="164">
        <f t="shared" si="0"/>
        <v>16</v>
      </c>
      <c r="D21" s="158" t="str">
        <f>VLOOKUP(C21,DMSP!$A$1:$C$39,2,0)</f>
        <v>5.TRUYỀN THỐNG</v>
      </c>
      <c r="E21" s="159" t="str">
        <f>VLOOKUP(C21,DMSP!$A$1:$C$39,3,0)</f>
        <v>THIOURE</v>
      </c>
      <c r="F21" s="160">
        <f t="shared" si="1"/>
        <v>0</v>
      </c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2">
        <f t="shared" si="2"/>
        <v>0</v>
      </c>
      <c r="T21" s="167"/>
      <c r="V21" s="168">
        <f t="shared" si="5"/>
        <v>16</v>
      </c>
      <c r="W21" s="164" t="str">
        <f t="shared" si="3"/>
        <v>5.TRUYỀN THỐNG</v>
      </c>
      <c r="X21" s="159" t="str">
        <f t="shared" si="4"/>
        <v>THIOURE</v>
      </c>
      <c r="Y21" s="40" t="s">
        <v>7</v>
      </c>
      <c r="Z21" s="40" t="s">
        <v>7</v>
      </c>
      <c r="AA21" s="40" t="s">
        <v>7</v>
      </c>
      <c r="AB21" s="40" t="s">
        <v>7</v>
      </c>
      <c r="AC21" s="40" t="s">
        <v>7</v>
      </c>
      <c r="AD21" s="40" t="s">
        <v>7</v>
      </c>
    </row>
    <row r="22" customHeight="1" spans="1:30">
      <c r="A22" s="165"/>
      <c r="B22" s="166"/>
      <c r="C22" s="164">
        <f t="shared" si="0"/>
        <v>17</v>
      </c>
      <c r="D22" s="158" t="str">
        <f>VLOOKUP(C22,DMSP!$A$1:$C$39,2,0)</f>
        <v>5.TRUYỀN THỐNG</v>
      </c>
      <c r="E22" s="159" t="str">
        <f>VLOOKUP(C22,DMSP!$A$1:$C$39,3,0)</f>
        <v>TOBA JUM</v>
      </c>
      <c r="F22" s="160">
        <f t="shared" si="1"/>
        <v>0</v>
      </c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2">
        <f t="shared" si="2"/>
        <v>0</v>
      </c>
      <c r="T22" s="167"/>
      <c r="V22" s="168">
        <f t="shared" si="5"/>
        <v>17</v>
      </c>
      <c r="W22" s="164" t="str">
        <f t="shared" si="3"/>
        <v>5.TRUYỀN THỐNG</v>
      </c>
      <c r="X22" s="159" t="str">
        <f t="shared" si="4"/>
        <v>TOBA JUM</v>
      </c>
    </row>
    <row r="23" customHeight="1" spans="1:30">
      <c r="A23" s="165"/>
      <c r="B23" s="166"/>
      <c r="C23" s="164">
        <f t="shared" si="0"/>
        <v>18</v>
      </c>
      <c r="D23" s="158" t="str">
        <f>VLOOKUP(C23,DMSP!$A$1:$C$39,2,0)</f>
        <v>5.TRUYỀN THỐNG</v>
      </c>
      <c r="E23" s="159" t="str">
        <f>VLOOKUP(C23,DMSP!$A$1:$C$39,3,0)</f>
        <v>TOBA NET</v>
      </c>
      <c r="F23" s="160">
        <f t="shared" si="1"/>
        <v>0</v>
      </c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2">
        <f t="shared" si="2"/>
        <v>0</v>
      </c>
      <c r="T23" s="167"/>
      <c r="V23" s="168">
        <f t="shared" si="5"/>
        <v>18</v>
      </c>
      <c r="W23" s="164" t="str">
        <f t="shared" si="3"/>
        <v>5.TRUYỀN THỐNG</v>
      </c>
      <c r="X23" s="159" t="str">
        <f t="shared" si="4"/>
        <v>TOBA NET</v>
      </c>
      <c r="Z23" s="168">
        <f>DSUM($E$5:$T$2133,"1",$Y$9:$Y$10)</f>
        <v>90</v>
      </c>
    </row>
    <row r="24" customHeight="1" spans="1:30">
      <c r="A24" s="165"/>
      <c r="B24" s="166"/>
      <c r="C24" s="164">
        <f t="shared" si="0"/>
        <v>19</v>
      </c>
      <c r="D24" s="158" t="str">
        <f>VLOOKUP(C24,DMSP!$A$1:$C$39,2,0)</f>
        <v>6.BVTV</v>
      </c>
      <c r="E24" s="159" t="str">
        <f>VLOOKUP(C24,DMSP!$A$1:$C$39,3,0)</f>
        <v>ABAFAX 1.8</v>
      </c>
      <c r="F24" s="160">
        <f t="shared" si="1"/>
        <v>0</v>
      </c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2">
        <f t="shared" si="2"/>
        <v>0</v>
      </c>
      <c r="T24" s="167"/>
      <c r="V24" s="168">
        <f t="shared" si="5"/>
        <v>19</v>
      </c>
      <c r="W24" s="164" t="str">
        <f t="shared" si="3"/>
        <v>6.BVTV</v>
      </c>
      <c r="X24" s="159" t="str">
        <f t="shared" si="4"/>
        <v>ABAFAX 1.8</v>
      </c>
    </row>
    <row r="25" customHeight="1" spans="1:30">
      <c r="A25" s="165"/>
      <c r="B25" s="166"/>
      <c r="C25" s="164">
        <f t="shared" si="0"/>
        <v>20</v>
      </c>
      <c r="D25" s="158" t="str">
        <f>VLOOKUP(C25,DMSP!$A$1:$C$39,2,0)</f>
        <v>6.BVTV</v>
      </c>
      <c r="E25" s="159" t="str">
        <f>VLOOKUP(C25,DMSP!$A$1:$C$39,3,0)</f>
        <v>ABAFAX 3.6</v>
      </c>
      <c r="F25" s="160">
        <f t="shared" si="1"/>
        <v>0</v>
      </c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2">
        <f t="shared" si="2"/>
        <v>0</v>
      </c>
      <c r="T25" s="167"/>
      <c r="V25" s="168">
        <f t="shared" si="5"/>
        <v>20</v>
      </c>
      <c r="W25" s="164" t="str">
        <f t="shared" si="3"/>
        <v>6.BVTV</v>
      </c>
      <c r="X25" s="159" t="str">
        <f t="shared" si="4"/>
        <v>ABAFAX 3.6</v>
      </c>
    </row>
    <row r="26" customHeight="1" spans="1:30">
      <c r="A26" s="165"/>
      <c r="B26" s="166"/>
      <c r="C26" s="164">
        <f t="shared" si="0"/>
        <v>21</v>
      </c>
      <c r="D26" s="158" t="str">
        <f>VLOOKUP(C26,DMSP!$A$1:$C$39,2,0)</f>
        <v>6.BVTV</v>
      </c>
      <c r="E26" s="159" t="str">
        <f>VLOOKUP(C26,DMSP!$A$1:$C$39,3,0)</f>
        <v>AZET</v>
      </c>
      <c r="F26" s="160">
        <f t="shared" si="1"/>
        <v>0</v>
      </c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2">
        <f t="shared" si="2"/>
        <v>0</v>
      </c>
      <c r="T26" s="167"/>
      <c r="V26" s="168">
        <f t="shared" si="5"/>
        <v>21</v>
      </c>
      <c r="W26" s="164" t="str">
        <f t="shared" si="3"/>
        <v>6.BVTV</v>
      </c>
      <c r="X26" s="159" t="str">
        <f t="shared" si="4"/>
        <v>AZET</v>
      </c>
    </row>
    <row r="27" customHeight="1" spans="1:30">
      <c r="A27" s="165"/>
      <c r="B27" s="166"/>
      <c r="C27" s="164">
        <f t="shared" si="0"/>
        <v>22</v>
      </c>
      <c r="D27" s="158" t="str">
        <f>VLOOKUP(C27,DMSP!$A$1:$C$39,2,0)</f>
        <v>6.BVTV</v>
      </c>
      <c r="E27" s="159" t="str">
        <f>VLOOKUP(C27,DMSP!$A$1:$C$39,3,0)</f>
        <v>BACBA</v>
      </c>
      <c r="F27" s="160">
        <f t="shared" si="1"/>
        <v>0</v>
      </c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2">
        <f t="shared" si="2"/>
        <v>0</v>
      </c>
      <c r="T27" s="167"/>
      <c r="V27" s="168">
        <f t="shared" si="5"/>
        <v>22</v>
      </c>
      <c r="W27" s="164" t="str">
        <f t="shared" si="3"/>
        <v>6.BVTV</v>
      </c>
      <c r="X27" s="159" t="str">
        <f t="shared" si="4"/>
        <v>BACBA</v>
      </c>
    </row>
    <row r="28" customHeight="1" spans="1:30">
      <c r="A28" s="165"/>
      <c r="B28" s="166"/>
      <c r="C28" s="164">
        <f t="shared" si="0"/>
        <v>23</v>
      </c>
      <c r="D28" s="158" t="str">
        <f>VLOOKUP(C28,DMSP!$A$1:$C$39,2,0)</f>
        <v>6.BVTV</v>
      </c>
      <c r="E28" s="159" t="str">
        <f>VLOOKUP(C28,DMSP!$A$1:$C$39,3,0)</f>
        <v>BIOROSAMIL</v>
      </c>
      <c r="F28" s="160">
        <f t="shared" si="1"/>
        <v>10</v>
      </c>
      <c r="G28" s="161">
        <v>10</v>
      </c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2">
        <f t="shared" si="2"/>
        <v>10</v>
      </c>
      <c r="T28" s="167"/>
      <c r="V28" s="168">
        <f t="shared" si="5"/>
        <v>23</v>
      </c>
      <c r="W28" s="164" t="str">
        <f t="shared" si="3"/>
        <v>6.BVTV</v>
      </c>
      <c r="X28" s="159" t="str">
        <f t="shared" si="4"/>
        <v>BIOROSAMIL</v>
      </c>
    </row>
    <row r="29" customHeight="1" spans="1:30">
      <c r="A29" s="165"/>
      <c r="B29" s="166"/>
      <c r="C29" s="164">
        <f t="shared" si="0"/>
        <v>24</v>
      </c>
      <c r="D29" s="158" t="str">
        <f>VLOOKUP(C29,DMSP!$A$1:$C$39,2,0)</f>
        <v>6.BVTV</v>
      </c>
      <c r="E29" s="159" t="str">
        <f>VLOOKUP(C29,DMSP!$A$1:$C$39,3,0)</f>
        <v>COC 86</v>
      </c>
      <c r="F29" s="160">
        <f t="shared" si="1"/>
        <v>0</v>
      </c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2">
        <f t="shared" si="2"/>
        <v>0</v>
      </c>
      <c r="T29" s="167"/>
      <c r="V29" s="168">
        <f t="shared" si="5"/>
        <v>24</v>
      </c>
      <c r="W29" s="164" t="str">
        <f t="shared" si="3"/>
        <v>6.BVTV</v>
      </c>
      <c r="X29" s="159" t="str">
        <f t="shared" si="4"/>
        <v>COC 86</v>
      </c>
    </row>
    <row r="30" customHeight="1" spans="1:30">
      <c r="A30" s="165"/>
      <c r="B30" s="166"/>
      <c r="C30" s="164">
        <f t="shared" si="0"/>
        <v>25</v>
      </c>
      <c r="D30" s="158" t="str">
        <f>VLOOKUP(C30,DMSP!$A$1:$C$39,2,0)</f>
        <v>6.BVTV</v>
      </c>
      <c r="E30" s="159" t="str">
        <f>VLOOKUP(C30,DMSP!$A$1:$C$39,3,0)</f>
        <v>HEXA 5</v>
      </c>
      <c r="F30" s="160">
        <f t="shared" si="1"/>
        <v>75</v>
      </c>
      <c r="G30" s="161">
        <v>15</v>
      </c>
      <c r="H30" s="161">
        <v>15</v>
      </c>
      <c r="I30" s="161"/>
      <c r="J30" s="161">
        <v>30</v>
      </c>
      <c r="K30" s="161"/>
      <c r="L30" s="161">
        <v>15</v>
      </c>
      <c r="M30" s="161"/>
      <c r="N30" s="161"/>
      <c r="O30" s="161"/>
      <c r="P30" s="161"/>
      <c r="Q30" s="161"/>
      <c r="R30" s="161"/>
      <c r="S30" s="162">
        <f t="shared" si="2"/>
        <v>75</v>
      </c>
      <c r="T30" s="167"/>
      <c r="V30" s="168">
        <f t="shared" si="5"/>
        <v>25</v>
      </c>
      <c r="W30" s="164" t="str">
        <f t="shared" si="3"/>
        <v>6.BVTV</v>
      </c>
      <c r="X30" s="159" t="str">
        <f t="shared" si="4"/>
        <v>HEXA 5</v>
      </c>
    </row>
    <row r="31" customHeight="1" spans="1:30">
      <c r="A31" s="165"/>
      <c r="B31" s="166"/>
      <c r="C31" s="164">
        <f t="shared" si="0"/>
        <v>26</v>
      </c>
      <c r="D31" s="158" t="str">
        <f>VLOOKUP(C31,DMSP!$A$1:$C$39,2,0)</f>
        <v>6.BVTV</v>
      </c>
      <c r="E31" s="159" t="str">
        <f>VLOOKUP(C31,DMSP!$A$1:$C$39,3,0)</f>
        <v>TAMALA</v>
      </c>
      <c r="F31" s="160">
        <f t="shared" si="1"/>
        <v>0</v>
      </c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2">
        <f t="shared" si="2"/>
        <v>0</v>
      </c>
      <c r="T31" s="167"/>
      <c r="V31" s="168">
        <f t="shared" si="5"/>
        <v>26</v>
      </c>
      <c r="W31" s="164" t="str">
        <f t="shared" si="3"/>
        <v>6.BVTV</v>
      </c>
      <c r="X31" s="159" t="str">
        <f t="shared" si="4"/>
        <v>TAMALA</v>
      </c>
    </row>
    <row r="32" customHeight="1" spans="1:30">
      <c r="A32" s="165"/>
      <c r="B32" s="166"/>
      <c r="C32" s="164">
        <f t="shared" si="0"/>
        <v>27</v>
      </c>
      <c r="D32" s="158" t="str">
        <f>VLOOKUP(C32,DMSP!$A$1:$C$39,2,0)</f>
        <v>7.KHÁC</v>
      </c>
      <c r="E32" s="159" t="str">
        <f>VLOOKUP(C32,DMSP!$A$1:$C$39,3,0)</f>
        <v>KẼM VÀNG</v>
      </c>
      <c r="F32" s="160">
        <f t="shared" si="1"/>
        <v>0</v>
      </c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2">
        <f t="shared" si="2"/>
        <v>0</v>
      </c>
      <c r="T32" s="167"/>
      <c r="V32" s="168">
        <f t="shared" si="5"/>
        <v>27</v>
      </c>
      <c r="W32" s="164" t="str">
        <f t="shared" si="3"/>
        <v>7.KHÁC</v>
      </c>
      <c r="X32" s="159" t="str">
        <f t="shared" si="4"/>
        <v>KẼM VÀNG</v>
      </c>
    </row>
    <row r="33" customHeight="1" spans="1:24">
      <c r="A33" s="165"/>
      <c r="B33" s="166"/>
      <c r="C33" s="164">
        <f t="shared" si="0"/>
        <v>28</v>
      </c>
      <c r="D33" s="158" t="str">
        <f>VLOOKUP(C33,DMSP!$A$1:$C$39,2,0)</f>
        <v>7.KHÁC</v>
      </c>
      <c r="E33" s="159" t="str">
        <f>VLOOKUP(C33,DMSP!$A$1:$C$39,3,0)</f>
        <v>KHÁC1</v>
      </c>
      <c r="F33" s="160">
        <f t="shared" si="1"/>
        <v>56</v>
      </c>
      <c r="G33" s="161">
        <v>5</v>
      </c>
      <c r="H33" s="161"/>
      <c r="I33" s="161">
        <v>13</v>
      </c>
      <c r="J33" s="161">
        <v>14</v>
      </c>
      <c r="K33" s="161"/>
      <c r="L33" s="161"/>
      <c r="M33" s="161"/>
      <c r="N33" s="161"/>
      <c r="O33" s="161"/>
      <c r="P33" s="161"/>
      <c r="Q33" s="161">
        <v>24</v>
      </c>
      <c r="R33" s="161"/>
      <c r="S33" s="162">
        <f t="shared" si="2"/>
        <v>56</v>
      </c>
      <c r="T33" s="167"/>
      <c r="V33" s="168">
        <f t="shared" si="5"/>
        <v>28</v>
      </c>
      <c r="W33" s="164" t="str">
        <f t="shared" si="3"/>
        <v>7.KHÁC</v>
      </c>
      <c r="X33" s="159" t="str">
        <f t="shared" si="4"/>
        <v>KHÁC1</v>
      </c>
    </row>
    <row r="34" customHeight="1" spans="1:24">
      <c r="A34" s="165"/>
      <c r="B34" s="166"/>
      <c r="C34" s="164">
        <f t="shared" si="0"/>
        <v>29</v>
      </c>
      <c r="D34" s="158" t="str">
        <f>VLOOKUP(C34,DMSP!$A$1:$C$39,2,0)</f>
        <v>7.KHÁC</v>
      </c>
      <c r="E34" s="169" t="s">
        <v>13</v>
      </c>
      <c r="F34" s="160">
        <f t="shared" si="1"/>
        <v>38</v>
      </c>
      <c r="G34" s="161">
        <v>19</v>
      </c>
      <c r="H34" s="161">
        <v>19</v>
      </c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2">
        <f t="shared" si="2"/>
        <v>38</v>
      </c>
      <c r="T34" s="167"/>
      <c r="V34" s="168">
        <f t="shared" si="5"/>
        <v>29</v>
      </c>
      <c r="W34" s="164" t="str">
        <f t="shared" si="3"/>
        <v>7.KHÁC</v>
      </c>
      <c r="X34" s="159" t="str">
        <f t="shared" si="4"/>
        <v>REACH</v>
      </c>
    </row>
    <row r="35" customHeight="1" spans="1:24">
      <c r="A35" s="165"/>
      <c r="B35" s="166"/>
      <c r="C35" s="164">
        <f t="shared" si="0"/>
        <v>30</v>
      </c>
      <c r="D35" s="158" t="str">
        <f>VLOOKUP(C35,DMSP!$A$1:$C$39,2,0)</f>
        <v>7.KHÁC</v>
      </c>
      <c r="E35" s="159" t="str">
        <f>VLOOKUP(C35,DMSP!$A$1:$C$39,3,0)</f>
        <v>RỬA RONG RÊU</v>
      </c>
      <c r="F35" s="160">
        <f t="shared" si="1"/>
        <v>0</v>
      </c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2">
        <f t="shared" si="2"/>
        <v>0</v>
      </c>
      <c r="T35" s="167"/>
      <c r="V35" s="168">
        <f t="shared" si="5"/>
        <v>30</v>
      </c>
      <c r="W35" s="164" t="str">
        <f t="shared" si="3"/>
        <v>7.KHÁC</v>
      </c>
      <c r="X35" s="159" t="str">
        <f t="shared" si="4"/>
        <v>RỬA RONG RÊU</v>
      </c>
    </row>
    <row r="36" customHeight="1" spans="1:24">
      <c r="A36" s="165"/>
      <c r="B36" s="166"/>
      <c r="C36" s="164">
        <f t="shared" si="0"/>
        <v>31</v>
      </c>
      <c r="D36" s="158" t="str">
        <f>VLOOKUP(C36,DMSP!$A$1:$C$39,2,0)</f>
        <v>7.KHÁC</v>
      </c>
      <c r="E36" s="159" t="str">
        <f>VLOOKUP(C36,DMSP!$A$1:$C$39,3,0)</f>
        <v>TB BO</v>
      </c>
      <c r="F36" s="160">
        <f t="shared" si="1"/>
        <v>0</v>
      </c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2">
        <f t="shared" si="2"/>
        <v>0</v>
      </c>
      <c r="T36" s="167"/>
      <c r="V36" s="168">
        <f t="shared" si="5"/>
        <v>31</v>
      </c>
      <c r="W36" s="164" t="str">
        <f t="shared" si="3"/>
        <v>7.KHÁC</v>
      </c>
      <c r="X36" s="159" t="str">
        <f t="shared" si="4"/>
        <v>TB BO</v>
      </c>
    </row>
    <row r="37" customHeight="1" spans="1:24">
      <c r="A37" s="165"/>
      <c r="B37" s="166"/>
      <c r="C37" s="164">
        <f t="shared" si="0"/>
        <v>32</v>
      </c>
      <c r="D37" s="158" t="str">
        <f>VLOOKUP(C37,DMSP!$A$1:$C$39,2,0)</f>
        <v>7.KHÁC</v>
      </c>
      <c r="E37" s="159" t="str">
        <f>VLOOKUP(C37,DMSP!$A$1:$C$39,3,0)</f>
        <v>TB FRUIT</v>
      </c>
      <c r="F37" s="160">
        <f t="shared" si="1"/>
        <v>0</v>
      </c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2">
        <f t="shared" si="2"/>
        <v>0</v>
      </c>
      <c r="T37" s="167"/>
      <c r="V37" s="168">
        <f t="shared" si="5"/>
        <v>32</v>
      </c>
      <c r="W37" s="164" t="str">
        <f t="shared" si="3"/>
        <v>7.KHÁC</v>
      </c>
      <c r="X37" s="159" t="str">
        <f t="shared" si="4"/>
        <v>TB FRUIT</v>
      </c>
    </row>
    <row r="38" customHeight="1" spans="1:24">
      <c r="A38" s="165"/>
      <c r="B38" s="166"/>
      <c r="C38" s="164">
        <f t="shared" si="0"/>
        <v>33</v>
      </c>
      <c r="D38" s="158" t="str">
        <f>VLOOKUP(C38,DMSP!$A$1:$C$39,2,0)</f>
        <v>7.KHÁC</v>
      </c>
      <c r="E38" s="159" t="str">
        <f>VLOOKUP(C38,DMSP!$A$1:$C$39,3,0)</f>
        <v>TB PHOS</v>
      </c>
      <c r="F38" s="160">
        <f t="shared" si="1"/>
        <v>0</v>
      </c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2">
        <f t="shared" si="2"/>
        <v>0</v>
      </c>
      <c r="T38" s="167"/>
      <c r="V38" s="168">
        <f t="shared" si="5"/>
        <v>33</v>
      </c>
      <c r="W38" s="164" t="str">
        <f t="shared" si="3"/>
        <v>7.KHÁC</v>
      </c>
      <c r="X38" s="159" t="str">
        <f t="shared" si="4"/>
        <v>TB PHOS</v>
      </c>
    </row>
    <row r="39" customHeight="1" spans="1:24">
      <c r="A39" s="165"/>
      <c r="B39" s="166"/>
      <c r="C39" s="164">
        <f t="shared" si="0"/>
        <v>34</v>
      </c>
      <c r="D39" s="158" t="str">
        <f>VLOOKUP(C39,DMSP!$A$1:$C$39,2,0)</f>
        <v>7.KHÁC</v>
      </c>
      <c r="E39" s="159" t="str">
        <f>VLOOKUP(C39,DMSP!$A$1:$C$39,3,0)</f>
        <v>TOBA BÁM DÍNH</v>
      </c>
      <c r="F39" s="160">
        <f t="shared" si="1"/>
        <v>4</v>
      </c>
      <c r="G39" s="161"/>
      <c r="H39" s="161">
        <v>4</v>
      </c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2">
        <f t="shared" si="2"/>
        <v>4</v>
      </c>
      <c r="T39" s="167"/>
      <c r="V39" s="168">
        <f t="shared" si="5"/>
        <v>34</v>
      </c>
      <c r="W39" s="164" t="str">
        <f t="shared" si="3"/>
        <v>7.KHÁC</v>
      </c>
      <c r="X39" s="159" t="str">
        <f t="shared" si="4"/>
        <v>TOBA BÁM DÍNH</v>
      </c>
    </row>
    <row r="40" customHeight="1" spans="1:24">
      <c r="A40" s="165"/>
      <c r="B40" s="166"/>
      <c r="C40" s="164">
        <f t="shared" si="0"/>
        <v>35</v>
      </c>
      <c r="D40" s="158" t="str">
        <f>VLOOKUP(C40,DMSP!$A$1:$C$39,2,0)</f>
        <v>7.KHÁC</v>
      </c>
      <c r="E40" s="159" t="str">
        <f>VLOOKUP(C40,DMSP!$A$1:$C$39,3,0)</f>
        <v>VỌT HOA NHÃN</v>
      </c>
      <c r="F40" s="160">
        <f t="shared" si="1"/>
        <v>0</v>
      </c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2">
        <f t="shared" si="2"/>
        <v>0</v>
      </c>
      <c r="T40" s="167"/>
      <c r="V40" s="168">
        <f t="shared" si="5"/>
        <v>35</v>
      </c>
      <c r="W40" s="164" t="str">
        <f t="shared" si="3"/>
        <v>7.KHÁC</v>
      </c>
      <c r="X40" s="159" t="str">
        <f t="shared" si="4"/>
        <v>VỌT HOA NHÃN</v>
      </c>
    </row>
    <row r="41" customHeight="1" spans="1:24">
      <c r="A41" s="165"/>
      <c r="B41" s="166"/>
      <c r="C41" s="164">
        <f t="shared" si="0"/>
        <v>36</v>
      </c>
      <c r="D41" s="158" t="str">
        <f>VLOOKUP(C41,DMSP!$A$1:$C$39,2,0)</f>
        <v>7.KHÁC</v>
      </c>
      <c r="E41" s="159" t="str">
        <f>VLOOKUP(C41,DMSP!$A$1:$C$39,3,0)</f>
        <v>VỌT HOA XOÀI</v>
      </c>
      <c r="F41" s="160">
        <f t="shared" si="1"/>
        <v>0</v>
      </c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2">
        <f t="shared" si="2"/>
        <v>0</v>
      </c>
      <c r="T41" s="167"/>
      <c r="V41" s="168">
        <f t="shared" si="5"/>
        <v>36</v>
      </c>
      <c r="W41" s="164" t="str">
        <f t="shared" si="3"/>
        <v>7.KHÁC</v>
      </c>
      <c r="X41" s="159" t="str">
        <f t="shared" si="4"/>
        <v>VỌT HOA XOÀI</v>
      </c>
    </row>
    <row r="42" customHeight="1" spans="1:24">
      <c r="A42" s="165"/>
      <c r="B42" s="166"/>
      <c r="C42" s="164">
        <f t="shared" si="0"/>
        <v>37</v>
      </c>
      <c r="D42" s="158" t="str">
        <f>VLOOKUP(C42,DMSP!$A$1:$C$39,2,0)</f>
        <v>7.KHÁC</v>
      </c>
      <c r="E42" s="159" t="str">
        <f>VLOOKUP(C42,DMSP!$A$1:$C$39,3,0)</f>
        <v>VỌT HOA XOÀI</v>
      </c>
      <c r="F42" s="160">
        <f t="shared" si="1"/>
        <v>0</v>
      </c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2">
        <f t="shared" si="2"/>
        <v>0</v>
      </c>
      <c r="T42" s="167"/>
      <c r="V42" s="168">
        <f t="shared" si="5"/>
        <v>37</v>
      </c>
      <c r="W42" s="164" t="str">
        <f t="shared" si="3"/>
        <v>7.KHÁC</v>
      </c>
      <c r="X42" s="159" t="str">
        <f t="shared" si="4"/>
        <v>VỌT HOA XOÀI</v>
      </c>
    </row>
    <row r="43" ht="15.6" spans="1:24">
      <c r="A43" s="165"/>
      <c r="B43" s="92"/>
      <c r="C43" s="170" t="str">
        <f>B6</f>
        <v>GIÁO CÔNG </v>
      </c>
      <c r="D43" s="171"/>
      <c r="E43" s="172" t="str">
        <f>"TOTAL "&amp;B6</f>
        <v>TOTAL GIÁO CÔNG </v>
      </c>
      <c r="F43" s="173">
        <f t="shared" si="1"/>
        <v>414</v>
      </c>
      <c r="G43" s="174">
        <f>SUM(G6:G42)</f>
        <v>127</v>
      </c>
      <c r="H43" s="174">
        <f t="shared" ref="H43:R43" si="6">SUM(H6:H42)</f>
        <v>38</v>
      </c>
      <c r="I43" s="174">
        <f t="shared" si="6"/>
        <v>13</v>
      </c>
      <c r="J43" s="174">
        <f t="shared" si="6"/>
        <v>79</v>
      </c>
      <c r="K43" s="174">
        <f t="shared" si="6"/>
        <v>25</v>
      </c>
      <c r="L43" s="174">
        <f t="shared" si="6"/>
        <v>82</v>
      </c>
      <c r="M43" s="174">
        <f t="shared" si="6"/>
        <v>0</v>
      </c>
      <c r="N43" s="174">
        <f t="shared" si="6"/>
        <v>0</v>
      </c>
      <c r="O43" s="174">
        <f t="shared" si="6"/>
        <v>0</v>
      </c>
      <c r="P43" s="174">
        <f t="shared" si="6"/>
        <v>0</v>
      </c>
      <c r="Q43" s="174">
        <f t="shared" si="6"/>
        <v>50</v>
      </c>
      <c r="R43" s="174">
        <f t="shared" si="6"/>
        <v>0</v>
      </c>
      <c r="S43" s="174">
        <f t="shared" si="2"/>
        <v>414</v>
      </c>
      <c r="T43" s="175"/>
    </row>
    <row r="44" ht="18" customHeight="1" spans="1:24">
      <c r="B44" s="156" t="s">
        <v>14</v>
      </c>
      <c r="C44" s="157">
        <v>1</v>
      </c>
      <c r="D44" s="158" t="str">
        <f>VLOOKUP(C44,DMSP!$A$1:$C$39,2,0)</f>
        <v>1.TOBA XANH</v>
      </c>
      <c r="E44" s="159" t="str">
        <f>VLOOKUP(C44,DMSP!$A$1:$C$39,3,0)</f>
        <v>TOBA XANH</v>
      </c>
      <c r="F44" s="160">
        <f t="shared" si="1"/>
        <v>0</v>
      </c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2">
        <f t="shared" si="2"/>
        <v>0</v>
      </c>
      <c r="T44" s="163">
        <f>S81</f>
        <v>190</v>
      </c>
    </row>
    <row r="45" ht="15.6" spans="1:24">
      <c r="B45" s="166"/>
      <c r="C45" s="164">
        <f t="shared" ref="C45:C80" si="7">C44+1</f>
        <v>2</v>
      </c>
      <c r="D45" s="158" t="str">
        <f>VLOOKUP(C45,DMSP!$A$1:$C$39,2,0)</f>
        <v>2.HC</v>
      </c>
      <c r="E45" s="159" t="str">
        <f>VLOOKUP(C45,DMSP!$A$1:$C$39,3,0)</f>
        <v>HC BOOSTER</v>
      </c>
      <c r="F45" s="160">
        <f t="shared" si="1"/>
        <v>0</v>
      </c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2">
        <f t="shared" ref="S45:S82" si="8">SUM(G45:R45)</f>
        <v>0</v>
      </c>
      <c r="T45" s="167"/>
    </row>
    <row r="46" customHeight="1" spans="1:24">
      <c r="B46" s="166"/>
      <c r="C46" s="164">
        <f t="shared" si="7"/>
        <v>3</v>
      </c>
      <c r="D46" s="158" t="str">
        <f>VLOOKUP(C46,DMSP!$A$1:$C$39,2,0)</f>
        <v>2.HC</v>
      </c>
      <c r="E46" s="159" t="str">
        <f>VLOOKUP(C46,DMSP!$A$1:$C$39,3,0)</f>
        <v>HC KING-ROOT</v>
      </c>
      <c r="F46" s="160">
        <f t="shared" si="1"/>
        <v>0</v>
      </c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2">
        <f t="shared" si="8"/>
        <v>0</v>
      </c>
      <c r="T46" s="167"/>
    </row>
    <row r="47" customHeight="1" spans="1:24">
      <c r="B47" s="166"/>
      <c r="C47" s="164">
        <f t="shared" si="7"/>
        <v>4</v>
      </c>
      <c r="D47" s="158" t="str">
        <f>VLOOKUP(C47,DMSP!$A$1:$C$39,2,0)</f>
        <v>2.HC</v>
      </c>
      <c r="E47" s="159" t="str">
        <f>VLOOKUP(C47,DMSP!$A$1:$C$39,3,0)</f>
        <v>HAPPY FARM</v>
      </c>
      <c r="F47" s="160">
        <f t="shared" si="1"/>
        <v>0</v>
      </c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2">
        <f t="shared" si="8"/>
        <v>0</v>
      </c>
      <c r="T47" s="167"/>
    </row>
    <row r="48" customHeight="1" spans="1:24">
      <c r="B48" s="166"/>
      <c r="C48" s="164">
        <f t="shared" si="7"/>
        <v>5</v>
      </c>
      <c r="D48" s="158" t="str">
        <f>VLOOKUP(C48,DMSP!$A$1:$C$39,2,0)</f>
        <v>2.HC</v>
      </c>
      <c r="E48" s="159" t="str">
        <f>VLOOKUP(C48,DMSP!$A$1:$C$39,3,0)</f>
        <v>WOW</v>
      </c>
      <c r="F48" s="160">
        <f t="shared" si="1"/>
        <v>0</v>
      </c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2">
        <f t="shared" si="8"/>
        <v>0</v>
      </c>
      <c r="T48" s="167"/>
    </row>
    <row r="49" customHeight="1" spans="2:20">
      <c r="B49" s="166"/>
      <c r="C49" s="164">
        <f t="shared" si="7"/>
        <v>6</v>
      </c>
      <c r="D49" s="158" t="str">
        <f>VLOOKUP(C49,DMSP!$A$1:$C$39,2,0)</f>
        <v>3.SPRAY </v>
      </c>
      <c r="E49" s="159" t="str">
        <f>VLOOKUP(C49,DMSP!$A$1:$C$39,3,0)</f>
        <v>KELPIT</v>
      </c>
      <c r="F49" s="160">
        <f t="shared" si="1"/>
        <v>0</v>
      </c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2">
        <f t="shared" si="8"/>
        <v>0</v>
      </c>
      <c r="T49" s="167"/>
    </row>
    <row r="50" customHeight="1" spans="2:20">
      <c r="B50" s="166"/>
      <c r="C50" s="164">
        <f t="shared" si="7"/>
        <v>7</v>
      </c>
      <c r="D50" s="158" t="str">
        <f>VLOOKUP(C50,DMSP!$A$1:$C$39,2,0)</f>
        <v>3.SPRAY </v>
      </c>
      <c r="E50" s="159" t="str">
        <f>VLOOKUP(C50,DMSP!$A$1:$C$39,3,0)</f>
        <v>SI-K</v>
      </c>
      <c r="F50" s="160">
        <f t="shared" si="1"/>
        <v>0</v>
      </c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2">
        <f t="shared" si="8"/>
        <v>0</v>
      </c>
      <c r="T50" s="167"/>
    </row>
    <row r="51" customHeight="1" spans="2:20">
      <c r="B51" s="166"/>
      <c r="C51" s="164">
        <f t="shared" si="7"/>
        <v>8</v>
      </c>
      <c r="D51" s="158" t="str">
        <f>VLOOKUP(C51,DMSP!$A$1:$C$39,2,0)</f>
        <v>3.SPRAY </v>
      </c>
      <c r="E51" s="159" t="str">
        <f>VLOOKUP(C51,DMSP!$A$1:$C$39,3,0)</f>
        <v>SPRAY PHOS 620</v>
      </c>
      <c r="F51" s="160">
        <f t="shared" si="1"/>
        <v>0</v>
      </c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2">
        <f t="shared" si="8"/>
        <v>0</v>
      </c>
      <c r="T51" s="167"/>
    </row>
    <row r="52" customHeight="1" spans="2:20">
      <c r="B52" s="166"/>
      <c r="C52" s="164">
        <f t="shared" si="7"/>
        <v>9</v>
      </c>
      <c r="D52" s="158" t="str">
        <f>VLOOKUP(C52,DMSP!$A$1:$C$39,2,0)</f>
        <v>4.DƯỠNG RỄ</v>
      </c>
      <c r="E52" s="159" t="str">
        <f>VLOOKUP(C52,DMSP!$A$1:$C$39,3,0)</f>
        <v>CHITOSAN</v>
      </c>
      <c r="F52" s="160">
        <f t="shared" si="1"/>
        <v>0</v>
      </c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2">
        <f t="shared" si="8"/>
        <v>0</v>
      </c>
      <c r="T52" s="167"/>
    </row>
    <row r="53" customHeight="1" spans="2:20">
      <c r="B53" s="166"/>
      <c r="C53" s="164">
        <f t="shared" si="7"/>
        <v>10</v>
      </c>
      <c r="D53" s="158" t="str">
        <f>VLOOKUP(C53,DMSP!$A$1:$C$39,2,0)</f>
        <v>4.DƯỠNG RỄ</v>
      </c>
      <c r="E53" s="159" t="str">
        <f>VLOOKUP(C53,DMSP!$A$1:$C$39,3,0)</f>
        <v>ĐẠM CÁ</v>
      </c>
      <c r="F53" s="160">
        <f t="shared" si="1"/>
        <v>0</v>
      </c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2">
        <f t="shared" si="8"/>
        <v>0</v>
      </c>
      <c r="T53" s="167"/>
    </row>
    <row r="54" customHeight="1" spans="2:20">
      <c r="B54" s="166"/>
      <c r="C54" s="164">
        <f t="shared" si="7"/>
        <v>11</v>
      </c>
      <c r="D54" s="158" t="str">
        <f>VLOOKUP(C54,DMSP!$A$1:$C$39,2,0)</f>
        <v>4.DƯỠNG RỄ</v>
      </c>
      <c r="E54" s="159" t="str">
        <f>VLOOKUP(C54,DMSP!$A$1:$C$39,3,0)</f>
        <v>ĐẠM TÔM</v>
      </c>
      <c r="F54" s="160">
        <f t="shared" si="1"/>
        <v>0</v>
      </c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2">
        <f t="shared" si="8"/>
        <v>0</v>
      </c>
      <c r="T54" s="167"/>
    </row>
    <row r="55" customHeight="1" spans="2:20">
      <c r="B55" s="166"/>
      <c r="C55" s="164">
        <f t="shared" si="7"/>
        <v>12</v>
      </c>
      <c r="D55" s="158" t="str">
        <f>VLOOKUP(C55,DMSP!$A$1:$C$39,2,0)</f>
        <v>4.DƯỠNG RỄ</v>
      </c>
      <c r="E55" s="159" t="str">
        <f>VLOOKUP(C55,DMSP!$A$1:$C$39,3,0)</f>
        <v>SUPERMIC</v>
      </c>
      <c r="F55" s="160">
        <f t="shared" si="1"/>
        <v>0</v>
      </c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2">
        <f t="shared" si="8"/>
        <v>0</v>
      </c>
      <c r="T55" s="167"/>
    </row>
    <row r="56" customHeight="1" spans="2:20">
      <c r="B56" s="166"/>
      <c r="C56" s="164">
        <f t="shared" si="7"/>
        <v>13</v>
      </c>
      <c r="D56" s="158" t="str">
        <f>VLOOKUP(C56,DMSP!$A$1:$C$39,2,0)</f>
        <v>5.TRUYỀN THỐNG</v>
      </c>
      <c r="E56" s="159" t="str">
        <f>VLOOKUP(C56,DMSP!$A$1:$C$39,3,0)</f>
        <v>CABO</v>
      </c>
      <c r="F56" s="160">
        <f t="shared" si="1"/>
        <v>0</v>
      </c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2">
        <f t="shared" si="8"/>
        <v>0</v>
      </c>
      <c r="T56" s="167"/>
    </row>
    <row r="57" customHeight="1" spans="2:20">
      <c r="B57" s="166"/>
      <c r="C57" s="164">
        <f t="shared" si="7"/>
        <v>14</v>
      </c>
      <c r="D57" s="158" t="str">
        <f>VLOOKUP(C57,DMSP!$A$1:$C$39,2,0)</f>
        <v>5.TRUYỀN THỐNG</v>
      </c>
      <c r="E57" s="159" t="str">
        <f>VLOOKUP(C57,DMSP!$A$1:$C$39,3,0)</f>
        <v>F94</v>
      </c>
      <c r="F57" s="160">
        <f t="shared" si="1"/>
        <v>0</v>
      </c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2">
        <f t="shared" si="8"/>
        <v>0</v>
      </c>
      <c r="T57" s="167"/>
    </row>
    <row r="58" customHeight="1" spans="2:20">
      <c r="B58" s="166"/>
      <c r="C58" s="164">
        <f t="shared" si="7"/>
        <v>15</v>
      </c>
      <c r="D58" s="158" t="str">
        <f>VLOOKUP(C58,DMSP!$A$1:$C$39,2,0)</f>
        <v>5.TRUYỀN THỐNG</v>
      </c>
      <c r="E58" s="159" t="str">
        <f>VLOOKUP(C58,DMSP!$A$1:$C$39,3,0)</f>
        <v>F95</v>
      </c>
      <c r="F58" s="160">
        <f t="shared" si="1"/>
        <v>0</v>
      </c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2">
        <f t="shared" si="8"/>
        <v>0</v>
      </c>
      <c r="T58" s="167"/>
    </row>
    <row r="59" customHeight="1" spans="2:20">
      <c r="B59" s="166"/>
      <c r="C59" s="164">
        <f t="shared" si="7"/>
        <v>16</v>
      </c>
      <c r="D59" s="158" t="str">
        <f>VLOOKUP(C59,DMSP!$A$1:$C$39,2,0)</f>
        <v>5.TRUYỀN THỐNG</v>
      </c>
      <c r="E59" s="159" t="str">
        <f>VLOOKUP(C59,DMSP!$A$1:$C$39,3,0)</f>
        <v>THIOURE</v>
      </c>
      <c r="F59" s="160">
        <f t="shared" si="1"/>
        <v>0</v>
      </c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2">
        <f t="shared" si="8"/>
        <v>0</v>
      </c>
      <c r="T59" s="167"/>
    </row>
    <row r="60" customHeight="1" spans="2:20">
      <c r="B60" s="166"/>
      <c r="C60" s="164">
        <f t="shared" si="7"/>
        <v>17</v>
      </c>
      <c r="D60" s="158" t="str">
        <f>VLOOKUP(C60,DMSP!$A$1:$C$39,2,0)</f>
        <v>5.TRUYỀN THỐNG</v>
      </c>
      <c r="E60" s="159" t="str">
        <f>VLOOKUP(C60,DMSP!$A$1:$C$39,3,0)</f>
        <v>TOBA JUM</v>
      </c>
      <c r="F60" s="160">
        <f t="shared" si="1"/>
        <v>0</v>
      </c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2">
        <f t="shared" si="8"/>
        <v>0</v>
      </c>
      <c r="T60" s="167"/>
    </row>
    <row r="61" customHeight="1" spans="2:20">
      <c r="B61" s="166"/>
      <c r="C61" s="164">
        <f t="shared" si="7"/>
        <v>18</v>
      </c>
      <c r="D61" s="158" t="str">
        <f>VLOOKUP(C61,DMSP!$A$1:$C$39,2,0)</f>
        <v>5.TRUYỀN THỐNG</v>
      </c>
      <c r="E61" s="159" t="str">
        <f>VLOOKUP(C61,DMSP!$A$1:$C$39,3,0)</f>
        <v>TOBA NET</v>
      </c>
      <c r="F61" s="160">
        <f t="shared" si="1"/>
        <v>0</v>
      </c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2">
        <f t="shared" si="8"/>
        <v>0</v>
      </c>
      <c r="T61" s="167"/>
    </row>
    <row r="62" customHeight="1" spans="2:20">
      <c r="B62" s="166"/>
      <c r="C62" s="164">
        <f t="shared" si="7"/>
        <v>19</v>
      </c>
      <c r="D62" s="158" t="str">
        <f>VLOOKUP(C62,DMSP!$A$1:$C$39,2,0)</f>
        <v>6.BVTV</v>
      </c>
      <c r="E62" s="159" t="str">
        <f>VLOOKUP(C62,DMSP!$A$1:$C$39,3,0)</f>
        <v>ABAFAX 1.8</v>
      </c>
      <c r="F62" s="160">
        <f t="shared" si="1"/>
        <v>0</v>
      </c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2">
        <f t="shared" si="8"/>
        <v>0</v>
      </c>
      <c r="T62" s="167"/>
    </row>
    <row r="63" customHeight="1" spans="2:20">
      <c r="B63" s="166"/>
      <c r="C63" s="164">
        <f t="shared" si="7"/>
        <v>20</v>
      </c>
      <c r="D63" s="158" t="str">
        <f>VLOOKUP(C63,DMSP!$A$1:$C$39,2,0)</f>
        <v>6.BVTV</v>
      </c>
      <c r="E63" s="159" t="str">
        <f>VLOOKUP(C63,DMSP!$A$1:$C$39,3,0)</f>
        <v>ABAFAX 3.6</v>
      </c>
      <c r="F63" s="160">
        <f t="shared" si="1"/>
        <v>0</v>
      </c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2">
        <f t="shared" si="8"/>
        <v>0</v>
      </c>
      <c r="T63" s="167"/>
    </row>
    <row r="64" customHeight="1" spans="2:20">
      <c r="B64" s="166"/>
      <c r="C64" s="164">
        <f t="shared" si="7"/>
        <v>21</v>
      </c>
      <c r="D64" s="158" t="str">
        <f>VLOOKUP(C64,DMSP!$A$1:$C$39,2,0)</f>
        <v>6.BVTV</v>
      </c>
      <c r="E64" s="159" t="str">
        <f>VLOOKUP(C64,DMSP!$A$1:$C$39,3,0)</f>
        <v>AZET</v>
      </c>
      <c r="F64" s="160">
        <f t="shared" si="1"/>
        <v>0</v>
      </c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2">
        <f t="shared" si="8"/>
        <v>0</v>
      </c>
      <c r="T64" s="167"/>
    </row>
    <row r="65" customHeight="1" spans="2:20">
      <c r="B65" s="166"/>
      <c r="C65" s="164">
        <f t="shared" si="7"/>
        <v>22</v>
      </c>
      <c r="D65" s="158" t="str">
        <f>VLOOKUP(C65,DMSP!$A$1:$C$39,2,0)</f>
        <v>6.BVTV</v>
      </c>
      <c r="E65" s="159" t="str">
        <f>VLOOKUP(C65,DMSP!$A$1:$C$39,3,0)</f>
        <v>BACBA</v>
      </c>
      <c r="F65" s="160">
        <f t="shared" si="1"/>
        <v>0</v>
      </c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2">
        <f t="shared" si="8"/>
        <v>0</v>
      </c>
      <c r="T65" s="167"/>
    </row>
    <row r="66" customHeight="1" spans="2:20">
      <c r="B66" s="166"/>
      <c r="C66" s="164">
        <f t="shared" si="7"/>
        <v>23</v>
      </c>
      <c r="D66" s="158" t="str">
        <f>VLOOKUP(C66,DMSP!$A$1:$C$39,2,0)</f>
        <v>6.BVTV</v>
      </c>
      <c r="E66" s="159" t="str">
        <f>VLOOKUP(C66,DMSP!$A$1:$C$39,3,0)</f>
        <v>BIOROSAMIL</v>
      </c>
      <c r="F66" s="160">
        <f t="shared" si="1"/>
        <v>0</v>
      </c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2">
        <f t="shared" si="8"/>
        <v>0</v>
      </c>
      <c r="T66" s="167"/>
    </row>
    <row r="67" customHeight="1" spans="2:20">
      <c r="B67" s="166"/>
      <c r="C67" s="164">
        <f t="shared" si="7"/>
        <v>24</v>
      </c>
      <c r="D67" s="158" t="str">
        <f>VLOOKUP(C67,DMSP!$A$1:$C$39,2,0)</f>
        <v>6.BVTV</v>
      </c>
      <c r="E67" s="159" t="str">
        <f>VLOOKUP(C67,DMSP!$A$1:$C$39,3,0)</f>
        <v>COC 86</v>
      </c>
      <c r="F67" s="160">
        <f t="shared" si="1"/>
        <v>0</v>
      </c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2">
        <f t="shared" si="8"/>
        <v>0</v>
      </c>
      <c r="T67" s="167"/>
    </row>
    <row r="68" customHeight="1" spans="2:20">
      <c r="B68" s="166"/>
      <c r="C68" s="164">
        <f t="shared" si="7"/>
        <v>25</v>
      </c>
      <c r="D68" s="158" t="str">
        <f>VLOOKUP(C68,DMSP!$A$1:$C$39,2,0)</f>
        <v>6.BVTV</v>
      </c>
      <c r="E68" s="159" t="str">
        <f>VLOOKUP(C68,DMSP!$A$1:$C$39,3,0)</f>
        <v>HEXA 5</v>
      </c>
      <c r="F68" s="160">
        <f t="shared" si="1"/>
        <v>0</v>
      </c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2">
        <f t="shared" si="8"/>
        <v>0</v>
      </c>
      <c r="T68" s="167"/>
    </row>
    <row r="69" customHeight="1" spans="2:20">
      <c r="B69" s="166"/>
      <c r="C69" s="164">
        <f t="shared" si="7"/>
        <v>26</v>
      </c>
      <c r="D69" s="158" t="str">
        <f>VLOOKUP(C69,DMSP!$A$1:$C$39,2,0)</f>
        <v>6.BVTV</v>
      </c>
      <c r="E69" s="159" t="str">
        <f>VLOOKUP(C69,DMSP!$A$1:$C$39,3,0)</f>
        <v>TAMALA</v>
      </c>
      <c r="F69" s="160">
        <f t="shared" si="1"/>
        <v>0</v>
      </c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2">
        <f t="shared" si="8"/>
        <v>0</v>
      </c>
      <c r="T69" s="167"/>
    </row>
    <row r="70" customHeight="1" spans="2:20">
      <c r="B70" s="166"/>
      <c r="C70" s="164">
        <f t="shared" si="7"/>
        <v>27</v>
      </c>
      <c r="D70" s="158" t="str">
        <f>VLOOKUP(C70,DMSP!$A$1:$C$39,2,0)</f>
        <v>7.KHÁC</v>
      </c>
      <c r="E70" s="159" t="str">
        <f>VLOOKUP(C70,DMSP!$A$1:$C$39,3,0)</f>
        <v>KẼM VÀNG</v>
      </c>
      <c r="F70" s="160">
        <f t="shared" si="1"/>
        <v>0</v>
      </c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2">
        <f t="shared" si="8"/>
        <v>0</v>
      </c>
      <c r="T70" s="167"/>
    </row>
    <row r="71" customHeight="1" spans="2:20">
      <c r="B71" s="166"/>
      <c r="C71" s="164">
        <f t="shared" si="7"/>
        <v>28</v>
      </c>
      <c r="D71" s="158" t="str">
        <f>VLOOKUP(C71,DMSP!$A$1:$C$39,2,0)</f>
        <v>7.KHÁC</v>
      </c>
      <c r="E71" s="159" t="str">
        <f>VLOOKUP(C71,DMSP!$A$1:$C$39,3,0)</f>
        <v>KHÁC1</v>
      </c>
      <c r="F71" s="160">
        <f t="shared" ref="F71:F134" si="9">S71</f>
        <v>0</v>
      </c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2">
        <f t="shared" si="8"/>
        <v>0</v>
      </c>
      <c r="T71" s="167"/>
    </row>
    <row r="72" customHeight="1" spans="2:20">
      <c r="B72" s="166"/>
      <c r="C72" s="164">
        <f t="shared" si="7"/>
        <v>29</v>
      </c>
      <c r="D72" s="158" t="str">
        <f>VLOOKUP(C72,DMSP!$A$1:$C$39,2,0)</f>
        <v>7.KHÁC</v>
      </c>
      <c r="E72" s="169" t="s">
        <v>13</v>
      </c>
      <c r="F72" s="160">
        <f t="shared" si="9"/>
        <v>190</v>
      </c>
      <c r="G72" s="161"/>
      <c r="H72" s="161">
        <v>30</v>
      </c>
      <c r="I72" s="161"/>
      <c r="J72" s="161">
        <v>46</v>
      </c>
      <c r="K72" s="161"/>
      <c r="L72" s="161"/>
      <c r="M72" s="161">
        <v>38</v>
      </c>
      <c r="N72" s="161"/>
      <c r="O72" s="161"/>
      <c r="P72" s="161"/>
      <c r="Q72" s="161">
        <v>38</v>
      </c>
      <c r="R72" s="161">
        <v>38</v>
      </c>
      <c r="S72" s="162">
        <f t="shared" si="8"/>
        <v>190</v>
      </c>
      <c r="T72" s="167"/>
    </row>
    <row r="73" customHeight="1" spans="2:20">
      <c r="B73" s="166"/>
      <c r="C73" s="164">
        <f t="shared" si="7"/>
        <v>30</v>
      </c>
      <c r="D73" s="158" t="str">
        <f>VLOOKUP(C73,DMSP!$A$1:$C$39,2,0)</f>
        <v>7.KHÁC</v>
      </c>
      <c r="E73" s="159" t="str">
        <f>VLOOKUP(C73,DMSP!$A$1:$C$39,3,0)</f>
        <v>RỬA RONG RÊU</v>
      </c>
      <c r="F73" s="160">
        <f t="shared" si="9"/>
        <v>0</v>
      </c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2">
        <f t="shared" si="8"/>
        <v>0</v>
      </c>
      <c r="T73" s="167"/>
    </row>
    <row r="74" customHeight="1" spans="2:20">
      <c r="B74" s="166"/>
      <c r="C74" s="164">
        <f t="shared" si="7"/>
        <v>31</v>
      </c>
      <c r="D74" s="158" t="str">
        <f>VLOOKUP(C74,DMSP!$A$1:$C$39,2,0)</f>
        <v>7.KHÁC</v>
      </c>
      <c r="E74" s="159" t="str">
        <f>VLOOKUP(C74,DMSP!$A$1:$C$39,3,0)</f>
        <v>TB BO</v>
      </c>
      <c r="F74" s="160">
        <f t="shared" si="9"/>
        <v>0</v>
      </c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2">
        <f t="shared" si="8"/>
        <v>0</v>
      </c>
      <c r="T74" s="167"/>
    </row>
    <row r="75" customHeight="1" spans="2:20">
      <c r="B75" s="166"/>
      <c r="C75" s="164">
        <f t="shared" si="7"/>
        <v>32</v>
      </c>
      <c r="D75" s="158" t="str">
        <f>VLOOKUP(C75,DMSP!$A$1:$C$39,2,0)</f>
        <v>7.KHÁC</v>
      </c>
      <c r="E75" s="159" t="str">
        <f>VLOOKUP(C75,DMSP!$A$1:$C$39,3,0)</f>
        <v>TB FRUIT</v>
      </c>
      <c r="F75" s="160">
        <f t="shared" si="9"/>
        <v>0</v>
      </c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2">
        <f t="shared" si="8"/>
        <v>0</v>
      </c>
      <c r="T75" s="167"/>
    </row>
    <row r="76" customHeight="1" spans="2:20">
      <c r="B76" s="166"/>
      <c r="C76" s="164">
        <f t="shared" si="7"/>
        <v>33</v>
      </c>
      <c r="D76" s="158" t="str">
        <f>VLOOKUP(C76,DMSP!$A$1:$C$39,2,0)</f>
        <v>7.KHÁC</v>
      </c>
      <c r="E76" s="159" t="str">
        <f>VLOOKUP(C76,DMSP!$A$1:$C$39,3,0)</f>
        <v>TB PHOS</v>
      </c>
      <c r="F76" s="160">
        <f t="shared" si="9"/>
        <v>0</v>
      </c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2">
        <f t="shared" si="8"/>
        <v>0</v>
      </c>
      <c r="T76" s="167"/>
    </row>
    <row r="77" customHeight="1" spans="2:20">
      <c r="B77" s="166"/>
      <c r="C77" s="164">
        <f t="shared" si="7"/>
        <v>34</v>
      </c>
      <c r="D77" s="158" t="str">
        <f>VLOOKUP(C77,DMSP!$A$1:$C$39,2,0)</f>
        <v>7.KHÁC</v>
      </c>
      <c r="E77" s="159" t="str">
        <f>VLOOKUP(C77,DMSP!$A$1:$C$39,3,0)</f>
        <v>TOBA BÁM DÍNH</v>
      </c>
      <c r="F77" s="160">
        <f t="shared" si="9"/>
        <v>0</v>
      </c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2">
        <f t="shared" si="8"/>
        <v>0</v>
      </c>
      <c r="T77" s="167"/>
    </row>
    <row r="78" customHeight="1" spans="2:20">
      <c r="B78" s="166"/>
      <c r="C78" s="164">
        <f t="shared" si="7"/>
        <v>35</v>
      </c>
      <c r="D78" s="158" t="str">
        <f>VLOOKUP(C78,DMSP!$A$1:$C$39,2,0)</f>
        <v>7.KHÁC</v>
      </c>
      <c r="E78" s="159" t="str">
        <f>VLOOKUP(C78,DMSP!$A$1:$C$39,3,0)</f>
        <v>VỌT HOA NHÃN</v>
      </c>
      <c r="F78" s="160">
        <f t="shared" si="9"/>
        <v>0</v>
      </c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2">
        <f t="shared" si="8"/>
        <v>0</v>
      </c>
      <c r="T78" s="167"/>
    </row>
    <row r="79" customHeight="1" spans="2:20">
      <c r="B79" s="166"/>
      <c r="C79" s="164">
        <f t="shared" si="7"/>
        <v>36</v>
      </c>
      <c r="D79" s="158" t="str">
        <f>VLOOKUP(C79,DMSP!$A$1:$C$39,2,0)</f>
        <v>7.KHÁC</v>
      </c>
      <c r="E79" s="159" t="str">
        <f>VLOOKUP(C79,DMSP!$A$1:$C$39,3,0)</f>
        <v>VỌT HOA XOÀI</v>
      </c>
      <c r="F79" s="160">
        <f t="shared" si="9"/>
        <v>0</v>
      </c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2">
        <f t="shared" si="8"/>
        <v>0</v>
      </c>
      <c r="T79" s="167"/>
    </row>
    <row r="80" customHeight="1" spans="2:20">
      <c r="B80" s="166"/>
      <c r="C80" s="164">
        <f t="shared" si="7"/>
        <v>37</v>
      </c>
      <c r="D80" s="158" t="str">
        <f>VLOOKUP(C80,DMSP!$A$1:$C$39,2,0)</f>
        <v>7.KHÁC</v>
      </c>
      <c r="E80" s="159" t="str">
        <f>VLOOKUP(C80,DMSP!$A$1:$C$39,3,0)</f>
        <v>VỌT HOA XOÀI</v>
      </c>
      <c r="F80" s="160">
        <f t="shared" si="9"/>
        <v>0</v>
      </c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2">
        <f t="shared" si="8"/>
        <v>0</v>
      </c>
      <c r="T80" s="167"/>
    </row>
    <row r="81" customHeight="1" spans="2:20">
      <c r="B81" s="92"/>
      <c r="C81" s="170" t="str">
        <f>B44</f>
        <v>TRUNG DŨNG </v>
      </c>
      <c r="D81" s="171"/>
      <c r="E81" s="172" t="str">
        <f>"TOTAL "&amp;B44</f>
        <v>TOTAL TRUNG DŨNG </v>
      </c>
      <c r="F81" s="173">
        <f t="shared" si="9"/>
        <v>190</v>
      </c>
      <c r="G81" s="174">
        <f>SUM(G44:G80)</f>
        <v>0</v>
      </c>
      <c r="H81" s="174">
        <f t="shared" ref="H81:R81" si="10">SUM(H44:H80)</f>
        <v>30</v>
      </c>
      <c r="I81" s="174">
        <f t="shared" si="10"/>
        <v>0</v>
      </c>
      <c r="J81" s="174">
        <f t="shared" si="10"/>
        <v>46</v>
      </c>
      <c r="K81" s="174">
        <f t="shared" si="10"/>
        <v>0</v>
      </c>
      <c r="L81" s="174">
        <f t="shared" si="10"/>
        <v>0</v>
      </c>
      <c r="M81" s="174">
        <f t="shared" si="10"/>
        <v>38</v>
      </c>
      <c r="N81" s="174">
        <f t="shared" si="10"/>
        <v>0</v>
      </c>
      <c r="O81" s="174">
        <f t="shared" si="10"/>
        <v>0</v>
      </c>
      <c r="P81" s="174">
        <f t="shared" si="10"/>
        <v>0</v>
      </c>
      <c r="Q81" s="174">
        <f t="shared" si="10"/>
        <v>38</v>
      </c>
      <c r="R81" s="174">
        <f t="shared" si="10"/>
        <v>38</v>
      </c>
      <c r="S81" s="174">
        <f t="shared" si="8"/>
        <v>190</v>
      </c>
      <c r="T81" s="175"/>
    </row>
    <row r="82" customHeight="1" spans="2:20">
      <c r="B82" s="156" t="s">
        <v>15</v>
      </c>
      <c r="C82" s="157">
        <v>1</v>
      </c>
      <c r="D82" s="158" t="str">
        <f>VLOOKUP(C82,DMSP!$A$1:$C$39,2,0)</f>
        <v>1.TOBA XANH</v>
      </c>
      <c r="E82" s="159" t="str">
        <f>VLOOKUP(C82,DMSP!$A$1:$C$39,3,0)</f>
        <v>TOBA XANH</v>
      </c>
      <c r="F82" s="160">
        <f t="shared" si="9"/>
        <v>0</v>
      </c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2">
        <f t="shared" si="8"/>
        <v>0</v>
      </c>
      <c r="T82" s="163">
        <f>S119</f>
        <v>97</v>
      </c>
    </row>
    <row r="83" customHeight="1" spans="2:20">
      <c r="B83" s="166"/>
      <c r="C83" s="164">
        <f t="shared" ref="C83:C118" si="11">C82+1</f>
        <v>2</v>
      </c>
      <c r="D83" s="158" t="str">
        <f>VLOOKUP(C83,DMSP!$A$1:$C$39,2,0)</f>
        <v>2.HC</v>
      </c>
      <c r="E83" s="159" t="str">
        <f>VLOOKUP(C83,DMSP!$A$1:$C$39,3,0)</f>
        <v>HC BOOSTER</v>
      </c>
      <c r="F83" s="160">
        <f t="shared" si="9"/>
        <v>0</v>
      </c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2">
        <f t="shared" ref="S83:S120" si="12">SUM(G83:R83)</f>
        <v>0</v>
      </c>
      <c r="T83" s="167"/>
    </row>
    <row r="84" customHeight="1" spans="2:20">
      <c r="B84" s="166"/>
      <c r="C84" s="164">
        <f t="shared" si="11"/>
        <v>3</v>
      </c>
      <c r="D84" s="158" t="str">
        <f>VLOOKUP(C84,DMSP!$A$1:$C$39,2,0)</f>
        <v>2.HC</v>
      </c>
      <c r="E84" s="159" t="str">
        <f>VLOOKUP(C84,DMSP!$A$1:$C$39,3,0)</f>
        <v>HC KING-ROOT</v>
      </c>
      <c r="F84" s="160">
        <f t="shared" si="9"/>
        <v>0</v>
      </c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2">
        <f t="shared" si="12"/>
        <v>0</v>
      </c>
      <c r="T84" s="167"/>
    </row>
    <row r="85" customHeight="1" spans="2:20">
      <c r="B85" s="166"/>
      <c r="C85" s="164">
        <f t="shared" si="11"/>
        <v>4</v>
      </c>
      <c r="D85" s="158" t="str">
        <f>VLOOKUP(C85,DMSP!$A$1:$C$39,2,0)</f>
        <v>2.HC</v>
      </c>
      <c r="E85" s="159" t="str">
        <f>VLOOKUP(C85,DMSP!$A$1:$C$39,3,0)</f>
        <v>HAPPY FARM</v>
      </c>
      <c r="F85" s="160">
        <f t="shared" si="9"/>
        <v>0</v>
      </c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2">
        <f t="shared" si="12"/>
        <v>0</v>
      </c>
      <c r="T85" s="167"/>
    </row>
    <row r="86" customHeight="1" spans="2:20">
      <c r="B86" s="166"/>
      <c r="C86" s="164">
        <f t="shared" si="11"/>
        <v>5</v>
      </c>
      <c r="D86" s="158" t="str">
        <f>VLOOKUP(C86,DMSP!$A$1:$C$39,2,0)</f>
        <v>2.HC</v>
      </c>
      <c r="E86" s="159" t="str">
        <f>VLOOKUP(C86,DMSP!$A$1:$C$39,3,0)</f>
        <v>WOW</v>
      </c>
      <c r="F86" s="160">
        <f t="shared" si="9"/>
        <v>0</v>
      </c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2">
        <f t="shared" si="12"/>
        <v>0</v>
      </c>
      <c r="T86" s="167"/>
    </row>
    <row r="87" customHeight="1" spans="2:20">
      <c r="B87" s="166"/>
      <c r="C87" s="164">
        <f t="shared" si="11"/>
        <v>6</v>
      </c>
      <c r="D87" s="158" t="str">
        <f>VLOOKUP(C87,DMSP!$A$1:$C$39,2,0)</f>
        <v>3.SPRAY </v>
      </c>
      <c r="E87" s="159" t="str">
        <f>VLOOKUP(C87,DMSP!$A$1:$C$39,3,0)</f>
        <v>KELPIT</v>
      </c>
      <c r="F87" s="160">
        <f t="shared" si="9"/>
        <v>0</v>
      </c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2">
        <f t="shared" si="12"/>
        <v>0</v>
      </c>
      <c r="T87" s="167"/>
    </row>
    <row r="88" customHeight="1" spans="2:20">
      <c r="B88" s="166"/>
      <c r="C88" s="164">
        <f t="shared" si="11"/>
        <v>7</v>
      </c>
      <c r="D88" s="158" t="str">
        <f>VLOOKUP(C88,DMSP!$A$1:$C$39,2,0)</f>
        <v>3.SPRAY </v>
      </c>
      <c r="E88" s="159" t="str">
        <f>VLOOKUP(C88,DMSP!$A$1:$C$39,3,0)</f>
        <v>SI-K</v>
      </c>
      <c r="F88" s="160">
        <f t="shared" si="9"/>
        <v>0</v>
      </c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2">
        <f t="shared" si="12"/>
        <v>0</v>
      </c>
      <c r="T88" s="167"/>
    </row>
    <row r="89" customHeight="1" spans="2:20">
      <c r="B89" s="166"/>
      <c r="C89" s="164">
        <f t="shared" si="11"/>
        <v>8</v>
      </c>
      <c r="D89" s="158" t="str">
        <f>VLOOKUP(C89,DMSP!$A$1:$C$39,2,0)</f>
        <v>3.SPRAY </v>
      </c>
      <c r="E89" s="159" t="str">
        <f>VLOOKUP(C89,DMSP!$A$1:$C$39,3,0)</f>
        <v>SPRAY PHOS 620</v>
      </c>
      <c r="F89" s="160">
        <f t="shared" si="9"/>
        <v>0</v>
      </c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2">
        <f t="shared" si="12"/>
        <v>0</v>
      </c>
      <c r="T89" s="167"/>
    </row>
    <row r="90" customHeight="1" spans="2:20">
      <c r="B90" s="166"/>
      <c r="C90" s="164">
        <f t="shared" si="11"/>
        <v>9</v>
      </c>
      <c r="D90" s="158" t="str">
        <f>VLOOKUP(C90,DMSP!$A$1:$C$39,2,0)</f>
        <v>4.DƯỠNG RỄ</v>
      </c>
      <c r="E90" s="159" t="str">
        <f>VLOOKUP(C90,DMSP!$A$1:$C$39,3,0)</f>
        <v>CHITOSAN</v>
      </c>
      <c r="F90" s="160">
        <f t="shared" si="9"/>
        <v>0</v>
      </c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2">
        <f t="shared" si="12"/>
        <v>0</v>
      </c>
      <c r="T90" s="167"/>
    </row>
    <row r="91" customHeight="1" spans="2:20">
      <c r="B91" s="166"/>
      <c r="C91" s="164">
        <f t="shared" si="11"/>
        <v>10</v>
      </c>
      <c r="D91" s="158" t="str">
        <f>VLOOKUP(C91,DMSP!$A$1:$C$39,2,0)</f>
        <v>4.DƯỠNG RỄ</v>
      </c>
      <c r="E91" s="159" t="str">
        <f>VLOOKUP(C91,DMSP!$A$1:$C$39,3,0)</f>
        <v>ĐẠM CÁ</v>
      </c>
      <c r="F91" s="160">
        <f t="shared" si="9"/>
        <v>0</v>
      </c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2">
        <f t="shared" si="12"/>
        <v>0</v>
      </c>
      <c r="T91" s="167"/>
    </row>
    <row r="92" customHeight="1" spans="2:20">
      <c r="B92" s="166"/>
      <c r="C92" s="164">
        <f t="shared" si="11"/>
        <v>11</v>
      </c>
      <c r="D92" s="158" t="str">
        <f>VLOOKUP(C92,DMSP!$A$1:$C$39,2,0)</f>
        <v>4.DƯỠNG RỄ</v>
      </c>
      <c r="E92" s="159" t="str">
        <f>VLOOKUP(C92,DMSP!$A$1:$C$39,3,0)</f>
        <v>ĐẠM TÔM</v>
      </c>
      <c r="F92" s="160">
        <f t="shared" si="9"/>
        <v>0</v>
      </c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2">
        <f t="shared" si="12"/>
        <v>0</v>
      </c>
      <c r="T92" s="167"/>
    </row>
    <row r="93" customHeight="1" spans="2:20">
      <c r="B93" s="166"/>
      <c r="C93" s="164">
        <f t="shared" si="11"/>
        <v>12</v>
      </c>
      <c r="D93" s="158" t="str">
        <f>VLOOKUP(C93,DMSP!$A$1:$C$39,2,0)</f>
        <v>4.DƯỠNG RỄ</v>
      </c>
      <c r="E93" s="159" t="str">
        <f>VLOOKUP(C93,DMSP!$A$1:$C$39,3,0)</f>
        <v>SUPERMIC</v>
      </c>
      <c r="F93" s="160">
        <f t="shared" si="9"/>
        <v>0</v>
      </c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2">
        <f t="shared" si="12"/>
        <v>0</v>
      </c>
      <c r="T93" s="167"/>
    </row>
    <row r="94" customHeight="1" spans="2:20">
      <c r="B94" s="166"/>
      <c r="C94" s="164">
        <f t="shared" si="11"/>
        <v>13</v>
      </c>
      <c r="D94" s="158" t="str">
        <f>VLOOKUP(C94,DMSP!$A$1:$C$39,2,0)</f>
        <v>5.TRUYỀN THỐNG</v>
      </c>
      <c r="E94" s="159" t="str">
        <f>VLOOKUP(C94,DMSP!$A$1:$C$39,3,0)</f>
        <v>CABO</v>
      </c>
      <c r="F94" s="160">
        <f t="shared" si="9"/>
        <v>0</v>
      </c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2">
        <f t="shared" si="12"/>
        <v>0</v>
      </c>
      <c r="T94" s="167"/>
    </row>
    <row r="95" customHeight="1" spans="2:20">
      <c r="B95" s="166"/>
      <c r="C95" s="164">
        <f t="shared" si="11"/>
        <v>14</v>
      </c>
      <c r="D95" s="158" t="str">
        <f>VLOOKUP(C95,DMSP!$A$1:$C$39,2,0)</f>
        <v>5.TRUYỀN THỐNG</v>
      </c>
      <c r="E95" s="159" t="str">
        <f>VLOOKUP(C95,DMSP!$A$1:$C$39,3,0)</f>
        <v>F94</v>
      </c>
      <c r="F95" s="160">
        <f t="shared" si="9"/>
        <v>0</v>
      </c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2">
        <f t="shared" si="12"/>
        <v>0</v>
      </c>
      <c r="T95" s="167"/>
    </row>
    <row r="96" customHeight="1" spans="2:20">
      <c r="B96" s="166"/>
      <c r="C96" s="164">
        <f t="shared" si="11"/>
        <v>15</v>
      </c>
      <c r="D96" s="158" t="str">
        <f>VLOOKUP(C96,DMSP!$A$1:$C$39,2,0)</f>
        <v>5.TRUYỀN THỐNG</v>
      </c>
      <c r="E96" s="159" t="str">
        <f>VLOOKUP(C96,DMSP!$A$1:$C$39,3,0)</f>
        <v>F95</v>
      </c>
      <c r="F96" s="160">
        <f t="shared" si="9"/>
        <v>0</v>
      </c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2">
        <f t="shared" si="12"/>
        <v>0</v>
      </c>
      <c r="T96" s="167"/>
    </row>
    <row r="97" customHeight="1" spans="2:20">
      <c r="B97" s="166"/>
      <c r="C97" s="164">
        <f t="shared" si="11"/>
        <v>16</v>
      </c>
      <c r="D97" s="158" t="str">
        <f>VLOOKUP(C97,DMSP!$A$1:$C$39,2,0)</f>
        <v>5.TRUYỀN THỐNG</v>
      </c>
      <c r="E97" s="159" t="str">
        <f>VLOOKUP(C97,DMSP!$A$1:$C$39,3,0)</f>
        <v>THIOURE</v>
      </c>
      <c r="F97" s="160">
        <f t="shared" si="9"/>
        <v>0</v>
      </c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2">
        <f t="shared" si="12"/>
        <v>0</v>
      </c>
      <c r="T97" s="167"/>
    </row>
    <row r="98" customHeight="1" spans="2:20">
      <c r="B98" s="166"/>
      <c r="C98" s="164">
        <f t="shared" si="11"/>
        <v>17</v>
      </c>
      <c r="D98" s="158" t="str">
        <f>VLOOKUP(C98,DMSP!$A$1:$C$39,2,0)</f>
        <v>5.TRUYỀN THỐNG</v>
      </c>
      <c r="E98" s="159" t="str">
        <f>VLOOKUP(C98,DMSP!$A$1:$C$39,3,0)</f>
        <v>TOBA JUM</v>
      </c>
      <c r="F98" s="160">
        <f t="shared" si="9"/>
        <v>0</v>
      </c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2">
        <f t="shared" si="12"/>
        <v>0</v>
      </c>
      <c r="T98" s="167"/>
    </row>
    <row r="99" customHeight="1" spans="2:20">
      <c r="B99" s="166"/>
      <c r="C99" s="164">
        <f t="shared" si="11"/>
        <v>18</v>
      </c>
      <c r="D99" s="158" t="str">
        <f>VLOOKUP(C99,DMSP!$A$1:$C$39,2,0)</f>
        <v>5.TRUYỀN THỐNG</v>
      </c>
      <c r="E99" s="159" t="str">
        <f>VLOOKUP(C99,DMSP!$A$1:$C$39,3,0)</f>
        <v>TOBA NET</v>
      </c>
      <c r="F99" s="160">
        <f t="shared" si="9"/>
        <v>0</v>
      </c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f t="shared" si="12"/>
        <v>0</v>
      </c>
      <c r="T99" s="167"/>
    </row>
    <row r="100" customHeight="1" spans="2:20">
      <c r="B100" s="166"/>
      <c r="C100" s="164">
        <f t="shared" si="11"/>
        <v>19</v>
      </c>
      <c r="D100" s="158" t="str">
        <f>VLOOKUP(C100,DMSP!$A$1:$C$39,2,0)</f>
        <v>6.BVTV</v>
      </c>
      <c r="E100" s="159" t="str">
        <f>VLOOKUP(C100,DMSP!$A$1:$C$39,3,0)</f>
        <v>ABAFAX 1.8</v>
      </c>
      <c r="F100" s="160">
        <f t="shared" si="9"/>
        <v>0</v>
      </c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2">
        <f t="shared" si="12"/>
        <v>0</v>
      </c>
      <c r="T100" s="167"/>
    </row>
    <row r="101" customHeight="1" spans="2:20">
      <c r="B101" s="166"/>
      <c r="C101" s="164">
        <f t="shared" si="11"/>
        <v>20</v>
      </c>
      <c r="D101" s="158" t="str">
        <f>VLOOKUP(C101,DMSP!$A$1:$C$39,2,0)</f>
        <v>6.BVTV</v>
      </c>
      <c r="E101" s="159" t="str">
        <f>VLOOKUP(C101,DMSP!$A$1:$C$39,3,0)</f>
        <v>ABAFAX 3.6</v>
      </c>
      <c r="F101" s="160">
        <f t="shared" si="9"/>
        <v>0</v>
      </c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2">
        <f t="shared" si="12"/>
        <v>0</v>
      </c>
      <c r="T101" s="167"/>
    </row>
    <row r="102" customHeight="1" spans="2:20">
      <c r="B102" s="166"/>
      <c r="C102" s="164">
        <f t="shared" si="11"/>
        <v>21</v>
      </c>
      <c r="D102" s="158" t="str">
        <f>VLOOKUP(C102,DMSP!$A$1:$C$39,2,0)</f>
        <v>6.BVTV</v>
      </c>
      <c r="E102" s="159" t="str">
        <f>VLOOKUP(C102,DMSP!$A$1:$C$39,3,0)</f>
        <v>AZET</v>
      </c>
      <c r="F102" s="160">
        <f t="shared" si="9"/>
        <v>0</v>
      </c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2">
        <f t="shared" si="12"/>
        <v>0</v>
      </c>
      <c r="T102" s="167"/>
    </row>
    <row r="103" customHeight="1" spans="2:20">
      <c r="B103" s="166"/>
      <c r="C103" s="164">
        <f t="shared" si="11"/>
        <v>22</v>
      </c>
      <c r="D103" s="158" t="str">
        <f>VLOOKUP(C103,DMSP!$A$1:$C$39,2,0)</f>
        <v>6.BVTV</v>
      </c>
      <c r="E103" s="159" t="str">
        <f>VLOOKUP(C103,DMSP!$A$1:$C$39,3,0)</f>
        <v>BACBA</v>
      </c>
      <c r="F103" s="160">
        <f t="shared" si="9"/>
        <v>0</v>
      </c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2">
        <f t="shared" si="12"/>
        <v>0</v>
      </c>
      <c r="T103" s="167"/>
    </row>
    <row r="104" customHeight="1" spans="2:20">
      <c r="B104" s="166"/>
      <c r="C104" s="164">
        <f t="shared" si="11"/>
        <v>23</v>
      </c>
      <c r="D104" s="158" t="str">
        <f>VLOOKUP(C104,DMSP!$A$1:$C$39,2,0)</f>
        <v>6.BVTV</v>
      </c>
      <c r="E104" s="159" t="str">
        <f>VLOOKUP(C104,DMSP!$A$1:$C$39,3,0)</f>
        <v>BIOROSAMIL</v>
      </c>
      <c r="F104" s="160">
        <f t="shared" si="9"/>
        <v>36</v>
      </c>
      <c r="G104" s="161"/>
      <c r="H104" s="161">
        <v>9</v>
      </c>
      <c r="I104" s="161"/>
      <c r="J104" s="161">
        <v>8</v>
      </c>
      <c r="K104" s="161"/>
      <c r="L104" s="161">
        <v>11</v>
      </c>
      <c r="M104" s="161"/>
      <c r="N104" s="161"/>
      <c r="O104" s="161"/>
      <c r="P104" s="161"/>
      <c r="Q104" s="161">
        <v>8</v>
      </c>
      <c r="R104" s="161"/>
      <c r="S104" s="162">
        <f t="shared" si="12"/>
        <v>36</v>
      </c>
      <c r="T104" s="167"/>
    </row>
    <row r="105" customHeight="1" spans="2:20">
      <c r="B105" s="166"/>
      <c r="C105" s="164">
        <f t="shared" si="11"/>
        <v>24</v>
      </c>
      <c r="D105" s="158" t="str">
        <f>VLOOKUP(C105,DMSP!$A$1:$C$39,2,0)</f>
        <v>6.BVTV</v>
      </c>
      <c r="E105" s="159" t="str">
        <f>VLOOKUP(C105,DMSP!$A$1:$C$39,3,0)</f>
        <v>COC 86</v>
      </c>
      <c r="F105" s="160">
        <f t="shared" si="9"/>
        <v>0</v>
      </c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2">
        <f t="shared" si="12"/>
        <v>0</v>
      </c>
      <c r="T105" s="167"/>
    </row>
    <row r="106" customHeight="1" spans="2:20">
      <c r="B106" s="166"/>
      <c r="C106" s="164">
        <f t="shared" si="11"/>
        <v>25</v>
      </c>
      <c r="D106" s="158" t="str">
        <f>VLOOKUP(C106,DMSP!$A$1:$C$39,2,0)</f>
        <v>6.BVTV</v>
      </c>
      <c r="E106" s="159" t="str">
        <f>VLOOKUP(C106,DMSP!$A$1:$C$39,3,0)</f>
        <v>HEXA 5</v>
      </c>
      <c r="F106" s="160">
        <f t="shared" si="9"/>
        <v>0</v>
      </c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2">
        <f t="shared" si="12"/>
        <v>0</v>
      </c>
      <c r="T106" s="167"/>
    </row>
    <row r="107" customHeight="1" spans="2:20">
      <c r="B107" s="166"/>
      <c r="C107" s="164">
        <f t="shared" si="11"/>
        <v>26</v>
      </c>
      <c r="D107" s="158" t="str">
        <f>VLOOKUP(C107,DMSP!$A$1:$C$39,2,0)</f>
        <v>6.BVTV</v>
      </c>
      <c r="E107" s="159" t="str">
        <f>VLOOKUP(C107,DMSP!$A$1:$C$39,3,0)</f>
        <v>TAMALA</v>
      </c>
      <c r="F107" s="160">
        <f t="shared" si="9"/>
        <v>0</v>
      </c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2">
        <f t="shared" si="12"/>
        <v>0</v>
      </c>
      <c r="T107" s="167"/>
    </row>
    <row r="108" customHeight="1" spans="2:20">
      <c r="B108" s="166"/>
      <c r="C108" s="164">
        <f t="shared" si="11"/>
        <v>27</v>
      </c>
      <c r="D108" s="158" t="str">
        <f>VLOOKUP(C108,DMSP!$A$1:$C$39,2,0)</f>
        <v>7.KHÁC</v>
      </c>
      <c r="E108" s="159" t="str">
        <f>VLOOKUP(C108,DMSP!$A$1:$C$39,3,0)</f>
        <v>KẼM VÀNG</v>
      </c>
      <c r="F108" s="160">
        <f t="shared" si="9"/>
        <v>0</v>
      </c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2">
        <f t="shared" si="12"/>
        <v>0</v>
      </c>
      <c r="T108" s="167"/>
    </row>
    <row r="109" customHeight="1" spans="2:20">
      <c r="B109" s="166"/>
      <c r="C109" s="164">
        <f t="shared" si="11"/>
        <v>28</v>
      </c>
      <c r="D109" s="158" t="str">
        <f>VLOOKUP(C109,DMSP!$A$1:$C$39,2,0)</f>
        <v>7.KHÁC</v>
      </c>
      <c r="E109" s="159" t="str">
        <f>VLOOKUP(C109,DMSP!$A$1:$C$39,3,0)</f>
        <v>KHÁC1</v>
      </c>
      <c r="F109" s="160">
        <f t="shared" si="9"/>
        <v>4</v>
      </c>
      <c r="G109" s="161"/>
      <c r="H109" s="161"/>
      <c r="I109" s="161"/>
      <c r="J109" s="161">
        <v>1</v>
      </c>
      <c r="K109" s="161">
        <v>3</v>
      </c>
      <c r="L109" s="161"/>
      <c r="M109" s="161"/>
      <c r="N109" s="161"/>
      <c r="O109" s="161"/>
      <c r="P109" s="161"/>
      <c r="Q109" s="161"/>
      <c r="R109" s="161"/>
      <c r="S109" s="162">
        <f t="shared" si="12"/>
        <v>4</v>
      </c>
      <c r="T109" s="167"/>
    </row>
    <row r="110" customHeight="1" spans="2:20">
      <c r="B110" s="166"/>
      <c r="C110" s="164">
        <f t="shared" si="11"/>
        <v>29</v>
      </c>
      <c r="D110" s="158" t="str">
        <f>VLOOKUP(C110,DMSP!$A$1:$C$39,2,0)</f>
        <v>7.KHÁC</v>
      </c>
      <c r="E110" s="169" t="s">
        <v>13</v>
      </c>
      <c r="F110" s="160">
        <f t="shared" si="9"/>
        <v>57</v>
      </c>
      <c r="G110" s="161"/>
      <c r="H110" s="161">
        <v>19</v>
      </c>
      <c r="I110" s="161"/>
      <c r="J110" s="161"/>
      <c r="K110" s="161">
        <v>19</v>
      </c>
      <c r="L110" s="161"/>
      <c r="M110" s="161"/>
      <c r="N110" s="161"/>
      <c r="O110" s="161"/>
      <c r="P110" s="161"/>
      <c r="Q110" s="161">
        <v>19</v>
      </c>
      <c r="R110" s="161"/>
      <c r="S110" s="162">
        <f t="shared" si="12"/>
        <v>57</v>
      </c>
      <c r="T110" s="167"/>
    </row>
    <row r="111" customHeight="1" spans="2:20">
      <c r="B111" s="166"/>
      <c r="C111" s="164">
        <f t="shared" si="11"/>
        <v>30</v>
      </c>
      <c r="D111" s="158" t="str">
        <f>VLOOKUP(C111,DMSP!$A$1:$C$39,2,0)</f>
        <v>7.KHÁC</v>
      </c>
      <c r="E111" s="159" t="str">
        <f>VLOOKUP(C111,DMSP!$A$1:$C$39,3,0)</f>
        <v>RỬA RONG RÊU</v>
      </c>
      <c r="F111" s="160">
        <f t="shared" si="9"/>
        <v>0</v>
      </c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2">
        <f t="shared" si="12"/>
        <v>0</v>
      </c>
      <c r="T111" s="167"/>
    </row>
    <row r="112" customHeight="1" spans="2:20">
      <c r="B112" s="166"/>
      <c r="C112" s="164">
        <f t="shared" si="11"/>
        <v>31</v>
      </c>
      <c r="D112" s="158" t="str">
        <f>VLOOKUP(C112,DMSP!$A$1:$C$39,2,0)</f>
        <v>7.KHÁC</v>
      </c>
      <c r="E112" s="159" t="str">
        <f>VLOOKUP(C112,DMSP!$A$1:$C$39,3,0)</f>
        <v>TB BO</v>
      </c>
      <c r="F112" s="160">
        <f t="shared" si="9"/>
        <v>0</v>
      </c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2">
        <f t="shared" si="12"/>
        <v>0</v>
      </c>
      <c r="T112" s="167"/>
    </row>
    <row r="113" customHeight="1" spans="2:20">
      <c r="B113" s="166"/>
      <c r="C113" s="164">
        <f t="shared" si="11"/>
        <v>32</v>
      </c>
      <c r="D113" s="158" t="str">
        <f>VLOOKUP(C113,DMSP!$A$1:$C$39,2,0)</f>
        <v>7.KHÁC</v>
      </c>
      <c r="E113" s="159" t="str">
        <f>VLOOKUP(C113,DMSP!$A$1:$C$39,3,0)</f>
        <v>TB FRUIT</v>
      </c>
      <c r="F113" s="160">
        <f t="shared" si="9"/>
        <v>0</v>
      </c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2">
        <f t="shared" si="12"/>
        <v>0</v>
      </c>
      <c r="T113" s="167"/>
    </row>
    <row r="114" customHeight="1" spans="2:20">
      <c r="B114" s="166"/>
      <c r="C114" s="164">
        <f t="shared" si="11"/>
        <v>33</v>
      </c>
      <c r="D114" s="158" t="str">
        <f>VLOOKUP(C114,DMSP!$A$1:$C$39,2,0)</f>
        <v>7.KHÁC</v>
      </c>
      <c r="E114" s="159" t="str">
        <f>VLOOKUP(C114,DMSP!$A$1:$C$39,3,0)</f>
        <v>TB PHOS</v>
      </c>
      <c r="F114" s="160">
        <f t="shared" si="9"/>
        <v>0</v>
      </c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2">
        <f t="shared" si="12"/>
        <v>0</v>
      </c>
      <c r="T114" s="167"/>
    </row>
    <row r="115" customHeight="1" spans="2:20">
      <c r="B115" s="166"/>
      <c r="C115" s="164">
        <f t="shared" si="11"/>
        <v>34</v>
      </c>
      <c r="D115" s="158" t="str">
        <f>VLOOKUP(C115,DMSP!$A$1:$C$39,2,0)</f>
        <v>7.KHÁC</v>
      </c>
      <c r="E115" s="159" t="str">
        <f>VLOOKUP(C115,DMSP!$A$1:$C$39,3,0)</f>
        <v>TOBA BÁM DÍNH</v>
      </c>
      <c r="F115" s="160">
        <f t="shared" si="9"/>
        <v>0</v>
      </c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2">
        <f t="shared" si="12"/>
        <v>0</v>
      </c>
      <c r="T115" s="167"/>
    </row>
    <row r="116" customHeight="1" spans="2:20">
      <c r="B116" s="166"/>
      <c r="C116" s="164">
        <f t="shared" si="11"/>
        <v>35</v>
      </c>
      <c r="D116" s="158" t="str">
        <f>VLOOKUP(C116,DMSP!$A$1:$C$39,2,0)</f>
        <v>7.KHÁC</v>
      </c>
      <c r="E116" s="159" t="str">
        <f>VLOOKUP(C116,DMSP!$A$1:$C$39,3,0)</f>
        <v>VỌT HOA NHÃN</v>
      </c>
      <c r="F116" s="160">
        <f t="shared" si="9"/>
        <v>0</v>
      </c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2">
        <f t="shared" si="12"/>
        <v>0</v>
      </c>
      <c r="T116" s="167"/>
    </row>
    <row r="117" customHeight="1" spans="2:20">
      <c r="B117" s="166"/>
      <c r="C117" s="164">
        <f t="shared" si="11"/>
        <v>36</v>
      </c>
      <c r="D117" s="158" t="str">
        <f>VLOOKUP(C117,DMSP!$A$1:$C$39,2,0)</f>
        <v>7.KHÁC</v>
      </c>
      <c r="E117" s="159" t="str">
        <f>VLOOKUP(C117,DMSP!$A$1:$C$39,3,0)</f>
        <v>VỌT HOA XOÀI</v>
      </c>
      <c r="F117" s="160">
        <f t="shared" si="9"/>
        <v>0</v>
      </c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2">
        <f t="shared" si="12"/>
        <v>0</v>
      </c>
      <c r="T117" s="167"/>
    </row>
    <row r="118" customHeight="1" spans="2:20">
      <c r="B118" s="166"/>
      <c r="C118" s="164">
        <f t="shared" si="11"/>
        <v>37</v>
      </c>
      <c r="D118" s="158" t="str">
        <f>VLOOKUP(C118,DMSP!$A$1:$C$39,2,0)</f>
        <v>7.KHÁC</v>
      </c>
      <c r="E118" s="159" t="str">
        <f>VLOOKUP(C118,DMSP!$A$1:$C$39,3,0)</f>
        <v>VỌT HOA XOÀI</v>
      </c>
      <c r="F118" s="160">
        <f t="shared" si="9"/>
        <v>0</v>
      </c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2">
        <f t="shared" si="12"/>
        <v>0</v>
      </c>
      <c r="T118" s="167"/>
    </row>
    <row r="119" customHeight="1" spans="2:20">
      <c r="B119" s="92"/>
      <c r="C119" s="170" t="str">
        <f>B82</f>
        <v>TRẦN VĂN KIỀN </v>
      </c>
      <c r="D119" s="171"/>
      <c r="E119" s="172" t="str">
        <f>"TOTAL "&amp;B82</f>
        <v>TOTAL TRẦN VĂN KIỀN </v>
      </c>
      <c r="F119" s="173">
        <f t="shared" si="9"/>
        <v>97</v>
      </c>
      <c r="G119" s="174">
        <f>SUM(G82:G118)</f>
        <v>0</v>
      </c>
      <c r="H119" s="174">
        <f t="shared" ref="H119:R119" si="13">SUM(H82:H118)</f>
        <v>28</v>
      </c>
      <c r="I119" s="174">
        <f t="shared" si="13"/>
        <v>0</v>
      </c>
      <c r="J119" s="174">
        <f t="shared" si="13"/>
        <v>9</v>
      </c>
      <c r="K119" s="174">
        <f t="shared" si="13"/>
        <v>22</v>
      </c>
      <c r="L119" s="174">
        <f t="shared" si="13"/>
        <v>11</v>
      </c>
      <c r="M119" s="174">
        <f t="shared" si="13"/>
        <v>0</v>
      </c>
      <c r="N119" s="174">
        <f t="shared" si="13"/>
        <v>0</v>
      </c>
      <c r="O119" s="174">
        <f t="shared" si="13"/>
        <v>0</v>
      </c>
      <c r="P119" s="174">
        <f t="shared" si="13"/>
        <v>0</v>
      </c>
      <c r="Q119" s="174">
        <f t="shared" si="13"/>
        <v>27</v>
      </c>
      <c r="R119" s="174">
        <f t="shared" si="13"/>
        <v>0</v>
      </c>
      <c r="S119" s="174">
        <f t="shared" si="12"/>
        <v>97</v>
      </c>
      <c r="T119" s="175"/>
    </row>
    <row r="120" customHeight="1" spans="2:20">
      <c r="B120" s="156" t="s">
        <v>16</v>
      </c>
      <c r="C120" s="157">
        <v>1</v>
      </c>
      <c r="D120" s="158" t="str">
        <f>VLOOKUP(C120,DMSP!$A$1:$C$39,2,0)</f>
        <v>1.TOBA XANH</v>
      </c>
      <c r="E120" s="159" t="str">
        <f>VLOOKUP(C120,DMSP!$A$1:$C$39,3,0)</f>
        <v>TOBA XANH</v>
      </c>
      <c r="F120" s="160">
        <f t="shared" si="9"/>
        <v>7</v>
      </c>
      <c r="G120" s="161"/>
      <c r="H120" s="161">
        <v>7</v>
      </c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2">
        <f t="shared" si="12"/>
        <v>7</v>
      </c>
      <c r="T120" s="163">
        <f>S157</f>
        <v>19</v>
      </c>
    </row>
    <row r="121" customHeight="1" spans="2:20">
      <c r="B121" s="166"/>
      <c r="C121" s="164">
        <f t="shared" ref="C121:C156" si="14">C120+1</f>
        <v>2</v>
      </c>
      <c r="D121" s="158" t="str">
        <f>VLOOKUP(C121,DMSP!$A$1:$C$39,2,0)</f>
        <v>2.HC</v>
      </c>
      <c r="E121" s="159" t="str">
        <f>VLOOKUP(C121,DMSP!$A$1:$C$39,3,0)</f>
        <v>HC BOOSTER</v>
      </c>
      <c r="F121" s="160">
        <f t="shared" si="9"/>
        <v>0</v>
      </c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2">
        <f t="shared" ref="S121:S158" si="15">SUM(G121:R121)</f>
        <v>0</v>
      </c>
      <c r="T121" s="167"/>
    </row>
    <row r="122" customHeight="1" spans="2:20">
      <c r="B122" s="166"/>
      <c r="C122" s="164">
        <f t="shared" si="14"/>
        <v>3</v>
      </c>
      <c r="D122" s="158" t="str">
        <f>VLOOKUP(C122,DMSP!$A$1:$C$39,2,0)</f>
        <v>2.HC</v>
      </c>
      <c r="E122" s="159" t="str">
        <f>VLOOKUP(C122,DMSP!$A$1:$C$39,3,0)</f>
        <v>HC KING-ROOT</v>
      </c>
      <c r="F122" s="160">
        <f t="shared" si="9"/>
        <v>0</v>
      </c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2">
        <f t="shared" si="15"/>
        <v>0</v>
      </c>
      <c r="T122" s="167"/>
    </row>
    <row r="123" customHeight="1" spans="2:20">
      <c r="B123" s="166"/>
      <c r="C123" s="164">
        <f t="shared" si="14"/>
        <v>4</v>
      </c>
      <c r="D123" s="158" t="str">
        <f>VLOOKUP(C123,DMSP!$A$1:$C$39,2,0)</f>
        <v>2.HC</v>
      </c>
      <c r="E123" s="159" t="str">
        <f>VLOOKUP(C123,DMSP!$A$1:$C$39,3,0)</f>
        <v>HAPPY FARM</v>
      </c>
      <c r="F123" s="160">
        <f t="shared" si="9"/>
        <v>0</v>
      </c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2">
        <f t="shared" si="15"/>
        <v>0</v>
      </c>
      <c r="T123" s="167"/>
    </row>
    <row r="124" customHeight="1" spans="2:20">
      <c r="B124" s="166"/>
      <c r="C124" s="164">
        <f t="shared" si="14"/>
        <v>5</v>
      </c>
      <c r="D124" s="158" t="str">
        <f>VLOOKUP(C124,DMSP!$A$1:$C$39,2,0)</f>
        <v>2.HC</v>
      </c>
      <c r="E124" s="159" t="str">
        <f>VLOOKUP(C124,DMSP!$A$1:$C$39,3,0)</f>
        <v>WOW</v>
      </c>
      <c r="F124" s="160">
        <f t="shared" si="9"/>
        <v>0</v>
      </c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2">
        <f t="shared" si="15"/>
        <v>0</v>
      </c>
      <c r="T124" s="167"/>
    </row>
    <row r="125" customHeight="1" spans="2:20">
      <c r="B125" s="166"/>
      <c r="C125" s="164">
        <f t="shared" si="14"/>
        <v>6</v>
      </c>
      <c r="D125" s="158" t="str">
        <f>VLOOKUP(C125,DMSP!$A$1:$C$39,2,0)</f>
        <v>3.SPRAY </v>
      </c>
      <c r="E125" s="159" t="str">
        <f>VLOOKUP(C125,DMSP!$A$1:$C$39,3,0)</f>
        <v>KELPIT</v>
      </c>
      <c r="F125" s="160">
        <f t="shared" si="9"/>
        <v>0</v>
      </c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2">
        <f t="shared" si="15"/>
        <v>0</v>
      </c>
      <c r="T125" s="167"/>
    </row>
    <row r="126" customHeight="1" spans="2:20">
      <c r="B126" s="166"/>
      <c r="C126" s="164">
        <f t="shared" si="14"/>
        <v>7</v>
      </c>
      <c r="D126" s="158" t="str">
        <f>VLOOKUP(C126,DMSP!$A$1:$C$39,2,0)</f>
        <v>3.SPRAY </v>
      </c>
      <c r="E126" s="159" t="str">
        <f>VLOOKUP(C126,DMSP!$A$1:$C$39,3,0)</f>
        <v>SI-K</v>
      </c>
      <c r="F126" s="160">
        <f t="shared" si="9"/>
        <v>4</v>
      </c>
      <c r="G126" s="161"/>
      <c r="H126" s="161"/>
      <c r="I126" s="161"/>
      <c r="J126" s="161"/>
      <c r="K126" s="161">
        <v>4</v>
      </c>
      <c r="L126" s="161"/>
      <c r="M126" s="161"/>
      <c r="N126" s="161"/>
      <c r="O126" s="161"/>
      <c r="P126" s="161"/>
      <c r="Q126" s="161"/>
      <c r="R126" s="161"/>
      <c r="S126" s="162">
        <f t="shared" si="15"/>
        <v>4</v>
      </c>
      <c r="T126" s="167"/>
    </row>
    <row r="127" customHeight="1" spans="2:20">
      <c r="B127" s="166"/>
      <c r="C127" s="164">
        <f t="shared" si="14"/>
        <v>8</v>
      </c>
      <c r="D127" s="158" t="str">
        <f>VLOOKUP(C127,DMSP!$A$1:$C$39,2,0)</f>
        <v>3.SPRAY </v>
      </c>
      <c r="E127" s="159" t="str">
        <f>VLOOKUP(C127,DMSP!$A$1:$C$39,3,0)</f>
        <v>SPRAY PHOS 620</v>
      </c>
      <c r="F127" s="160">
        <f t="shared" si="9"/>
        <v>0</v>
      </c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2">
        <f t="shared" si="15"/>
        <v>0</v>
      </c>
      <c r="T127" s="167"/>
    </row>
    <row r="128" customHeight="1" spans="2:20">
      <c r="B128" s="166"/>
      <c r="C128" s="164">
        <f t="shared" si="14"/>
        <v>9</v>
      </c>
      <c r="D128" s="158" t="str">
        <f>VLOOKUP(C128,DMSP!$A$1:$C$39,2,0)</f>
        <v>4.DƯỠNG RỄ</v>
      </c>
      <c r="E128" s="159" t="str">
        <f>VLOOKUP(C128,DMSP!$A$1:$C$39,3,0)</f>
        <v>CHITOSAN</v>
      </c>
      <c r="F128" s="160">
        <f t="shared" si="9"/>
        <v>0</v>
      </c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2">
        <f t="shared" si="15"/>
        <v>0</v>
      </c>
      <c r="T128" s="167"/>
    </row>
    <row r="129" customHeight="1" spans="2:20">
      <c r="B129" s="166"/>
      <c r="C129" s="164">
        <f t="shared" si="14"/>
        <v>10</v>
      </c>
      <c r="D129" s="158" t="str">
        <f>VLOOKUP(C129,DMSP!$A$1:$C$39,2,0)</f>
        <v>4.DƯỠNG RỄ</v>
      </c>
      <c r="E129" s="159" t="str">
        <f>VLOOKUP(C129,DMSP!$A$1:$C$39,3,0)</f>
        <v>ĐẠM CÁ</v>
      </c>
      <c r="F129" s="160">
        <f t="shared" si="9"/>
        <v>0</v>
      </c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2">
        <f t="shared" si="15"/>
        <v>0</v>
      </c>
      <c r="T129" s="167"/>
    </row>
    <row r="130" customHeight="1" spans="2:20">
      <c r="B130" s="166"/>
      <c r="C130" s="164">
        <f t="shared" si="14"/>
        <v>11</v>
      </c>
      <c r="D130" s="158" t="str">
        <f>VLOOKUP(C130,DMSP!$A$1:$C$39,2,0)</f>
        <v>4.DƯỠNG RỄ</v>
      </c>
      <c r="E130" s="159" t="str">
        <f>VLOOKUP(C130,DMSP!$A$1:$C$39,3,0)</f>
        <v>ĐẠM TÔM</v>
      </c>
      <c r="F130" s="160">
        <f t="shared" si="9"/>
        <v>0</v>
      </c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2">
        <f t="shared" si="15"/>
        <v>0</v>
      </c>
      <c r="T130" s="167"/>
    </row>
    <row r="131" customHeight="1" spans="2:20">
      <c r="B131" s="166"/>
      <c r="C131" s="164">
        <f t="shared" si="14"/>
        <v>12</v>
      </c>
      <c r="D131" s="158" t="str">
        <f>VLOOKUP(C131,DMSP!$A$1:$C$39,2,0)</f>
        <v>4.DƯỠNG RỄ</v>
      </c>
      <c r="E131" s="159" t="str">
        <f>VLOOKUP(C131,DMSP!$A$1:$C$39,3,0)</f>
        <v>SUPERMIC</v>
      </c>
      <c r="F131" s="160">
        <f t="shared" si="9"/>
        <v>0</v>
      </c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2">
        <f t="shared" si="15"/>
        <v>0</v>
      </c>
      <c r="T131" s="167"/>
    </row>
    <row r="132" customHeight="1" spans="2:20">
      <c r="B132" s="166"/>
      <c r="C132" s="164">
        <f t="shared" si="14"/>
        <v>13</v>
      </c>
      <c r="D132" s="158" t="str">
        <f>VLOOKUP(C132,DMSP!$A$1:$C$39,2,0)</f>
        <v>5.TRUYỀN THỐNG</v>
      </c>
      <c r="E132" s="159" t="str">
        <f>VLOOKUP(C132,DMSP!$A$1:$C$39,3,0)</f>
        <v>CABO</v>
      </c>
      <c r="F132" s="160">
        <f t="shared" si="9"/>
        <v>0</v>
      </c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2">
        <f t="shared" si="15"/>
        <v>0</v>
      </c>
      <c r="T132" s="167"/>
    </row>
    <row r="133" customHeight="1" spans="2:20">
      <c r="B133" s="166"/>
      <c r="C133" s="164">
        <f t="shared" si="14"/>
        <v>14</v>
      </c>
      <c r="D133" s="158" t="str">
        <f>VLOOKUP(C133,DMSP!$A$1:$C$39,2,0)</f>
        <v>5.TRUYỀN THỐNG</v>
      </c>
      <c r="E133" s="159" t="str">
        <f>VLOOKUP(C133,DMSP!$A$1:$C$39,3,0)</f>
        <v>F94</v>
      </c>
      <c r="F133" s="160">
        <f t="shared" si="9"/>
        <v>0</v>
      </c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2">
        <f t="shared" si="15"/>
        <v>0</v>
      </c>
      <c r="T133" s="167"/>
    </row>
    <row r="134" customHeight="1" spans="2:20">
      <c r="B134" s="166"/>
      <c r="C134" s="164">
        <f t="shared" si="14"/>
        <v>15</v>
      </c>
      <c r="D134" s="158" t="str">
        <f>VLOOKUP(C134,DMSP!$A$1:$C$39,2,0)</f>
        <v>5.TRUYỀN THỐNG</v>
      </c>
      <c r="E134" s="159" t="str">
        <f>VLOOKUP(C134,DMSP!$A$1:$C$39,3,0)</f>
        <v>F95</v>
      </c>
      <c r="F134" s="160">
        <f t="shared" si="9"/>
        <v>0</v>
      </c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2">
        <f t="shared" si="15"/>
        <v>0</v>
      </c>
      <c r="T134" s="167"/>
    </row>
    <row r="135" customHeight="1" spans="2:20">
      <c r="B135" s="166"/>
      <c r="C135" s="164">
        <f t="shared" si="14"/>
        <v>16</v>
      </c>
      <c r="D135" s="158" t="str">
        <f>VLOOKUP(C135,DMSP!$A$1:$C$39,2,0)</f>
        <v>5.TRUYỀN THỐNG</v>
      </c>
      <c r="E135" s="159" t="str">
        <f>VLOOKUP(C135,DMSP!$A$1:$C$39,3,0)</f>
        <v>THIOURE</v>
      </c>
      <c r="F135" s="160">
        <f t="shared" ref="F135:F198" si="16">S135</f>
        <v>0</v>
      </c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2">
        <f t="shared" si="15"/>
        <v>0</v>
      </c>
      <c r="T135" s="167"/>
    </row>
    <row r="136" customHeight="1" spans="2:20">
      <c r="B136" s="166"/>
      <c r="C136" s="164">
        <f t="shared" si="14"/>
        <v>17</v>
      </c>
      <c r="D136" s="158" t="str">
        <f>VLOOKUP(C136,DMSP!$A$1:$C$39,2,0)</f>
        <v>5.TRUYỀN THỐNG</v>
      </c>
      <c r="E136" s="159" t="str">
        <f>VLOOKUP(C136,DMSP!$A$1:$C$39,3,0)</f>
        <v>TOBA JUM</v>
      </c>
      <c r="F136" s="160">
        <f t="shared" si="16"/>
        <v>0</v>
      </c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2">
        <f t="shared" si="15"/>
        <v>0</v>
      </c>
      <c r="T136" s="167"/>
    </row>
    <row r="137" customHeight="1" spans="2:20">
      <c r="B137" s="166"/>
      <c r="C137" s="164">
        <f t="shared" si="14"/>
        <v>18</v>
      </c>
      <c r="D137" s="158" t="str">
        <f>VLOOKUP(C137,DMSP!$A$1:$C$39,2,0)</f>
        <v>5.TRUYỀN THỐNG</v>
      </c>
      <c r="E137" s="159" t="str">
        <f>VLOOKUP(C137,DMSP!$A$1:$C$39,3,0)</f>
        <v>TOBA NET</v>
      </c>
      <c r="F137" s="160">
        <f t="shared" si="16"/>
        <v>0</v>
      </c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2">
        <f t="shared" si="15"/>
        <v>0</v>
      </c>
      <c r="T137" s="167"/>
    </row>
    <row r="138" customHeight="1" spans="2:20">
      <c r="B138" s="166"/>
      <c r="C138" s="164">
        <f t="shared" si="14"/>
        <v>19</v>
      </c>
      <c r="D138" s="158" t="str">
        <f>VLOOKUP(C138,DMSP!$A$1:$C$39,2,0)</f>
        <v>6.BVTV</v>
      </c>
      <c r="E138" s="159" t="str">
        <f>VLOOKUP(C138,DMSP!$A$1:$C$39,3,0)</f>
        <v>ABAFAX 1.8</v>
      </c>
      <c r="F138" s="160">
        <f t="shared" si="16"/>
        <v>0</v>
      </c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2">
        <f t="shared" si="15"/>
        <v>0</v>
      </c>
      <c r="T138" s="167"/>
    </row>
    <row r="139" customHeight="1" spans="2:20">
      <c r="B139" s="166"/>
      <c r="C139" s="164">
        <f t="shared" si="14"/>
        <v>20</v>
      </c>
      <c r="D139" s="158" t="str">
        <f>VLOOKUP(C139,DMSP!$A$1:$C$39,2,0)</f>
        <v>6.BVTV</v>
      </c>
      <c r="E139" s="159" t="str">
        <f>VLOOKUP(C139,DMSP!$A$1:$C$39,3,0)</f>
        <v>ABAFAX 3.6</v>
      </c>
      <c r="F139" s="160">
        <f t="shared" si="16"/>
        <v>0</v>
      </c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2">
        <f t="shared" si="15"/>
        <v>0</v>
      </c>
      <c r="T139" s="167"/>
    </row>
    <row r="140" customHeight="1" spans="2:20">
      <c r="B140" s="166"/>
      <c r="C140" s="164">
        <f t="shared" si="14"/>
        <v>21</v>
      </c>
      <c r="D140" s="158" t="str">
        <f>VLOOKUP(C140,DMSP!$A$1:$C$39,2,0)</f>
        <v>6.BVTV</v>
      </c>
      <c r="E140" s="159" t="str">
        <f>VLOOKUP(C140,DMSP!$A$1:$C$39,3,0)</f>
        <v>AZET</v>
      </c>
      <c r="F140" s="160">
        <f t="shared" si="16"/>
        <v>0</v>
      </c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2">
        <f t="shared" si="15"/>
        <v>0</v>
      </c>
      <c r="T140" s="167"/>
    </row>
    <row r="141" customHeight="1" spans="2:20">
      <c r="B141" s="166"/>
      <c r="C141" s="164">
        <f t="shared" si="14"/>
        <v>22</v>
      </c>
      <c r="D141" s="158" t="str">
        <f>VLOOKUP(C141,DMSP!$A$1:$C$39,2,0)</f>
        <v>6.BVTV</v>
      </c>
      <c r="E141" s="159" t="str">
        <f>VLOOKUP(C141,DMSP!$A$1:$C$39,3,0)</f>
        <v>BACBA</v>
      </c>
      <c r="F141" s="160">
        <f t="shared" si="16"/>
        <v>0</v>
      </c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2">
        <f t="shared" si="15"/>
        <v>0</v>
      </c>
      <c r="T141" s="167"/>
    </row>
    <row r="142" customHeight="1" spans="2:20">
      <c r="B142" s="166"/>
      <c r="C142" s="164">
        <f t="shared" si="14"/>
        <v>23</v>
      </c>
      <c r="D142" s="158" t="str">
        <f>VLOOKUP(C142,DMSP!$A$1:$C$39,2,0)</f>
        <v>6.BVTV</v>
      </c>
      <c r="E142" s="159" t="str">
        <f>VLOOKUP(C142,DMSP!$A$1:$C$39,3,0)</f>
        <v>BIOROSAMIL</v>
      </c>
      <c r="F142" s="160">
        <f t="shared" si="16"/>
        <v>5</v>
      </c>
      <c r="G142" s="161"/>
      <c r="H142" s="161"/>
      <c r="I142" s="161"/>
      <c r="J142" s="161">
        <v>5</v>
      </c>
      <c r="K142" s="161"/>
      <c r="L142" s="161"/>
      <c r="M142" s="161"/>
      <c r="N142" s="161"/>
      <c r="O142" s="161"/>
      <c r="P142" s="161"/>
      <c r="Q142" s="161"/>
      <c r="R142" s="161"/>
      <c r="S142" s="162">
        <f t="shared" si="15"/>
        <v>5</v>
      </c>
      <c r="T142" s="167"/>
    </row>
    <row r="143" customHeight="1" spans="2:20">
      <c r="B143" s="166"/>
      <c r="C143" s="164">
        <f t="shared" si="14"/>
        <v>24</v>
      </c>
      <c r="D143" s="158" t="str">
        <f>VLOOKUP(C143,DMSP!$A$1:$C$39,2,0)</f>
        <v>6.BVTV</v>
      </c>
      <c r="E143" s="159" t="str">
        <f>VLOOKUP(C143,DMSP!$A$1:$C$39,3,0)</f>
        <v>COC 86</v>
      </c>
      <c r="F143" s="160">
        <f t="shared" si="16"/>
        <v>0</v>
      </c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2">
        <f t="shared" si="15"/>
        <v>0</v>
      </c>
      <c r="T143" s="167"/>
    </row>
    <row r="144" customHeight="1" spans="2:20">
      <c r="B144" s="166"/>
      <c r="C144" s="164">
        <f t="shared" si="14"/>
        <v>25</v>
      </c>
      <c r="D144" s="158" t="str">
        <f>VLOOKUP(C144,DMSP!$A$1:$C$39,2,0)</f>
        <v>6.BVTV</v>
      </c>
      <c r="E144" s="159" t="str">
        <f>VLOOKUP(C144,DMSP!$A$1:$C$39,3,0)</f>
        <v>HEXA 5</v>
      </c>
      <c r="F144" s="160">
        <f t="shared" si="16"/>
        <v>3</v>
      </c>
      <c r="G144" s="161"/>
      <c r="H144" s="161"/>
      <c r="I144" s="161"/>
      <c r="J144" s="161"/>
      <c r="K144" s="161"/>
      <c r="L144" s="161"/>
      <c r="M144" s="161">
        <v>3</v>
      </c>
      <c r="N144" s="161"/>
      <c r="O144" s="161"/>
      <c r="P144" s="161"/>
      <c r="Q144" s="161"/>
      <c r="R144" s="161"/>
      <c r="S144" s="162">
        <f t="shared" si="15"/>
        <v>3</v>
      </c>
      <c r="T144" s="167"/>
    </row>
    <row r="145" customHeight="1" spans="2:20">
      <c r="B145" s="166"/>
      <c r="C145" s="164">
        <f t="shared" si="14"/>
        <v>26</v>
      </c>
      <c r="D145" s="158" t="str">
        <f>VLOOKUP(C145,DMSP!$A$1:$C$39,2,0)</f>
        <v>6.BVTV</v>
      </c>
      <c r="E145" s="159" t="str">
        <f>VLOOKUP(C145,DMSP!$A$1:$C$39,3,0)</f>
        <v>TAMALA</v>
      </c>
      <c r="F145" s="160">
        <f t="shared" si="16"/>
        <v>0</v>
      </c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2">
        <f t="shared" si="15"/>
        <v>0</v>
      </c>
      <c r="T145" s="167"/>
    </row>
    <row r="146" customHeight="1" spans="2:20">
      <c r="B146" s="166"/>
      <c r="C146" s="164">
        <f t="shared" si="14"/>
        <v>27</v>
      </c>
      <c r="D146" s="158" t="str">
        <f>VLOOKUP(C146,DMSP!$A$1:$C$39,2,0)</f>
        <v>7.KHÁC</v>
      </c>
      <c r="E146" s="159" t="str">
        <f>VLOOKUP(C146,DMSP!$A$1:$C$39,3,0)</f>
        <v>KẼM VÀNG</v>
      </c>
      <c r="F146" s="160">
        <f t="shared" si="16"/>
        <v>0</v>
      </c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2">
        <f t="shared" si="15"/>
        <v>0</v>
      </c>
      <c r="T146" s="167"/>
    </row>
    <row r="147" customHeight="1" spans="2:20">
      <c r="B147" s="166"/>
      <c r="C147" s="164">
        <f t="shared" si="14"/>
        <v>28</v>
      </c>
      <c r="D147" s="158" t="str">
        <f>VLOOKUP(C147,DMSP!$A$1:$C$39,2,0)</f>
        <v>7.KHÁC</v>
      </c>
      <c r="E147" s="159" t="str">
        <f>VLOOKUP(C147,DMSP!$A$1:$C$39,3,0)</f>
        <v>KHÁC1</v>
      </c>
      <c r="F147" s="160">
        <f t="shared" si="16"/>
        <v>0</v>
      </c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2">
        <f t="shared" si="15"/>
        <v>0</v>
      </c>
      <c r="T147" s="167"/>
    </row>
    <row r="148" customHeight="1" spans="2:20">
      <c r="B148" s="166"/>
      <c r="C148" s="164">
        <f t="shared" si="14"/>
        <v>29</v>
      </c>
      <c r="D148" s="158" t="str">
        <f>VLOOKUP(C148,DMSP!$A$1:$C$39,2,0)</f>
        <v>7.KHÁC</v>
      </c>
      <c r="E148" s="169" t="s">
        <v>13</v>
      </c>
      <c r="F148" s="160">
        <f t="shared" si="16"/>
        <v>0</v>
      </c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2">
        <f t="shared" si="15"/>
        <v>0</v>
      </c>
      <c r="T148" s="167"/>
    </row>
    <row r="149" customHeight="1" spans="2:20">
      <c r="B149" s="166"/>
      <c r="C149" s="164">
        <f t="shared" si="14"/>
        <v>30</v>
      </c>
      <c r="D149" s="158" t="str">
        <f>VLOOKUP(C149,DMSP!$A$1:$C$39,2,0)</f>
        <v>7.KHÁC</v>
      </c>
      <c r="E149" s="159" t="str">
        <f>VLOOKUP(C149,DMSP!$A$1:$C$39,3,0)</f>
        <v>RỬA RONG RÊU</v>
      </c>
      <c r="F149" s="160">
        <f t="shared" si="16"/>
        <v>0</v>
      </c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2">
        <f t="shared" si="15"/>
        <v>0</v>
      </c>
      <c r="T149" s="167"/>
    </row>
    <row r="150" customHeight="1" spans="2:20">
      <c r="B150" s="166"/>
      <c r="C150" s="164">
        <f t="shared" si="14"/>
        <v>31</v>
      </c>
      <c r="D150" s="158" t="str">
        <f>VLOOKUP(C150,DMSP!$A$1:$C$39,2,0)</f>
        <v>7.KHÁC</v>
      </c>
      <c r="E150" s="159" t="str">
        <f>VLOOKUP(C150,DMSP!$A$1:$C$39,3,0)</f>
        <v>TB BO</v>
      </c>
      <c r="F150" s="160">
        <f t="shared" si="16"/>
        <v>0</v>
      </c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2">
        <f t="shared" si="15"/>
        <v>0</v>
      </c>
      <c r="T150" s="167"/>
    </row>
    <row r="151" customHeight="1" spans="2:20">
      <c r="B151" s="166"/>
      <c r="C151" s="164">
        <f t="shared" si="14"/>
        <v>32</v>
      </c>
      <c r="D151" s="158" t="str">
        <f>VLOOKUP(C151,DMSP!$A$1:$C$39,2,0)</f>
        <v>7.KHÁC</v>
      </c>
      <c r="E151" s="159" t="str">
        <f>VLOOKUP(C151,DMSP!$A$1:$C$39,3,0)</f>
        <v>TB FRUIT</v>
      </c>
      <c r="F151" s="160">
        <f t="shared" si="16"/>
        <v>0</v>
      </c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2">
        <f t="shared" si="15"/>
        <v>0</v>
      </c>
      <c r="T151" s="167"/>
    </row>
    <row r="152" customHeight="1" spans="2:20">
      <c r="B152" s="166"/>
      <c r="C152" s="164">
        <f t="shared" si="14"/>
        <v>33</v>
      </c>
      <c r="D152" s="158" t="str">
        <f>VLOOKUP(C152,DMSP!$A$1:$C$39,2,0)</f>
        <v>7.KHÁC</v>
      </c>
      <c r="E152" s="159" t="str">
        <f>VLOOKUP(C152,DMSP!$A$1:$C$39,3,0)</f>
        <v>TB PHOS</v>
      </c>
      <c r="F152" s="160">
        <f t="shared" si="16"/>
        <v>0</v>
      </c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2">
        <f t="shared" si="15"/>
        <v>0</v>
      </c>
      <c r="T152" s="167"/>
    </row>
    <row r="153" customHeight="1" spans="2:20">
      <c r="B153" s="166"/>
      <c r="C153" s="164">
        <f t="shared" si="14"/>
        <v>34</v>
      </c>
      <c r="D153" s="158" t="str">
        <f>VLOOKUP(C153,DMSP!$A$1:$C$39,2,0)</f>
        <v>7.KHÁC</v>
      </c>
      <c r="E153" s="159" t="str">
        <f>VLOOKUP(C153,DMSP!$A$1:$C$39,3,0)</f>
        <v>TOBA BÁM DÍNH</v>
      </c>
      <c r="F153" s="160">
        <f t="shared" si="16"/>
        <v>0</v>
      </c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2">
        <f t="shared" si="15"/>
        <v>0</v>
      </c>
      <c r="T153" s="167"/>
    </row>
    <row r="154" customHeight="1" spans="2:20">
      <c r="B154" s="166"/>
      <c r="C154" s="164">
        <f t="shared" si="14"/>
        <v>35</v>
      </c>
      <c r="D154" s="158" t="str">
        <f>VLOOKUP(C154,DMSP!$A$1:$C$39,2,0)</f>
        <v>7.KHÁC</v>
      </c>
      <c r="E154" s="159" t="str">
        <f>VLOOKUP(C154,DMSP!$A$1:$C$39,3,0)</f>
        <v>VỌT HOA NHÃN</v>
      </c>
      <c r="F154" s="160">
        <f t="shared" si="16"/>
        <v>0</v>
      </c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2">
        <f t="shared" si="15"/>
        <v>0</v>
      </c>
      <c r="T154" s="167"/>
    </row>
    <row r="155" customHeight="1" spans="2:20">
      <c r="B155" s="166"/>
      <c r="C155" s="164">
        <f t="shared" si="14"/>
        <v>36</v>
      </c>
      <c r="D155" s="158" t="str">
        <f>VLOOKUP(C155,DMSP!$A$1:$C$39,2,0)</f>
        <v>7.KHÁC</v>
      </c>
      <c r="E155" s="159" t="str">
        <f>VLOOKUP(C155,DMSP!$A$1:$C$39,3,0)</f>
        <v>VỌT HOA XOÀI</v>
      </c>
      <c r="F155" s="160">
        <f t="shared" si="16"/>
        <v>0</v>
      </c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2">
        <f t="shared" si="15"/>
        <v>0</v>
      </c>
      <c r="T155" s="167"/>
    </row>
    <row r="156" customHeight="1" spans="2:20">
      <c r="B156" s="166"/>
      <c r="C156" s="164">
        <f t="shared" si="14"/>
        <v>37</v>
      </c>
      <c r="D156" s="158" t="str">
        <f>VLOOKUP(C156,DMSP!$A$1:$C$39,2,0)</f>
        <v>7.KHÁC</v>
      </c>
      <c r="E156" s="159" t="str">
        <f>VLOOKUP(C156,DMSP!$A$1:$C$39,3,0)</f>
        <v>VỌT HOA XOÀI</v>
      </c>
      <c r="F156" s="160">
        <f t="shared" si="16"/>
        <v>0</v>
      </c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2">
        <f t="shared" si="15"/>
        <v>0</v>
      </c>
      <c r="T156" s="167"/>
    </row>
    <row r="157" customHeight="1" spans="2:20">
      <c r="B157" s="92"/>
      <c r="C157" s="170" t="str">
        <f>B120</f>
        <v>MỸ DUNG </v>
      </c>
      <c r="D157" s="171"/>
      <c r="E157" s="172" t="str">
        <f>"TOTAL "&amp;B120</f>
        <v>TOTAL MỸ DUNG </v>
      </c>
      <c r="F157" s="173">
        <f t="shared" si="16"/>
        <v>19</v>
      </c>
      <c r="G157" s="174">
        <f>SUM(G120:G156)</f>
        <v>0</v>
      </c>
      <c r="H157" s="174">
        <f>SUM(H120:H156)</f>
        <v>7</v>
      </c>
      <c r="I157" s="174">
        <f t="shared" ref="I157:R157" si="17">SUM(I120:I156)</f>
        <v>0</v>
      </c>
      <c r="J157" s="174">
        <f t="shared" si="17"/>
        <v>5</v>
      </c>
      <c r="K157" s="174">
        <f t="shared" si="17"/>
        <v>4</v>
      </c>
      <c r="L157" s="174">
        <f t="shared" si="17"/>
        <v>0</v>
      </c>
      <c r="M157" s="174">
        <f t="shared" si="17"/>
        <v>3</v>
      </c>
      <c r="N157" s="174">
        <f t="shared" si="17"/>
        <v>0</v>
      </c>
      <c r="O157" s="174">
        <f t="shared" si="17"/>
        <v>0</v>
      </c>
      <c r="P157" s="174">
        <f t="shared" si="17"/>
        <v>0</v>
      </c>
      <c r="Q157" s="174">
        <f t="shared" si="17"/>
        <v>0</v>
      </c>
      <c r="R157" s="174">
        <f t="shared" si="17"/>
        <v>0</v>
      </c>
      <c r="S157" s="174">
        <f t="shared" si="15"/>
        <v>19</v>
      </c>
      <c r="T157" s="175"/>
    </row>
    <row r="158" customHeight="1" spans="2:20">
      <c r="B158" s="156" t="s">
        <v>17</v>
      </c>
      <c r="C158" s="157">
        <v>1</v>
      </c>
      <c r="D158" s="158" t="str">
        <f>VLOOKUP(C158,DMSP!$A$1:$C$39,2,0)</f>
        <v>1.TOBA XANH</v>
      </c>
      <c r="E158" s="159" t="str">
        <f>VLOOKUP(C158,DMSP!$A$1:$C$39,3,0)</f>
        <v>TOBA XANH</v>
      </c>
      <c r="F158" s="160">
        <f t="shared" si="16"/>
        <v>0</v>
      </c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2">
        <f t="shared" si="15"/>
        <v>0</v>
      </c>
      <c r="T158" s="163">
        <f>S195</f>
        <v>45978</v>
      </c>
    </row>
    <row r="159" customHeight="1" spans="2:20">
      <c r="B159" s="166"/>
      <c r="C159" s="164">
        <f t="shared" ref="C159:C194" si="18">C158+1</f>
        <v>2</v>
      </c>
      <c r="D159" s="158" t="str">
        <f>VLOOKUP(C159,DMSP!$A$1:$C$39,2,0)</f>
        <v>2.HC</v>
      </c>
      <c r="E159" s="159" t="str">
        <f>VLOOKUP(C159,DMSP!$A$1:$C$39,3,0)</f>
        <v>HC BOOSTER</v>
      </c>
      <c r="F159" s="160">
        <f t="shared" si="16"/>
        <v>0</v>
      </c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2">
        <f t="shared" ref="S159:S196" si="19">SUM(G159:R159)</f>
        <v>0</v>
      </c>
      <c r="T159" s="167"/>
    </row>
    <row r="160" customHeight="1" spans="2:20">
      <c r="B160" s="166"/>
      <c r="C160" s="164">
        <f t="shared" si="18"/>
        <v>3</v>
      </c>
      <c r="D160" s="158" t="str">
        <f>VLOOKUP(C160,DMSP!$A$1:$C$39,2,0)</f>
        <v>2.HC</v>
      </c>
      <c r="E160" s="159" t="str">
        <f>VLOOKUP(C160,DMSP!$A$1:$C$39,3,0)</f>
        <v>HC KING-ROOT</v>
      </c>
      <c r="F160" s="160">
        <f t="shared" si="16"/>
        <v>0</v>
      </c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2">
        <f t="shared" si="19"/>
        <v>0</v>
      </c>
      <c r="T160" s="167"/>
    </row>
    <row r="161" customHeight="1" spans="2:20">
      <c r="B161" s="166"/>
      <c r="C161" s="164">
        <f t="shared" si="18"/>
        <v>4</v>
      </c>
      <c r="D161" s="158" t="str">
        <f>VLOOKUP(C161,DMSP!$A$1:$C$39,2,0)</f>
        <v>2.HC</v>
      </c>
      <c r="E161" s="159" t="str">
        <f>VLOOKUP(C161,DMSP!$A$1:$C$39,3,0)</f>
        <v>HAPPY FARM</v>
      </c>
      <c r="F161" s="160">
        <f t="shared" si="16"/>
        <v>0</v>
      </c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2">
        <f t="shared" si="19"/>
        <v>0</v>
      </c>
      <c r="T161" s="167"/>
    </row>
    <row r="162" customHeight="1" spans="2:20">
      <c r="B162" s="166"/>
      <c r="C162" s="164">
        <f t="shared" si="18"/>
        <v>5</v>
      </c>
      <c r="D162" s="158" t="str">
        <f>VLOOKUP(C162,DMSP!$A$1:$C$39,2,0)</f>
        <v>2.HC</v>
      </c>
      <c r="E162" s="159" t="str">
        <f>VLOOKUP(C162,DMSP!$A$1:$C$39,3,0)</f>
        <v>WOW</v>
      </c>
      <c r="F162" s="160">
        <f t="shared" si="16"/>
        <v>0</v>
      </c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2">
        <f t="shared" si="19"/>
        <v>0</v>
      </c>
      <c r="T162" s="167"/>
    </row>
    <row r="163" customHeight="1" spans="2:20">
      <c r="B163" s="166"/>
      <c r="C163" s="164">
        <f t="shared" si="18"/>
        <v>6</v>
      </c>
      <c r="D163" s="158" t="str">
        <f>VLOOKUP(C163,DMSP!$A$1:$C$39,2,0)</f>
        <v>3.SPRAY </v>
      </c>
      <c r="E163" s="159" t="str">
        <f>VLOOKUP(C163,DMSP!$A$1:$C$39,3,0)</f>
        <v>KELPIT</v>
      </c>
      <c r="F163" s="160">
        <f t="shared" si="16"/>
        <v>0</v>
      </c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2">
        <f t="shared" si="19"/>
        <v>0</v>
      </c>
      <c r="T163" s="167"/>
    </row>
    <row r="164" customHeight="1" spans="2:20">
      <c r="B164" s="166"/>
      <c r="C164" s="164">
        <f t="shared" si="18"/>
        <v>7</v>
      </c>
      <c r="D164" s="158" t="str">
        <f>VLOOKUP(C164,DMSP!$A$1:$C$39,2,0)</f>
        <v>3.SPRAY </v>
      </c>
      <c r="E164" s="159" t="str">
        <f>VLOOKUP(C164,DMSP!$A$1:$C$39,3,0)</f>
        <v>SI-K</v>
      </c>
      <c r="F164" s="160">
        <f t="shared" si="16"/>
        <v>0</v>
      </c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2">
        <f t="shared" si="19"/>
        <v>0</v>
      </c>
      <c r="T164" s="167"/>
    </row>
    <row r="165" customHeight="1" spans="2:20">
      <c r="B165" s="166"/>
      <c r="C165" s="164">
        <f t="shared" si="18"/>
        <v>8</v>
      </c>
      <c r="D165" s="158" t="str">
        <f>VLOOKUP(C165,DMSP!$A$1:$C$39,2,0)</f>
        <v>3.SPRAY </v>
      </c>
      <c r="E165" s="159" t="str">
        <f>VLOOKUP(C165,DMSP!$A$1:$C$39,3,0)</f>
        <v>SPRAY PHOS 620</v>
      </c>
      <c r="F165" s="160">
        <f t="shared" si="16"/>
        <v>0</v>
      </c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2">
        <f t="shared" si="19"/>
        <v>0</v>
      </c>
      <c r="T165" s="167"/>
    </row>
    <row r="166" customHeight="1" spans="2:20">
      <c r="B166" s="166"/>
      <c r="C166" s="164">
        <f t="shared" si="18"/>
        <v>9</v>
      </c>
      <c r="D166" s="158" t="str">
        <f>VLOOKUP(C166,DMSP!$A$1:$C$39,2,0)</f>
        <v>4.DƯỠNG RỄ</v>
      </c>
      <c r="E166" s="159" t="str">
        <f>VLOOKUP(C166,DMSP!$A$1:$C$39,3,0)</f>
        <v>CHITOSAN</v>
      </c>
      <c r="F166" s="160">
        <f t="shared" si="16"/>
        <v>0</v>
      </c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2">
        <f t="shared" si="19"/>
        <v>0</v>
      </c>
      <c r="T166" s="167"/>
    </row>
    <row r="167" customHeight="1" spans="2:20">
      <c r="B167" s="166"/>
      <c r="C167" s="164">
        <f t="shared" si="18"/>
        <v>10</v>
      </c>
      <c r="D167" s="158" t="str">
        <f>VLOOKUP(C167,DMSP!$A$1:$C$39,2,0)</f>
        <v>4.DƯỠNG RỄ</v>
      </c>
      <c r="E167" s="159" t="str">
        <f>VLOOKUP(C167,DMSP!$A$1:$C$39,3,0)</f>
        <v>ĐẠM CÁ</v>
      </c>
      <c r="F167" s="160">
        <f t="shared" si="16"/>
        <v>0</v>
      </c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2">
        <f t="shared" si="19"/>
        <v>0</v>
      </c>
      <c r="T167" s="167"/>
    </row>
    <row r="168" customHeight="1" spans="2:20">
      <c r="B168" s="166"/>
      <c r="C168" s="164">
        <f t="shared" si="18"/>
        <v>11</v>
      </c>
      <c r="D168" s="158" t="str">
        <f>VLOOKUP(C168,DMSP!$A$1:$C$39,2,0)</f>
        <v>4.DƯỠNG RỄ</v>
      </c>
      <c r="E168" s="159" t="str">
        <f>VLOOKUP(C168,DMSP!$A$1:$C$39,3,0)</f>
        <v>ĐẠM TÔM</v>
      </c>
      <c r="F168" s="160">
        <f t="shared" si="16"/>
        <v>0</v>
      </c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2">
        <f t="shared" si="19"/>
        <v>0</v>
      </c>
      <c r="T168" s="167"/>
    </row>
    <row r="169" customHeight="1" spans="2:20">
      <c r="B169" s="166"/>
      <c r="C169" s="164">
        <f t="shared" si="18"/>
        <v>12</v>
      </c>
      <c r="D169" s="158" t="str">
        <f>VLOOKUP(C169,DMSP!$A$1:$C$39,2,0)</f>
        <v>4.DƯỠNG RỄ</v>
      </c>
      <c r="E169" s="159" t="str">
        <f>VLOOKUP(C169,DMSP!$A$1:$C$39,3,0)</f>
        <v>SUPERMIC</v>
      </c>
      <c r="F169" s="160">
        <f t="shared" si="16"/>
        <v>0</v>
      </c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2">
        <f t="shared" si="19"/>
        <v>0</v>
      </c>
      <c r="T169" s="167"/>
    </row>
    <row r="170" customHeight="1" spans="2:20">
      <c r="B170" s="166"/>
      <c r="C170" s="164">
        <f t="shared" si="18"/>
        <v>13</v>
      </c>
      <c r="D170" s="158" t="str">
        <f>VLOOKUP(C170,DMSP!$A$1:$C$39,2,0)</f>
        <v>5.TRUYỀN THỐNG</v>
      </c>
      <c r="E170" s="159" t="str">
        <f>VLOOKUP(C170,DMSP!$A$1:$C$39,3,0)</f>
        <v>CABO</v>
      </c>
      <c r="F170" s="160">
        <f t="shared" si="16"/>
        <v>30</v>
      </c>
      <c r="G170" s="161">
        <v>30</v>
      </c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2">
        <f t="shared" si="19"/>
        <v>30</v>
      </c>
      <c r="T170" s="167"/>
    </row>
    <row r="171" customHeight="1" spans="2:20">
      <c r="B171" s="166"/>
      <c r="C171" s="164">
        <f t="shared" si="18"/>
        <v>14</v>
      </c>
      <c r="D171" s="158" t="str">
        <f>VLOOKUP(C171,DMSP!$A$1:$C$39,2,0)</f>
        <v>5.TRUYỀN THỐNG</v>
      </c>
      <c r="E171" s="159" t="str">
        <f>VLOOKUP(C171,DMSP!$A$1:$C$39,3,0)</f>
        <v>F94</v>
      </c>
      <c r="F171" s="160">
        <f t="shared" si="16"/>
        <v>5596</v>
      </c>
      <c r="G171" s="161">
        <v>21</v>
      </c>
      <c r="H171" s="161">
        <v>234</v>
      </c>
      <c r="I171" s="161"/>
      <c r="J171" s="161">
        <v>300</v>
      </c>
      <c r="K171" s="161">
        <v>1690</v>
      </c>
      <c r="L171" s="161">
        <v>375</v>
      </c>
      <c r="M171" s="161">
        <v>717</v>
      </c>
      <c r="N171" s="161">
        <v>717</v>
      </c>
      <c r="O171" s="161">
        <v>492</v>
      </c>
      <c r="P171" s="161">
        <v>450</v>
      </c>
      <c r="Q171" s="161">
        <v>600</v>
      </c>
      <c r="R171" s="161"/>
      <c r="S171" s="162">
        <f t="shared" si="19"/>
        <v>5596</v>
      </c>
      <c r="T171" s="167"/>
    </row>
    <row r="172" customHeight="1" spans="2:20">
      <c r="B172" s="166"/>
      <c r="C172" s="164">
        <f t="shared" si="18"/>
        <v>15</v>
      </c>
      <c r="D172" s="158" t="str">
        <f>VLOOKUP(C172,DMSP!$A$1:$C$39,2,0)</f>
        <v>5.TRUYỀN THỐNG</v>
      </c>
      <c r="E172" s="159" t="str">
        <f>VLOOKUP(C172,DMSP!$A$1:$C$39,3,0)</f>
        <v>F95</v>
      </c>
      <c r="F172" s="160">
        <f t="shared" si="16"/>
        <v>5328</v>
      </c>
      <c r="G172" s="161">
        <v>158</v>
      </c>
      <c r="H172" s="161">
        <v>50</v>
      </c>
      <c r="I172" s="161">
        <v>382</v>
      </c>
      <c r="J172" s="161"/>
      <c r="K172" s="161">
        <v>106</v>
      </c>
      <c r="L172" s="161"/>
      <c r="M172" s="161">
        <v>625</v>
      </c>
      <c r="N172" s="161">
        <v>1000</v>
      </c>
      <c r="O172" s="161">
        <v>553</v>
      </c>
      <c r="P172" s="161">
        <v>875</v>
      </c>
      <c r="Q172" s="161">
        <v>1079</v>
      </c>
      <c r="R172" s="161">
        <v>500</v>
      </c>
      <c r="S172" s="162">
        <f t="shared" si="19"/>
        <v>5328</v>
      </c>
      <c r="T172" s="167"/>
    </row>
    <row r="173" customHeight="1" spans="2:20">
      <c r="B173" s="166"/>
      <c r="C173" s="164">
        <f t="shared" si="18"/>
        <v>16</v>
      </c>
      <c r="D173" s="158" t="str">
        <f>VLOOKUP(C173,DMSP!$A$1:$C$39,2,0)</f>
        <v>5.TRUYỀN THỐNG</v>
      </c>
      <c r="E173" s="159" t="str">
        <f>VLOOKUP(C173,DMSP!$A$1:$C$39,3,0)</f>
        <v>THIOURE</v>
      </c>
      <c r="F173" s="160">
        <f t="shared" si="16"/>
        <v>0</v>
      </c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2">
        <f t="shared" si="19"/>
        <v>0</v>
      </c>
      <c r="T173" s="167"/>
    </row>
    <row r="174" customHeight="1" spans="2:20">
      <c r="B174" s="166"/>
      <c r="C174" s="164">
        <f t="shared" si="18"/>
        <v>17</v>
      </c>
      <c r="D174" s="158" t="str">
        <f>VLOOKUP(C174,DMSP!$A$1:$C$39,2,0)</f>
        <v>5.TRUYỀN THỐNG</v>
      </c>
      <c r="E174" s="159" t="str">
        <f>VLOOKUP(C174,DMSP!$A$1:$C$39,3,0)</f>
        <v>TOBA JUM</v>
      </c>
      <c r="F174" s="160">
        <f t="shared" si="16"/>
        <v>34875</v>
      </c>
      <c r="G174" s="161">
        <v>1927</v>
      </c>
      <c r="H174" s="161">
        <v>3149</v>
      </c>
      <c r="I174" s="161">
        <v>7285</v>
      </c>
      <c r="J174" s="161">
        <v>5405</v>
      </c>
      <c r="K174" s="161">
        <v>5640</v>
      </c>
      <c r="L174" s="161">
        <v>1927</v>
      </c>
      <c r="M174" s="161">
        <v>1880</v>
      </c>
      <c r="N174" s="161">
        <v>3666</v>
      </c>
      <c r="O174" s="161">
        <v>2374</v>
      </c>
      <c r="P174" s="161">
        <v>940</v>
      </c>
      <c r="Q174" s="161">
        <v>658</v>
      </c>
      <c r="R174" s="161">
        <v>24</v>
      </c>
      <c r="S174" s="162">
        <f t="shared" si="19"/>
        <v>34875</v>
      </c>
      <c r="T174" s="167"/>
    </row>
    <row r="175" customHeight="1" spans="2:20">
      <c r="B175" s="166"/>
      <c r="C175" s="164">
        <f t="shared" si="18"/>
        <v>18</v>
      </c>
      <c r="D175" s="158" t="str">
        <f>VLOOKUP(C175,DMSP!$A$1:$C$39,2,0)</f>
        <v>5.TRUYỀN THỐNG</v>
      </c>
      <c r="E175" s="159" t="str">
        <f>VLOOKUP(C175,DMSP!$A$1:$C$39,3,0)</f>
        <v>TOBA NET</v>
      </c>
      <c r="F175" s="160">
        <f t="shared" si="16"/>
        <v>0</v>
      </c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2">
        <f t="shared" si="19"/>
        <v>0</v>
      </c>
      <c r="T175" s="167"/>
    </row>
    <row r="176" customHeight="1" spans="2:20">
      <c r="B176" s="166"/>
      <c r="C176" s="164">
        <f t="shared" si="18"/>
        <v>19</v>
      </c>
      <c r="D176" s="158" t="str">
        <f>VLOOKUP(C176,DMSP!$A$1:$C$39,2,0)</f>
        <v>6.BVTV</v>
      </c>
      <c r="E176" s="159" t="str">
        <f>VLOOKUP(C176,DMSP!$A$1:$C$39,3,0)</f>
        <v>ABAFAX 1.8</v>
      </c>
      <c r="F176" s="160">
        <f t="shared" si="16"/>
        <v>10</v>
      </c>
      <c r="G176" s="161"/>
      <c r="H176" s="161">
        <v>10</v>
      </c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2">
        <f t="shared" si="19"/>
        <v>10</v>
      </c>
      <c r="T176" s="167"/>
    </row>
    <row r="177" customHeight="1" spans="2:20">
      <c r="B177" s="166"/>
      <c r="C177" s="164">
        <f t="shared" si="18"/>
        <v>20</v>
      </c>
      <c r="D177" s="158" t="str">
        <f>VLOOKUP(C177,DMSP!$A$1:$C$39,2,0)</f>
        <v>6.BVTV</v>
      </c>
      <c r="E177" s="159" t="str">
        <f>VLOOKUP(C177,DMSP!$A$1:$C$39,3,0)</f>
        <v>ABAFAX 3.6</v>
      </c>
      <c r="F177" s="160">
        <f t="shared" si="16"/>
        <v>0</v>
      </c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2">
        <f t="shared" si="19"/>
        <v>0</v>
      </c>
      <c r="T177" s="167"/>
    </row>
    <row r="178" customHeight="1" spans="2:20">
      <c r="B178" s="166"/>
      <c r="C178" s="164">
        <f t="shared" si="18"/>
        <v>21</v>
      </c>
      <c r="D178" s="158" t="str">
        <f>VLOOKUP(C178,DMSP!$A$1:$C$39,2,0)</f>
        <v>6.BVTV</v>
      </c>
      <c r="E178" s="159" t="str">
        <f>VLOOKUP(C178,DMSP!$A$1:$C$39,3,0)</f>
        <v>AZET</v>
      </c>
      <c r="F178" s="160">
        <f t="shared" si="16"/>
        <v>133</v>
      </c>
      <c r="G178" s="161">
        <v>32</v>
      </c>
      <c r="H178" s="161">
        <v>95</v>
      </c>
      <c r="I178" s="161">
        <v>6</v>
      </c>
      <c r="J178" s="161"/>
      <c r="K178" s="161"/>
      <c r="L178" s="161"/>
      <c r="M178" s="161"/>
      <c r="N178" s="161"/>
      <c r="O178" s="161"/>
      <c r="P178" s="161"/>
      <c r="Q178" s="161"/>
      <c r="R178" s="161"/>
      <c r="S178" s="162">
        <f t="shared" si="19"/>
        <v>133</v>
      </c>
      <c r="T178" s="167"/>
    </row>
    <row r="179" customHeight="1" spans="2:20">
      <c r="B179" s="166"/>
      <c r="C179" s="164">
        <f t="shared" si="18"/>
        <v>22</v>
      </c>
      <c r="D179" s="158" t="str">
        <f>VLOOKUP(C179,DMSP!$A$1:$C$39,2,0)</f>
        <v>6.BVTV</v>
      </c>
      <c r="E179" s="159" t="str">
        <f>VLOOKUP(C179,DMSP!$A$1:$C$39,3,0)</f>
        <v>BACBA</v>
      </c>
      <c r="F179" s="160">
        <f t="shared" si="16"/>
        <v>0</v>
      </c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2">
        <f t="shared" si="19"/>
        <v>0</v>
      </c>
      <c r="T179" s="167"/>
    </row>
    <row r="180" customHeight="1" spans="2:20">
      <c r="B180" s="166"/>
      <c r="C180" s="164">
        <f t="shared" si="18"/>
        <v>23</v>
      </c>
      <c r="D180" s="158" t="str">
        <f>VLOOKUP(C180,DMSP!$A$1:$C$39,2,0)</f>
        <v>6.BVTV</v>
      </c>
      <c r="E180" s="159" t="str">
        <f>VLOOKUP(C180,DMSP!$A$1:$C$39,3,0)</f>
        <v>BIOROSAMIL</v>
      </c>
      <c r="F180" s="160">
        <f t="shared" si="16"/>
        <v>0</v>
      </c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2">
        <f t="shared" si="19"/>
        <v>0</v>
      </c>
      <c r="T180" s="167"/>
    </row>
    <row r="181" customHeight="1" spans="2:20">
      <c r="B181" s="166"/>
      <c r="C181" s="164">
        <f t="shared" si="18"/>
        <v>24</v>
      </c>
      <c r="D181" s="158" t="str">
        <f>VLOOKUP(C181,DMSP!$A$1:$C$39,2,0)</f>
        <v>6.BVTV</v>
      </c>
      <c r="E181" s="159" t="str">
        <f>VLOOKUP(C181,DMSP!$A$1:$C$39,3,0)</f>
        <v>COC 86</v>
      </c>
      <c r="F181" s="160">
        <f t="shared" si="16"/>
        <v>0</v>
      </c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2">
        <f t="shared" si="19"/>
        <v>0</v>
      </c>
      <c r="T181" s="167"/>
    </row>
    <row r="182" customHeight="1" spans="2:20">
      <c r="B182" s="166"/>
      <c r="C182" s="164">
        <f t="shared" si="18"/>
        <v>25</v>
      </c>
      <c r="D182" s="158" t="str">
        <f>VLOOKUP(C182,DMSP!$A$1:$C$39,2,0)</f>
        <v>6.BVTV</v>
      </c>
      <c r="E182" s="159" t="str">
        <f>VLOOKUP(C182,DMSP!$A$1:$C$39,3,0)</f>
        <v>HEXA 5</v>
      </c>
      <c r="F182" s="160">
        <f t="shared" si="16"/>
        <v>0</v>
      </c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2">
        <f t="shared" si="19"/>
        <v>0</v>
      </c>
      <c r="T182" s="167"/>
    </row>
    <row r="183" customHeight="1" spans="2:20">
      <c r="B183" s="166"/>
      <c r="C183" s="164">
        <f t="shared" si="18"/>
        <v>26</v>
      </c>
      <c r="D183" s="158" t="str">
        <f>VLOOKUP(C183,DMSP!$A$1:$C$39,2,0)</f>
        <v>6.BVTV</v>
      </c>
      <c r="E183" s="159" t="str">
        <f>VLOOKUP(C183,DMSP!$A$1:$C$39,3,0)</f>
        <v>TAMALA</v>
      </c>
      <c r="F183" s="160">
        <f t="shared" si="16"/>
        <v>0</v>
      </c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2">
        <f t="shared" si="19"/>
        <v>0</v>
      </c>
      <c r="T183" s="167"/>
    </row>
    <row r="184" customHeight="1" spans="2:20">
      <c r="B184" s="166"/>
      <c r="C184" s="164">
        <f t="shared" si="18"/>
        <v>27</v>
      </c>
      <c r="D184" s="158" t="str">
        <f>VLOOKUP(C184,DMSP!$A$1:$C$39,2,0)</f>
        <v>7.KHÁC</v>
      </c>
      <c r="E184" s="159" t="str">
        <f>VLOOKUP(C184,DMSP!$A$1:$C$39,3,0)</f>
        <v>KẼM VÀNG</v>
      </c>
      <c r="F184" s="160">
        <f t="shared" si="16"/>
        <v>0</v>
      </c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2">
        <f t="shared" si="19"/>
        <v>0</v>
      </c>
      <c r="T184" s="167"/>
    </row>
    <row r="185" customHeight="1" spans="2:20">
      <c r="B185" s="166"/>
      <c r="C185" s="164">
        <f t="shared" si="18"/>
        <v>28</v>
      </c>
      <c r="D185" s="158" t="str">
        <f>VLOOKUP(C185,DMSP!$A$1:$C$39,2,0)</f>
        <v>7.KHÁC</v>
      </c>
      <c r="E185" s="159" t="str">
        <f>VLOOKUP(C185,DMSP!$A$1:$C$39,3,0)</f>
        <v>KHÁC1</v>
      </c>
      <c r="F185" s="160">
        <f t="shared" si="16"/>
        <v>0</v>
      </c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2">
        <f t="shared" si="19"/>
        <v>0</v>
      </c>
      <c r="T185" s="167"/>
    </row>
    <row r="186" customHeight="1" spans="2:20">
      <c r="B186" s="166"/>
      <c r="C186" s="164">
        <f t="shared" si="18"/>
        <v>29</v>
      </c>
      <c r="D186" s="158" t="str">
        <f>VLOOKUP(C186,DMSP!$A$1:$C$39,2,0)</f>
        <v>7.KHÁC</v>
      </c>
      <c r="E186" s="169" t="s">
        <v>13</v>
      </c>
      <c r="F186" s="160">
        <f t="shared" si="16"/>
        <v>0</v>
      </c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2">
        <f t="shared" si="19"/>
        <v>0</v>
      </c>
      <c r="T186" s="167"/>
    </row>
    <row r="187" customHeight="1" spans="2:20">
      <c r="B187" s="166"/>
      <c r="C187" s="164">
        <f t="shared" si="18"/>
        <v>30</v>
      </c>
      <c r="D187" s="158" t="str">
        <f>VLOOKUP(C187,DMSP!$A$1:$C$39,2,0)</f>
        <v>7.KHÁC</v>
      </c>
      <c r="E187" s="159" t="str">
        <f>VLOOKUP(C187,DMSP!$A$1:$C$39,3,0)</f>
        <v>RỬA RONG RÊU</v>
      </c>
      <c r="F187" s="160">
        <f t="shared" si="16"/>
        <v>0</v>
      </c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2">
        <f t="shared" si="19"/>
        <v>0</v>
      </c>
      <c r="T187" s="167"/>
    </row>
    <row r="188" customHeight="1" spans="2:20">
      <c r="B188" s="166"/>
      <c r="C188" s="164">
        <f t="shared" si="18"/>
        <v>31</v>
      </c>
      <c r="D188" s="158" t="str">
        <f>VLOOKUP(C188,DMSP!$A$1:$C$39,2,0)</f>
        <v>7.KHÁC</v>
      </c>
      <c r="E188" s="159" t="str">
        <f>VLOOKUP(C188,DMSP!$A$1:$C$39,3,0)</f>
        <v>TB BO</v>
      </c>
      <c r="F188" s="160">
        <f t="shared" si="16"/>
        <v>0</v>
      </c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2">
        <f t="shared" si="19"/>
        <v>0</v>
      </c>
      <c r="T188" s="167"/>
    </row>
    <row r="189" customHeight="1" spans="2:20">
      <c r="B189" s="166"/>
      <c r="C189" s="164">
        <f t="shared" si="18"/>
        <v>32</v>
      </c>
      <c r="D189" s="158" t="str">
        <f>VLOOKUP(C189,DMSP!$A$1:$C$39,2,0)</f>
        <v>7.KHÁC</v>
      </c>
      <c r="E189" s="159" t="str">
        <f>VLOOKUP(C189,DMSP!$A$1:$C$39,3,0)</f>
        <v>TB FRUIT</v>
      </c>
      <c r="F189" s="160">
        <f t="shared" si="16"/>
        <v>0</v>
      </c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2">
        <f t="shared" si="19"/>
        <v>0</v>
      </c>
      <c r="T189" s="167"/>
    </row>
    <row r="190" customHeight="1" spans="2:20">
      <c r="B190" s="166"/>
      <c r="C190" s="164">
        <f t="shared" si="18"/>
        <v>33</v>
      </c>
      <c r="D190" s="158" t="str">
        <f>VLOOKUP(C190,DMSP!$A$1:$C$39,2,0)</f>
        <v>7.KHÁC</v>
      </c>
      <c r="E190" s="159" t="str">
        <f>VLOOKUP(C190,DMSP!$A$1:$C$39,3,0)</f>
        <v>TB PHOS</v>
      </c>
      <c r="F190" s="160">
        <f t="shared" si="16"/>
        <v>0</v>
      </c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2">
        <f t="shared" si="19"/>
        <v>0</v>
      </c>
      <c r="T190" s="167"/>
    </row>
    <row r="191" customHeight="1" spans="2:20">
      <c r="B191" s="166"/>
      <c r="C191" s="164">
        <f t="shared" si="18"/>
        <v>34</v>
      </c>
      <c r="D191" s="158" t="str">
        <f>VLOOKUP(C191,DMSP!$A$1:$C$39,2,0)</f>
        <v>7.KHÁC</v>
      </c>
      <c r="E191" s="159" t="str">
        <f>VLOOKUP(C191,DMSP!$A$1:$C$39,3,0)</f>
        <v>TOBA BÁM DÍNH</v>
      </c>
      <c r="F191" s="160">
        <f t="shared" si="16"/>
        <v>6</v>
      </c>
      <c r="G191" s="161"/>
      <c r="H191" s="161"/>
      <c r="I191" s="161"/>
      <c r="J191" s="161"/>
      <c r="K191" s="161"/>
      <c r="L191" s="161"/>
      <c r="M191" s="161">
        <v>3</v>
      </c>
      <c r="N191" s="161">
        <v>3</v>
      </c>
      <c r="O191" s="161"/>
      <c r="P191" s="161"/>
      <c r="Q191" s="161"/>
      <c r="R191" s="161"/>
      <c r="S191" s="162">
        <f t="shared" si="19"/>
        <v>6</v>
      </c>
      <c r="T191" s="167"/>
    </row>
    <row r="192" customHeight="1" spans="2:20">
      <c r="B192" s="166"/>
      <c r="C192" s="164">
        <f t="shared" si="18"/>
        <v>35</v>
      </c>
      <c r="D192" s="158" t="str">
        <f>VLOOKUP(C192,DMSP!$A$1:$C$39,2,0)</f>
        <v>7.KHÁC</v>
      </c>
      <c r="E192" s="159" t="str">
        <f>VLOOKUP(C192,DMSP!$A$1:$C$39,3,0)</f>
        <v>VỌT HOA NHÃN</v>
      </c>
      <c r="F192" s="160">
        <f t="shared" si="16"/>
        <v>0</v>
      </c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2">
        <f t="shared" si="19"/>
        <v>0</v>
      </c>
      <c r="T192" s="167"/>
    </row>
    <row r="193" customHeight="1" spans="2:20">
      <c r="B193" s="166"/>
      <c r="C193" s="164">
        <f t="shared" si="18"/>
        <v>36</v>
      </c>
      <c r="D193" s="158" t="str">
        <f>VLOOKUP(C193,DMSP!$A$1:$C$39,2,0)</f>
        <v>7.KHÁC</v>
      </c>
      <c r="E193" s="159" t="str">
        <f>VLOOKUP(C193,DMSP!$A$1:$C$39,3,0)</f>
        <v>VỌT HOA XOÀI</v>
      </c>
      <c r="F193" s="160">
        <f t="shared" si="16"/>
        <v>0</v>
      </c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2">
        <f t="shared" si="19"/>
        <v>0</v>
      </c>
      <c r="T193" s="167"/>
    </row>
    <row r="194" customHeight="1" spans="2:20">
      <c r="B194" s="166"/>
      <c r="C194" s="164">
        <f t="shared" si="18"/>
        <v>37</v>
      </c>
      <c r="D194" s="158" t="str">
        <f>VLOOKUP(C194,DMSP!$A$1:$C$39,2,0)</f>
        <v>7.KHÁC</v>
      </c>
      <c r="E194" s="159" t="str">
        <f>VLOOKUP(C194,DMSP!$A$1:$C$39,3,0)</f>
        <v>VỌT HOA XOÀI</v>
      </c>
      <c r="F194" s="160">
        <f t="shared" si="16"/>
        <v>0</v>
      </c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2">
        <f t="shared" si="19"/>
        <v>0</v>
      </c>
      <c r="T194" s="167"/>
    </row>
    <row r="195" customHeight="1" spans="2:20">
      <c r="B195" s="92"/>
      <c r="C195" s="170" t="str">
        <f>B158</f>
        <v>HÙNG BẾ </v>
      </c>
      <c r="D195" s="171"/>
      <c r="E195" s="172" t="str">
        <f>"TOTAL "&amp;B158</f>
        <v>TOTAL HÙNG BẾ </v>
      </c>
      <c r="F195" s="173">
        <f t="shared" si="16"/>
        <v>45978</v>
      </c>
      <c r="G195" s="174">
        <f>SUM(G158:G194)</f>
        <v>2168</v>
      </c>
      <c r="H195" s="174">
        <f t="shared" ref="H195:R195" si="20">SUM(H158:H194)</f>
        <v>3538</v>
      </c>
      <c r="I195" s="174">
        <f t="shared" si="20"/>
        <v>7673</v>
      </c>
      <c r="J195" s="174">
        <f t="shared" si="20"/>
        <v>5705</v>
      </c>
      <c r="K195" s="174">
        <f t="shared" si="20"/>
        <v>7436</v>
      </c>
      <c r="L195" s="174">
        <f t="shared" si="20"/>
        <v>2302</v>
      </c>
      <c r="M195" s="174">
        <f t="shared" si="20"/>
        <v>3225</v>
      </c>
      <c r="N195" s="174">
        <f t="shared" si="20"/>
        <v>5386</v>
      </c>
      <c r="O195" s="174">
        <f t="shared" si="20"/>
        <v>3419</v>
      </c>
      <c r="P195" s="174">
        <f t="shared" si="20"/>
        <v>2265</v>
      </c>
      <c r="Q195" s="174">
        <f t="shared" si="20"/>
        <v>2337</v>
      </c>
      <c r="R195" s="174">
        <f t="shared" si="20"/>
        <v>524</v>
      </c>
      <c r="S195" s="174">
        <f t="shared" si="19"/>
        <v>45978</v>
      </c>
      <c r="T195" s="175"/>
    </row>
    <row r="196" customHeight="1" spans="2:20">
      <c r="B196" s="156" t="s">
        <v>18</v>
      </c>
      <c r="C196" s="157">
        <v>1</v>
      </c>
      <c r="D196" s="158" t="str">
        <f>VLOOKUP(C196,DMSP!$A$1:$C$39,2,0)</f>
        <v>1.TOBA XANH</v>
      </c>
      <c r="E196" s="159" t="str">
        <f>VLOOKUP(C196,DMSP!$A$1:$C$39,3,0)</f>
        <v>TOBA XANH</v>
      </c>
      <c r="F196" s="160">
        <f t="shared" si="16"/>
        <v>0</v>
      </c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2">
        <f t="shared" si="19"/>
        <v>0</v>
      </c>
      <c r="T196" s="163">
        <f>S233</f>
        <v>481</v>
      </c>
    </row>
    <row r="197" customHeight="1" spans="2:20">
      <c r="B197" s="166"/>
      <c r="C197" s="164">
        <f t="shared" ref="C197:C260" si="21">C196+1</f>
        <v>2</v>
      </c>
      <c r="D197" s="158" t="str">
        <f>VLOOKUP(C197,DMSP!$A$1:$C$39,2,0)</f>
        <v>2.HC</v>
      </c>
      <c r="E197" s="159" t="str">
        <f>VLOOKUP(C197,DMSP!$A$1:$C$39,3,0)</f>
        <v>HC BOOSTER</v>
      </c>
      <c r="F197" s="160">
        <f t="shared" si="16"/>
        <v>150</v>
      </c>
      <c r="G197" s="161">
        <v>55</v>
      </c>
      <c r="H197" s="161"/>
      <c r="I197" s="161"/>
      <c r="J197" s="161">
        <v>55</v>
      </c>
      <c r="K197" s="161"/>
      <c r="L197" s="161"/>
      <c r="M197" s="161"/>
      <c r="N197" s="161"/>
      <c r="O197" s="161"/>
      <c r="P197" s="161">
        <v>40</v>
      </c>
      <c r="Q197" s="161"/>
      <c r="R197" s="161"/>
      <c r="S197" s="162">
        <f t="shared" ref="S197:S234" si="22">SUM(G197:R197)</f>
        <v>150</v>
      </c>
      <c r="T197" s="167"/>
    </row>
    <row r="198" customHeight="1" spans="2:20">
      <c r="B198" s="166"/>
      <c r="C198" s="164">
        <f t="shared" si="21"/>
        <v>3</v>
      </c>
      <c r="D198" s="158" t="str">
        <f>VLOOKUP(C198,DMSP!$A$1:$C$39,2,0)</f>
        <v>2.HC</v>
      </c>
      <c r="E198" s="159" t="str">
        <f>VLOOKUP(C198,DMSP!$A$1:$C$39,3,0)</f>
        <v>HC KING-ROOT</v>
      </c>
      <c r="F198" s="160">
        <f t="shared" si="16"/>
        <v>0</v>
      </c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2">
        <f t="shared" si="22"/>
        <v>0</v>
      </c>
      <c r="T198" s="167"/>
    </row>
    <row r="199" customHeight="1" spans="2:20">
      <c r="B199" s="166"/>
      <c r="C199" s="164">
        <f t="shared" si="21"/>
        <v>4</v>
      </c>
      <c r="D199" s="158" t="str">
        <f>VLOOKUP(C199,DMSP!$A$1:$C$39,2,0)</f>
        <v>2.HC</v>
      </c>
      <c r="E199" s="159" t="str">
        <f>VLOOKUP(C199,DMSP!$A$1:$C$39,3,0)</f>
        <v>HAPPY FARM</v>
      </c>
      <c r="F199" s="160">
        <f t="shared" ref="F199:F262" si="23">S199</f>
        <v>0</v>
      </c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2">
        <f t="shared" si="22"/>
        <v>0</v>
      </c>
      <c r="T199" s="167"/>
    </row>
    <row r="200" customHeight="1" spans="2:20">
      <c r="B200" s="166"/>
      <c r="C200" s="164">
        <f t="shared" si="21"/>
        <v>5</v>
      </c>
      <c r="D200" s="158" t="str">
        <f>VLOOKUP(C200,DMSP!$A$1:$C$39,2,0)</f>
        <v>2.HC</v>
      </c>
      <c r="E200" s="159" t="str">
        <f>VLOOKUP(C200,DMSP!$A$1:$C$39,3,0)</f>
        <v>WOW</v>
      </c>
      <c r="F200" s="160">
        <f t="shared" si="23"/>
        <v>20</v>
      </c>
      <c r="G200" s="161"/>
      <c r="H200" s="161"/>
      <c r="I200" s="161"/>
      <c r="J200" s="161">
        <v>20</v>
      </c>
      <c r="K200" s="161"/>
      <c r="L200" s="161"/>
      <c r="M200" s="161"/>
      <c r="N200" s="161"/>
      <c r="O200" s="161"/>
      <c r="P200" s="161"/>
      <c r="Q200" s="161"/>
      <c r="R200" s="161"/>
      <c r="S200" s="162">
        <f t="shared" si="22"/>
        <v>20</v>
      </c>
      <c r="T200" s="167"/>
    </row>
    <row r="201" customHeight="1" spans="2:20">
      <c r="B201" s="166"/>
      <c r="C201" s="164">
        <f t="shared" si="21"/>
        <v>6</v>
      </c>
      <c r="D201" s="158" t="str">
        <f>VLOOKUP(C201,DMSP!$A$1:$C$39,2,0)</f>
        <v>3.SPRAY </v>
      </c>
      <c r="E201" s="159" t="str">
        <f>VLOOKUP(C201,DMSP!$A$1:$C$39,3,0)</f>
        <v>KELPIT</v>
      </c>
      <c r="F201" s="160">
        <f t="shared" si="23"/>
        <v>0</v>
      </c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2">
        <f t="shared" si="22"/>
        <v>0</v>
      </c>
      <c r="T201" s="167"/>
    </row>
    <row r="202" customHeight="1" spans="2:20">
      <c r="B202" s="166"/>
      <c r="C202" s="164">
        <f t="shared" si="21"/>
        <v>7</v>
      </c>
      <c r="D202" s="158" t="str">
        <f>VLOOKUP(C202,DMSP!$A$1:$C$39,2,0)</f>
        <v>3.SPRAY </v>
      </c>
      <c r="E202" s="159" t="str">
        <f>VLOOKUP(C202,DMSP!$A$1:$C$39,3,0)</f>
        <v>SI-K</v>
      </c>
      <c r="F202" s="160">
        <f t="shared" si="23"/>
        <v>0</v>
      </c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2">
        <f t="shared" si="22"/>
        <v>0</v>
      </c>
      <c r="T202" s="167"/>
    </row>
    <row r="203" customHeight="1" spans="2:20">
      <c r="B203" s="166"/>
      <c r="C203" s="164">
        <f t="shared" si="21"/>
        <v>8</v>
      </c>
      <c r="D203" s="158" t="str">
        <f>VLOOKUP(C203,DMSP!$A$1:$C$39,2,0)</f>
        <v>3.SPRAY </v>
      </c>
      <c r="E203" s="159" t="str">
        <f>VLOOKUP(C203,DMSP!$A$1:$C$39,3,0)</f>
        <v>SPRAY PHOS 620</v>
      </c>
      <c r="F203" s="160">
        <f t="shared" si="23"/>
        <v>22</v>
      </c>
      <c r="G203" s="161"/>
      <c r="H203" s="161"/>
      <c r="I203" s="161"/>
      <c r="J203" s="161"/>
      <c r="K203" s="161">
        <v>22</v>
      </c>
      <c r="L203" s="161"/>
      <c r="M203" s="161"/>
      <c r="N203" s="161"/>
      <c r="O203" s="161"/>
      <c r="P203" s="161"/>
      <c r="Q203" s="161"/>
      <c r="R203" s="161"/>
      <c r="S203" s="162">
        <f t="shared" si="22"/>
        <v>22</v>
      </c>
      <c r="T203" s="167"/>
    </row>
    <row r="204" customHeight="1" spans="2:20">
      <c r="B204" s="166"/>
      <c r="C204" s="164">
        <f t="shared" si="21"/>
        <v>9</v>
      </c>
      <c r="D204" s="158" t="str">
        <f>VLOOKUP(C204,DMSP!$A$1:$C$39,2,0)</f>
        <v>4.DƯỠNG RỄ</v>
      </c>
      <c r="E204" s="159" t="str">
        <f>VLOOKUP(C204,DMSP!$A$1:$C$39,3,0)</f>
        <v>CHITOSAN</v>
      </c>
      <c r="F204" s="160">
        <f t="shared" si="23"/>
        <v>0</v>
      </c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2">
        <f t="shared" si="22"/>
        <v>0</v>
      </c>
      <c r="T204" s="167"/>
    </row>
    <row r="205" customHeight="1" spans="2:20">
      <c r="B205" s="166"/>
      <c r="C205" s="164">
        <f t="shared" si="21"/>
        <v>10</v>
      </c>
      <c r="D205" s="158" t="str">
        <f>VLOOKUP(C205,DMSP!$A$1:$C$39,2,0)</f>
        <v>4.DƯỠNG RỄ</v>
      </c>
      <c r="E205" s="159" t="str">
        <f>VLOOKUP(C205,DMSP!$A$1:$C$39,3,0)</f>
        <v>ĐẠM CÁ</v>
      </c>
      <c r="F205" s="160">
        <f t="shared" si="23"/>
        <v>0</v>
      </c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2">
        <f t="shared" si="22"/>
        <v>0</v>
      </c>
      <c r="T205" s="167"/>
    </row>
    <row r="206" customHeight="1" spans="2:20">
      <c r="B206" s="166"/>
      <c r="C206" s="164">
        <f t="shared" si="21"/>
        <v>11</v>
      </c>
      <c r="D206" s="158" t="str">
        <f>VLOOKUP(C206,DMSP!$A$1:$C$39,2,0)</f>
        <v>4.DƯỠNG RỄ</v>
      </c>
      <c r="E206" s="159" t="str">
        <f>VLOOKUP(C206,DMSP!$A$1:$C$39,3,0)</f>
        <v>ĐẠM TÔM</v>
      </c>
      <c r="F206" s="160">
        <f t="shared" si="23"/>
        <v>0</v>
      </c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2">
        <f t="shared" si="22"/>
        <v>0</v>
      </c>
      <c r="T206" s="167"/>
    </row>
    <row r="207" customHeight="1" spans="2:20">
      <c r="B207" s="166"/>
      <c r="C207" s="164">
        <f t="shared" si="21"/>
        <v>12</v>
      </c>
      <c r="D207" s="158" t="str">
        <f>VLOOKUP(C207,DMSP!$A$1:$C$39,2,0)</f>
        <v>4.DƯỠNG RỄ</v>
      </c>
      <c r="E207" s="159" t="str">
        <f>VLOOKUP(C207,DMSP!$A$1:$C$39,3,0)</f>
        <v>SUPERMIC</v>
      </c>
      <c r="F207" s="160">
        <f t="shared" si="23"/>
        <v>87</v>
      </c>
      <c r="G207" s="161"/>
      <c r="H207" s="161">
        <v>70</v>
      </c>
      <c r="I207" s="161">
        <v>17</v>
      </c>
      <c r="J207" s="161"/>
      <c r="K207" s="161"/>
      <c r="L207" s="161"/>
      <c r="M207" s="161"/>
      <c r="N207" s="161"/>
      <c r="O207" s="161"/>
      <c r="P207" s="161"/>
      <c r="Q207" s="161"/>
      <c r="R207" s="161"/>
      <c r="S207" s="162">
        <f t="shared" si="22"/>
        <v>87</v>
      </c>
      <c r="T207" s="167"/>
    </row>
    <row r="208" customHeight="1" spans="2:20">
      <c r="B208" s="166"/>
      <c r="C208" s="164">
        <f t="shared" si="21"/>
        <v>13</v>
      </c>
      <c r="D208" s="158" t="str">
        <f>VLOOKUP(C208,DMSP!$A$1:$C$39,2,0)</f>
        <v>5.TRUYỀN THỐNG</v>
      </c>
      <c r="E208" s="159" t="str">
        <f>VLOOKUP(C208,DMSP!$A$1:$C$39,3,0)</f>
        <v>CABO</v>
      </c>
      <c r="F208" s="160">
        <f t="shared" si="23"/>
        <v>0</v>
      </c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2">
        <f t="shared" si="22"/>
        <v>0</v>
      </c>
      <c r="T208" s="167"/>
    </row>
    <row r="209" customHeight="1" spans="2:20">
      <c r="B209" s="166"/>
      <c r="C209" s="164">
        <f t="shared" si="21"/>
        <v>14</v>
      </c>
      <c r="D209" s="158" t="str">
        <f>VLOOKUP(C209,DMSP!$A$1:$C$39,2,0)</f>
        <v>5.TRUYỀN THỐNG</v>
      </c>
      <c r="E209" s="159" t="str">
        <f>VLOOKUP(C209,DMSP!$A$1:$C$39,3,0)</f>
        <v>F94</v>
      </c>
      <c r="F209" s="160">
        <f t="shared" si="23"/>
        <v>0</v>
      </c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2">
        <f t="shared" si="22"/>
        <v>0</v>
      </c>
      <c r="T209" s="167"/>
    </row>
    <row r="210" customHeight="1" spans="2:20">
      <c r="B210" s="166"/>
      <c r="C210" s="164">
        <f t="shared" si="21"/>
        <v>15</v>
      </c>
      <c r="D210" s="158" t="str">
        <f>VLOOKUP(C210,DMSP!$A$1:$C$39,2,0)</f>
        <v>5.TRUYỀN THỐNG</v>
      </c>
      <c r="E210" s="159" t="str">
        <f>VLOOKUP(C210,DMSP!$A$1:$C$39,3,0)</f>
        <v>F95</v>
      </c>
      <c r="F210" s="160">
        <f t="shared" si="23"/>
        <v>0</v>
      </c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2">
        <f t="shared" si="22"/>
        <v>0</v>
      </c>
      <c r="T210" s="167"/>
    </row>
    <row r="211" customHeight="1" spans="2:20">
      <c r="B211" s="166"/>
      <c r="C211" s="164">
        <f t="shared" si="21"/>
        <v>16</v>
      </c>
      <c r="D211" s="158" t="str">
        <f>VLOOKUP(C211,DMSP!$A$1:$C$39,2,0)</f>
        <v>5.TRUYỀN THỐNG</v>
      </c>
      <c r="E211" s="159" t="str">
        <f>VLOOKUP(C211,DMSP!$A$1:$C$39,3,0)</f>
        <v>THIOURE</v>
      </c>
      <c r="F211" s="160">
        <f t="shared" si="23"/>
        <v>0</v>
      </c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2">
        <f t="shared" si="22"/>
        <v>0</v>
      </c>
      <c r="T211" s="167"/>
    </row>
    <row r="212" customHeight="1" spans="2:20">
      <c r="B212" s="166"/>
      <c r="C212" s="164">
        <f t="shared" si="21"/>
        <v>17</v>
      </c>
      <c r="D212" s="158" t="str">
        <f>VLOOKUP(C212,DMSP!$A$1:$C$39,2,0)</f>
        <v>5.TRUYỀN THỐNG</v>
      </c>
      <c r="E212" s="159" t="str">
        <f>VLOOKUP(C212,DMSP!$A$1:$C$39,3,0)</f>
        <v>TOBA JUM</v>
      </c>
      <c r="F212" s="160">
        <f t="shared" si="23"/>
        <v>0</v>
      </c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2">
        <f t="shared" si="22"/>
        <v>0</v>
      </c>
      <c r="T212" s="167"/>
    </row>
    <row r="213" customHeight="1" spans="2:20">
      <c r="B213" s="166"/>
      <c r="C213" s="164">
        <f t="shared" si="21"/>
        <v>18</v>
      </c>
      <c r="D213" s="158" t="str">
        <f>VLOOKUP(C213,DMSP!$A$1:$C$39,2,0)</f>
        <v>5.TRUYỀN THỐNG</v>
      </c>
      <c r="E213" s="159" t="str">
        <f>VLOOKUP(C213,DMSP!$A$1:$C$39,3,0)</f>
        <v>TOBA NET</v>
      </c>
      <c r="F213" s="160">
        <f t="shared" si="23"/>
        <v>0</v>
      </c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2">
        <f t="shared" si="22"/>
        <v>0</v>
      </c>
      <c r="T213" s="167"/>
    </row>
    <row r="214" customHeight="1" spans="2:20">
      <c r="B214" s="166"/>
      <c r="C214" s="164">
        <f t="shared" si="21"/>
        <v>19</v>
      </c>
      <c r="D214" s="158" t="str">
        <f>VLOOKUP(C214,DMSP!$A$1:$C$39,2,0)</f>
        <v>6.BVTV</v>
      </c>
      <c r="E214" s="159" t="str">
        <f>VLOOKUP(C214,DMSP!$A$1:$C$39,3,0)</f>
        <v>ABAFAX 1.8</v>
      </c>
      <c r="F214" s="160">
        <f t="shared" si="23"/>
        <v>0</v>
      </c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2">
        <f t="shared" si="22"/>
        <v>0</v>
      </c>
      <c r="T214" s="167"/>
    </row>
    <row r="215" customHeight="1" spans="2:20">
      <c r="B215" s="166"/>
      <c r="C215" s="164">
        <f t="shared" si="21"/>
        <v>20</v>
      </c>
      <c r="D215" s="158" t="str">
        <f>VLOOKUP(C215,DMSP!$A$1:$C$39,2,0)</f>
        <v>6.BVTV</v>
      </c>
      <c r="E215" s="159" t="str">
        <f>VLOOKUP(C215,DMSP!$A$1:$C$39,3,0)</f>
        <v>ABAFAX 3.6</v>
      </c>
      <c r="F215" s="160">
        <f t="shared" si="23"/>
        <v>0</v>
      </c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2">
        <f t="shared" si="22"/>
        <v>0</v>
      </c>
      <c r="T215" s="167"/>
    </row>
    <row r="216" customHeight="1" spans="2:20">
      <c r="B216" s="166"/>
      <c r="C216" s="164">
        <f t="shared" si="21"/>
        <v>21</v>
      </c>
      <c r="D216" s="158" t="str">
        <f>VLOOKUP(C216,DMSP!$A$1:$C$39,2,0)</f>
        <v>6.BVTV</v>
      </c>
      <c r="E216" s="159" t="str">
        <f>VLOOKUP(C216,DMSP!$A$1:$C$39,3,0)</f>
        <v>AZET</v>
      </c>
      <c r="F216" s="160">
        <f t="shared" si="23"/>
        <v>0</v>
      </c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2">
        <f t="shared" si="22"/>
        <v>0</v>
      </c>
      <c r="T216" s="167"/>
    </row>
    <row r="217" customHeight="1" spans="2:20">
      <c r="B217" s="166"/>
      <c r="C217" s="164">
        <f t="shared" si="21"/>
        <v>22</v>
      </c>
      <c r="D217" s="158" t="str">
        <f>VLOOKUP(C217,DMSP!$A$1:$C$39,2,0)</f>
        <v>6.BVTV</v>
      </c>
      <c r="E217" s="159" t="str">
        <f>VLOOKUP(C217,DMSP!$A$1:$C$39,3,0)</f>
        <v>BACBA</v>
      </c>
      <c r="F217" s="160">
        <f t="shared" si="23"/>
        <v>0</v>
      </c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2">
        <f t="shared" si="22"/>
        <v>0</v>
      </c>
      <c r="T217" s="167"/>
    </row>
    <row r="218" customHeight="1" spans="2:20">
      <c r="B218" s="166"/>
      <c r="C218" s="164">
        <f t="shared" si="21"/>
        <v>23</v>
      </c>
      <c r="D218" s="158" t="str">
        <f>VLOOKUP(C218,DMSP!$A$1:$C$39,2,0)</f>
        <v>6.BVTV</v>
      </c>
      <c r="E218" s="159" t="str">
        <f>VLOOKUP(C218,DMSP!$A$1:$C$39,3,0)</f>
        <v>BIOROSAMIL</v>
      </c>
      <c r="F218" s="160">
        <f t="shared" si="23"/>
        <v>0</v>
      </c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2">
        <f t="shared" si="22"/>
        <v>0</v>
      </c>
      <c r="T218" s="167"/>
    </row>
    <row r="219" customHeight="1" spans="2:20">
      <c r="B219" s="166"/>
      <c r="C219" s="164">
        <f t="shared" si="21"/>
        <v>24</v>
      </c>
      <c r="D219" s="158" t="str">
        <f>VLOOKUP(C219,DMSP!$A$1:$C$39,2,0)</f>
        <v>6.BVTV</v>
      </c>
      <c r="E219" s="159" t="str">
        <f>VLOOKUP(C219,DMSP!$A$1:$C$39,3,0)</f>
        <v>COC 86</v>
      </c>
      <c r="F219" s="160">
        <f t="shared" si="23"/>
        <v>0</v>
      </c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2">
        <f t="shared" si="22"/>
        <v>0</v>
      </c>
      <c r="T219" s="167"/>
    </row>
    <row r="220" customHeight="1" spans="2:20">
      <c r="B220" s="166"/>
      <c r="C220" s="164">
        <f t="shared" si="21"/>
        <v>25</v>
      </c>
      <c r="D220" s="158" t="str">
        <f>VLOOKUP(C220,DMSP!$A$1:$C$39,2,0)</f>
        <v>6.BVTV</v>
      </c>
      <c r="E220" s="159" t="str">
        <f>VLOOKUP(C220,DMSP!$A$1:$C$39,3,0)</f>
        <v>HEXA 5</v>
      </c>
      <c r="F220" s="160">
        <f t="shared" si="23"/>
        <v>0</v>
      </c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2">
        <f t="shared" si="22"/>
        <v>0</v>
      </c>
      <c r="T220" s="167"/>
    </row>
    <row r="221" customHeight="1" spans="2:20">
      <c r="B221" s="166"/>
      <c r="C221" s="164">
        <f t="shared" si="21"/>
        <v>26</v>
      </c>
      <c r="D221" s="158" t="str">
        <f>VLOOKUP(C221,DMSP!$A$1:$C$39,2,0)</f>
        <v>6.BVTV</v>
      </c>
      <c r="E221" s="159" t="str">
        <f>VLOOKUP(C221,DMSP!$A$1:$C$39,3,0)</f>
        <v>TAMALA</v>
      </c>
      <c r="F221" s="160">
        <f t="shared" si="23"/>
        <v>0</v>
      </c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2">
        <f t="shared" si="22"/>
        <v>0</v>
      </c>
      <c r="T221" s="167"/>
    </row>
    <row r="222" customHeight="1" spans="2:20">
      <c r="B222" s="166"/>
      <c r="C222" s="164">
        <f t="shared" si="21"/>
        <v>27</v>
      </c>
      <c r="D222" s="158" t="str">
        <f>VLOOKUP(C222,DMSP!$A$1:$C$39,2,0)</f>
        <v>7.KHÁC</v>
      </c>
      <c r="E222" s="159" t="str">
        <f>VLOOKUP(C222,DMSP!$A$1:$C$39,3,0)</f>
        <v>KẼM VÀNG</v>
      </c>
      <c r="F222" s="160">
        <f t="shared" si="23"/>
        <v>0</v>
      </c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2">
        <f t="shared" si="22"/>
        <v>0</v>
      </c>
      <c r="T222" s="167"/>
    </row>
    <row r="223" customHeight="1" spans="2:20">
      <c r="B223" s="166"/>
      <c r="C223" s="164">
        <f t="shared" si="21"/>
        <v>28</v>
      </c>
      <c r="D223" s="158" t="str">
        <f>VLOOKUP(C223,DMSP!$A$1:$C$39,2,0)</f>
        <v>7.KHÁC</v>
      </c>
      <c r="E223" s="159" t="str">
        <f>VLOOKUP(C223,DMSP!$A$1:$C$39,3,0)</f>
        <v>KHÁC1</v>
      </c>
      <c r="F223" s="160">
        <f t="shared" si="23"/>
        <v>52</v>
      </c>
      <c r="G223" s="161"/>
      <c r="H223" s="161">
        <v>5</v>
      </c>
      <c r="I223" s="161"/>
      <c r="J223" s="161">
        <v>23</v>
      </c>
      <c r="K223" s="161">
        <v>24</v>
      </c>
      <c r="L223" s="161"/>
      <c r="M223" s="161"/>
      <c r="N223" s="161"/>
      <c r="O223" s="161"/>
      <c r="P223" s="161"/>
      <c r="Q223" s="161"/>
      <c r="R223" s="161"/>
      <c r="S223" s="162">
        <f t="shared" si="22"/>
        <v>52</v>
      </c>
      <c r="T223" s="167"/>
    </row>
    <row r="224" customHeight="1" spans="2:20">
      <c r="B224" s="166"/>
      <c r="C224" s="164">
        <f t="shared" si="21"/>
        <v>29</v>
      </c>
      <c r="D224" s="158" t="str">
        <f>VLOOKUP(C224,DMSP!$A$1:$C$39,2,0)</f>
        <v>7.KHÁC</v>
      </c>
      <c r="E224" s="169" t="s">
        <v>13</v>
      </c>
      <c r="F224" s="160">
        <f t="shared" si="23"/>
        <v>0</v>
      </c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2">
        <f t="shared" si="22"/>
        <v>0</v>
      </c>
      <c r="T224" s="167"/>
    </row>
    <row r="225" customHeight="1" spans="2:20">
      <c r="B225" s="166"/>
      <c r="C225" s="164">
        <f t="shared" si="21"/>
        <v>30</v>
      </c>
      <c r="D225" s="158" t="str">
        <f>VLOOKUP(C225,DMSP!$A$1:$C$39,2,0)</f>
        <v>7.KHÁC</v>
      </c>
      <c r="E225" s="159" t="str">
        <f>VLOOKUP(C225,DMSP!$A$1:$C$39,3,0)</f>
        <v>RỬA RONG RÊU</v>
      </c>
      <c r="F225" s="160">
        <f t="shared" si="23"/>
        <v>0</v>
      </c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2">
        <f t="shared" si="22"/>
        <v>0</v>
      </c>
      <c r="T225" s="167"/>
    </row>
    <row r="226" customHeight="1" spans="2:20">
      <c r="B226" s="166"/>
      <c r="C226" s="164">
        <f t="shared" si="21"/>
        <v>31</v>
      </c>
      <c r="D226" s="158" t="str">
        <f>VLOOKUP(C226,DMSP!$A$1:$C$39,2,0)</f>
        <v>7.KHÁC</v>
      </c>
      <c r="E226" s="159" t="str">
        <f>VLOOKUP(C226,DMSP!$A$1:$C$39,3,0)</f>
        <v>TB BO</v>
      </c>
      <c r="F226" s="160">
        <f t="shared" si="23"/>
        <v>0</v>
      </c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2">
        <f t="shared" si="22"/>
        <v>0</v>
      </c>
      <c r="T226" s="167"/>
    </row>
    <row r="227" customHeight="1" spans="2:20">
      <c r="B227" s="166"/>
      <c r="C227" s="164">
        <f t="shared" si="21"/>
        <v>32</v>
      </c>
      <c r="D227" s="158" t="str">
        <f>VLOOKUP(C227,DMSP!$A$1:$C$39,2,0)</f>
        <v>7.KHÁC</v>
      </c>
      <c r="E227" s="159" t="str">
        <f>VLOOKUP(C227,DMSP!$A$1:$C$39,3,0)</f>
        <v>TB FRUIT</v>
      </c>
      <c r="F227" s="160">
        <f t="shared" si="23"/>
        <v>0</v>
      </c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2">
        <f t="shared" si="22"/>
        <v>0</v>
      </c>
      <c r="T227" s="167"/>
    </row>
    <row r="228" customHeight="1" spans="2:20">
      <c r="B228" s="166"/>
      <c r="C228" s="164">
        <f t="shared" si="21"/>
        <v>33</v>
      </c>
      <c r="D228" s="158" t="str">
        <f>VLOOKUP(C228,DMSP!$A$1:$C$39,2,0)</f>
        <v>7.KHÁC</v>
      </c>
      <c r="E228" s="159" t="str">
        <f>VLOOKUP(C228,DMSP!$A$1:$C$39,3,0)</f>
        <v>TB PHOS</v>
      </c>
      <c r="F228" s="160">
        <f t="shared" si="23"/>
        <v>0</v>
      </c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2">
        <f t="shared" si="22"/>
        <v>0</v>
      </c>
      <c r="T228" s="167"/>
    </row>
    <row r="229" customHeight="1" spans="2:20">
      <c r="B229" s="166"/>
      <c r="C229" s="164">
        <f t="shared" si="21"/>
        <v>34</v>
      </c>
      <c r="D229" s="158" t="str">
        <f>VLOOKUP(C229,DMSP!$A$1:$C$39,2,0)</f>
        <v>7.KHÁC</v>
      </c>
      <c r="E229" s="159" t="str">
        <f>VLOOKUP(C229,DMSP!$A$1:$C$39,3,0)</f>
        <v>TOBA BÁM DÍNH</v>
      </c>
      <c r="F229" s="160">
        <f t="shared" si="23"/>
        <v>150</v>
      </c>
      <c r="G229" s="161">
        <v>25</v>
      </c>
      <c r="H229" s="161"/>
      <c r="I229" s="161"/>
      <c r="J229" s="161"/>
      <c r="K229" s="161"/>
      <c r="L229" s="161">
        <v>25</v>
      </c>
      <c r="M229" s="161">
        <v>25</v>
      </c>
      <c r="N229" s="161">
        <v>25</v>
      </c>
      <c r="O229" s="161">
        <v>25</v>
      </c>
      <c r="P229" s="161"/>
      <c r="Q229" s="161">
        <v>25</v>
      </c>
      <c r="R229" s="161"/>
      <c r="S229" s="162">
        <f t="shared" si="22"/>
        <v>150</v>
      </c>
      <c r="T229" s="167"/>
    </row>
    <row r="230" customHeight="1" spans="2:20">
      <c r="B230" s="166"/>
      <c r="C230" s="164">
        <f t="shared" si="21"/>
        <v>35</v>
      </c>
      <c r="D230" s="158" t="str">
        <f>VLOOKUP(C230,DMSP!$A$1:$C$39,2,0)</f>
        <v>7.KHÁC</v>
      </c>
      <c r="E230" s="159" t="str">
        <f>VLOOKUP(C230,DMSP!$A$1:$C$39,3,0)</f>
        <v>VỌT HOA NHÃN</v>
      </c>
      <c r="F230" s="160">
        <f t="shared" si="23"/>
        <v>0</v>
      </c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2">
        <f t="shared" si="22"/>
        <v>0</v>
      </c>
      <c r="T230" s="167"/>
    </row>
    <row r="231" customHeight="1" spans="2:20">
      <c r="B231" s="166"/>
      <c r="C231" s="164">
        <f t="shared" si="21"/>
        <v>36</v>
      </c>
      <c r="D231" s="158" t="str">
        <f>VLOOKUP(C231,DMSP!$A$1:$C$39,2,0)</f>
        <v>7.KHÁC</v>
      </c>
      <c r="E231" s="159" t="str">
        <f>VLOOKUP(C231,DMSP!$A$1:$C$39,3,0)</f>
        <v>VỌT HOA XOÀI</v>
      </c>
      <c r="F231" s="160">
        <f t="shared" si="23"/>
        <v>0</v>
      </c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2">
        <f t="shared" si="22"/>
        <v>0</v>
      </c>
      <c r="T231" s="167"/>
    </row>
    <row r="232" customHeight="1" spans="2:20">
      <c r="B232" s="166"/>
      <c r="C232" s="164">
        <f t="shared" si="21"/>
        <v>37</v>
      </c>
      <c r="D232" s="158" t="str">
        <f>VLOOKUP(C232,DMSP!$A$1:$C$39,2,0)</f>
        <v>7.KHÁC</v>
      </c>
      <c r="E232" s="159" t="str">
        <f>VLOOKUP(C232,DMSP!$A$1:$C$39,3,0)</f>
        <v>VỌT HOA XOÀI</v>
      </c>
      <c r="F232" s="160">
        <f t="shared" si="23"/>
        <v>0</v>
      </c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2">
        <f t="shared" si="22"/>
        <v>0</v>
      </c>
      <c r="T232" s="167"/>
    </row>
    <row r="233" customHeight="1" spans="2:20">
      <c r="B233" s="92"/>
      <c r="C233" s="170" t="str">
        <f t="shared" ref="C233" si="24">B196</f>
        <v>TƯ NHIỀU </v>
      </c>
      <c r="D233" s="171"/>
      <c r="E233" s="172" t="str">
        <f>"TOTAL "&amp;B196</f>
        <v>TOTAL TƯ NHIỀU </v>
      </c>
      <c r="F233" s="173">
        <f t="shared" si="23"/>
        <v>481</v>
      </c>
      <c r="G233" s="174">
        <f>SUM(G196:G232)</f>
        <v>80</v>
      </c>
      <c r="H233" s="174">
        <f t="shared" ref="H233:R233" si="25">SUM(H196:H232)</f>
        <v>75</v>
      </c>
      <c r="I233" s="174">
        <f t="shared" si="25"/>
        <v>17</v>
      </c>
      <c r="J233" s="174">
        <f t="shared" si="25"/>
        <v>98</v>
      </c>
      <c r="K233" s="174">
        <f t="shared" si="25"/>
        <v>46</v>
      </c>
      <c r="L233" s="174">
        <f t="shared" si="25"/>
        <v>25</v>
      </c>
      <c r="M233" s="174">
        <f t="shared" si="25"/>
        <v>25</v>
      </c>
      <c r="N233" s="174">
        <f t="shared" si="25"/>
        <v>25</v>
      </c>
      <c r="O233" s="174">
        <f t="shared" si="25"/>
        <v>25</v>
      </c>
      <c r="P233" s="174">
        <f t="shared" si="25"/>
        <v>40</v>
      </c>
      <c r="Q233" s="174">
        <f t="shared" si="25"/>
        <v>25</v>
      </c>
      <c r="R233" s="174">
        <f t="shared" si="25"/>
        <v>0</v>
      </c>
      <c r="S233" s="174">
        <f t="shared" si="22"/>
        <v>481</v>
      </c>
      <c r="T233" s="175"/>
    </row>
    <row r="234" customHeight="1" spans="2:20">
      <c r="B234" s="156" t="s">
        <v>19</v>
      </c>
      <c r="C234" s="157">
        <v>1</v>
      </c>
      <c r="D234" s="158" t="str">
        <f>VLOOKUP(C234,DMSP!$A$1:$C$39,2,0)</f>
        <v>1.TOBA XANH</v>
      </c>
      <c r="E234" s="159" t="str">
        <f>VLOOKUP(C234,DMSP!$A$1:$C$39,3,0)</f>
        <v>TOBA XANH</v>
      </c>
      <c r="F234" s="160">
        <f t="shared" si="23"/>
        <v>0</v>
      </c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2">
        <f t="shared" si="22"/>
        <v>0</v>
      </c>
      <c r="T234" s="163">
        <f t="shared" ref="T234" si="26">S271</f>
        <v>42476</v>
      </c>
    </row>
    <row r="235" customHeight="1" spans="2:20">
      <c r="B235" s="166"/>
      <c r="C235" s="164">
        <f t="shared" si="21"/>
        <v>2</v>
      </c>
      <c r="D235" s="158" t="str">
        <f>VLOOKUP(C235,DMSP!$A$1:$C$39,2,0)</f>
        <v>2.HC</v>
      </c>
      <c r="E235" s="159" t="str">
        <f>VLOOKUP(C235,DMSP!$A$1:$C$39,3,0)</f>
        <v>HC BOOSTER</v>
      </c>
      <c r="F235" s="160">
        <f t="shared" si="23"/>
        <v>0</v>
      </c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2">
        <f t="shared" ref="S235:S272" si="27">SUM(G235:R235)</f>
        <v>0</v>
      </c>
      <c r="T235" s="167"/>
    </row>
    <row r="236" customHeight="1" spans="2:20">
      <c r="B236" s="166"/>
      <c r="C236" s="164">
        <f t="shared" si="21"/>
        <v>3</v>
      </c>
      <c r="D236" s="158" t="str">
        <f>VLOOKUP(C236,DMSP!$A$1:$C$39,2,0)</f>
        <v>2.HC</v>
      </c>
      <c r="E236" s="159" t="str">
        <f>VLOOKUP(C236,DMSP!$A$1:$C$39,3,0)</f>
        <v>HC KING-ROOT</v>
      </c>
      <c r="F236" s="160">
        <f t="shared" si="23"/>
        <v>0</v>
      </c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2">
        <f t="shared" si="27"/>
        <v>0</v>
      </c>
      <c r="T236" s="167"/>
    </row>
    <row r="237" customHeight="1" spans="2:20">
      <c r="B237" s="166"/>
      <c r="C237" s="164">
        <f t="shared" si="21"/>
        <v>4</v>
      </c>
      <c r="D237" s="158" t="str">
        <f>VLOOKUP(C237,DMSP!$A$1:$C$39,2,0)</f>
        <v>2.HC</v>
      </c>
      <c r="E237" s="159" t="str">
        <f>VLOOKUP(C237,DMSP!$A$1:$C$39,3,0)</f>
        <v>HAPPY FARM</v>
      </c>
      <c r="F237" s="160">
        <f t="shared" si="23"/>
        <v>0</v>
      </c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2">
        <f t="shared" si="27"/>
        <v>0</v>
      </c>
      <c r="T237" s="167"/>
    </row>
    <row r="238" customHeight="1" spans="2:20">
      <c r="B238" s="166"/>
      <c r="C238" s="164">
        <f t="shared" si="21"/>
        <v>5</v>
      </c>
      <c r="D238" s="158" t="str">
        <f>VLOOKUP(C238,DMSP!$A$1:$C$39,2,0)</f>
        <v>2.HC</v>
      </c>
      <c r="E238" s="159" t="str">
        <f>VLOOKUP(C238,DMSP!$A$1:$C$39,3,0)</f>
        <v>WOW</v>
      </c>
      <c r="F238" s="160">
        <f t="shared" si="23"/>
        <v>6</v>
      </c>
      <c r="G238" s="161"/>
      <c r="H238" s="161"/>
      <c r="I238" s="161"/>
      <c r="J238" s="161"/>
      <c r="K238" s="161">
        <v>6</v>
      </c>
      <c r="L238" s="161"/>
      <c r="M238" s="161"/>
      <c r="N238" s="161"/>
      <c r="O238" s="161"/>
      <c r="P238" s="161"/>
      <c r="Q238" s="161"/>
      <c r="R238" s="161"/>
      <c r="S238" s="162">
        <f t="shared" si="27"/>
        <v>6</v>
      </c>
      <c r="T238" s="167"/>
    </row>
    <row r="239" customHeight="1" spans="2:20">
      <c r="B239" s="166"/>
      <c r="C239" s="164">
        <f t="shared" si="21"/>
        <v>6</v>
      </c>
      <c r="D239" s="158" t="str">
        <f>VLOOKUP(C239,DMSP!$A$1:$C$39,2,0)</f>
        <v>3.SPRAY </v>
      </c>
      <c r="E239" s="159" t="str">
        <f>VLOOKUP(C239,DMSP!$A$1:$C$39,3,0)</f>
        <v>KELPIT</v>
      </c>
      <c r="F239" s="160">
        <f t="shared" si="23"/>
        <v>0</v>
      </c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2">
        <f t="shared" si="27"/>
        <v>0</v>
      </c>
      <c r="T239" s="167"/>
    </row>
    <row r="240" customHeight="1" spans="2:20">
      <c r="B240" s="166"/>
      <c r="C240" s="164">
        <f t="shared" si="21"/>
        <v>7</v>
      </c>
      <c r="D240" s="158" t="str">
        <f>VLOOKUP(C240,DMSP!$A$1:$C$39,2,0)</f>
        <v>3.SPRAY </v>
      </c>
      <c r="E240" s="159" t="str">
        <f>VLOOKUP(C240,DMSP!$A$1:$C$39,3,0)</f>
        <v>SI-K</v>
      </c>
      <c r="F240" s="160">
        <f t="shared" si="23"/>
        <v>0</v>
      </c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2">
        <f t="shared" si="27"/>
        <v>0</v>
      </c>
      <c r="T240" s="167"/>
    </row>
    <row r="241" customHeight="1" spans="2:20">
      <c r="B241" s="166"/>
      <c r="C241" s="164">
        <f t="shared" si="21"/>
        <v>8</v>
      </c>
      <c r="D241" s="158" t="str">
        <f>VLOOKUP(C241,DMSP!$A$1:$C$39,2,0)</f>
        <v>3.SPRAY </v>
      </c>
      <c r="E241" s="159" t="str">
        <f>VLOOKUP(C241,DMSP!$A$1:$C$39,3,0)</f>
        <v>SPRAY PHOS 620</v>
      </c>
      <c r="F241" s="160">
        <f t="shared" si="23"/>
        <v>9</v>
      </c>
      <c r="G241" s="161"/>
      <c r="H241" s="161"/>
      <c r="I241" s="161"/>
      <c r="J241" s="161"/>
      <c r="K241" s="161">
        <v>9</v>
      </c>
      <c r="L241" s="161"/>
      <c r="M241" s="161"/>
      <c r="N241" s="161"/>
      <c r="O241" s="161"/>
      <c r="P241" s="161"/>
      <c r="Q241" s="161"/>
      <c r="R241" s="161"/>
      <c r="S241" s="162">
        <f t="shared" si="27"/>
        <v>9</v>
      </c>
      <c r="T241" s="167"/>
    </row>
    <row r="242" customHeight="1" spans="2:20">
      <c r="B242" s="166"/>
      <c r="C242" s="164">
        <f t="shared" si="21"/>
        <v>9</v>
      </c>
      <c r="D242" s="158" t="str">
        <f>VLOOKUP(C242,DMSP!$A$1:$C$39,2,0)</f>
        <v>4.DƯỠNG RỄ</v>
      </c>
      <c r="E242" s="159" t="str">
        <f>VLOOKUP(C242,DMSP!$A$1:$C$39,3,0)</f>
        <v>CHITOSAN</v>
      </c>
      <c r="F242" s="160">
        <f t="shared" si="23"/>
        <v>0</v>
      </c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2">
        <f t="shared" si="27"/>
        <v>0</v>
      </c>
      <c r="T242" s="167"/>
    </row>
    <row r="243" customHeight="1" spans="2:20">
      <c r="B243" s="166"/>
      <c r="C243" s="164">
        <f t="shared" si="21"/>
        <v>10</v>
      </c>
      <c r="D243" s="158" t="str">
        <f>VLOOKUP(C243,DMSP!$A$1:$C$39,2,0)</f>
        <v>4.DƯỠNG RỄ</v>
      </c>
      <c r="E243" s="159" t="str">
        <f>VLOOKUP(C243,DMSP!$A$1:$C$39,3,0)</f>
        <v>ĐẠM CÁ</v>
      </c>
      <c r="F243" s="160">
        <f t="shared" si="23"/>
        <v>0</v>
      </c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2">
        <f t="shared" si="27"/>
        <v>0</v>
      </c>
      <c r="T243" s="167"/>
    </row>
    <row r="244" customHeight="1" spans="2:20">
      <c r="B244" s="166"/>
      <c r="C244" s="164">
        <f t="shared" si="21"/>
        <v>11</v>
      </c>
      <c r="D244" s="158" t="str">
        <f>VLOOKUP(C244,DMSP!$A$1:$C$39,2,0)</f>
        <v>4.DƯỠNG RỄ</v>
      </c>
      <c r="E244" s="159" t="str">
        <f>VLOOKUP(C244,DMSP!$A$1:$C$39,3,0)</f>
        <v>ĐẠM TÔM</v>
      </c>
      <c r="F244" s="160">
        <f t="shared" si="23"/>
        <v>0</v>
      </c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2">
        <f t="shared" si="27"/>
        <v>0</v>
      </c>
      <c r="T244" s="167"/>
    </row>
    <row r="245" customHeight="1" spans="2:20">
      <c r="B245" s="166"/>
      <c r="C245" s="164">
        <f t="shared" si="21"/>
        <v>12</v>
      </c>
      <c r="D245" s="158" t="str">
        <f>VLOOKUP(C245,DMSP!$A$1:$C$39,2,0)</f>
        <v>4.DƯỠNG RỄ</v>
      </c>
      <c r="E245" s="159" t="str">
        <f>VLOOKUP(C245,DMSP!$A$1:$C$39,3,0)</f>
        <v>SUPERMIC</v>
      </c>
      <c r="F245" s="160">
        <f t="shared" si="23"/>
        <v>0</v>
      </c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2">
        <f t="shared" si="27"/>
        <v>0</v>
      </c>
      <c r="T245" s="167"/>
    </row>
    <row r="246" customHeight="1" spans="2:20">
      <c r="B246" s="166"/>
      <c r="C246" s="164">
        <f t="shared" si="21"/>
        <v>13</v>
      </c>
      <c r="D246" s="158" t="str">
        <f>VLOOKUP(C246,DMSP!$A$1:$C$39,2,0)</f>
        <v>5.TRUYỀN THỐNG</v>
      </c>
      <c r="E246" s="159" t="str">
        <f>VLOOKUP(C246,DMSP!$A$1:$C$39,3,0)</f>
        <v>CABO</v>
      </c>
      <c r="F246" s="160">
        <f t="shared" si="23"/>
        <v>510</v>
      </c>
      <c r="G246" s="161">
        <v>60</v>
      </c>
      <c r="H246" s="161"/>
      <c r="I246" s="161">
        <v>150</v>
      </c>
      <c r="J246" s="161"/>
      <c r="K246" s="161"/>
      <c r="L246" s="161">
        <v>60</v>
      </c>
      <c r="M246" s="161"/>
      <c r="N246" s="161">
        <v>30</v>
      </c>
      <c r="O246" s="161"/>
      <c r="P246" s="161">
        <v>120</v>
      </c>
      <c r="Q246" s="161">
        <v>90</v>
      </c>
      <c r="R246" s="161"/>
      <c r="S246" s="162">
        <f t="shared" si="27"/>
        <v>510</v>
      </c>
      <c r="T246" s="167"/>
    </row>
    <row r="247" customHeight="1" spans="2:20">
      <c r="B247" s="166"/>
      <c r="C247" s="164">
        <f t="shared" si="21"/>
        <v>14</v>
      </c>
      <c r="D247" s="158" t="str">
        <f>VLOOKUP(C247,DMSP!$A$1:$C$39,2,0)</f>
        <v>5.TRUYỀN THỐNG</v>
      </c>
      <c r="E247" s="159" t="str">
        <f>VLOOKUP(C247,DMSP!$A$1:$C$39,3,0)</f>
        <v>F94</v>
      </c>
      <c r="F247" s="160">
        <f t="shared" si="23"/>
        <v>6060</v>
      </c>
      <c r="G247" s="161">
        <v>150</v>
      </c>
      <c r="H247" s="161"/>
      <c r="I247" s="161">
        <v>225</v>
      </c>
      <c r="J247" s="161">
        <v>420</v>
      </c>
      <c r="K247" s="161">
        <v>675</v>
      </c>
      <c r="L247" s="161">
        <v>405</v>
      </c>
      <c r="M247" s="161">
        <v>960</v>
      </c>
      <c r="N247" s="161">
        <v>660</v>
      </c>
      <c r="O247" s="161">
        <v>660</v>
      </c>
      <c r="P247" s="161">
        <v>795</v>
      </c>
      <c r="Q247" s="161">
        <v>1110</v>
      </c>
      <c r="R247" s="161"/>
      <c r="S247" s="162">
        <f t="shared" si="27"/>
        <v>6060</v>
      </c>
      <c r="T247" s="167"/>
    </row>
    <row r="248" customHeight="1" spans="2:20">
      <c r="B248" s="166"/>
      <c r="C248" s="164">
        <f t="shared" si="21"/>
        <v>15</v>
      </c>
      <c r="D248" s="158" t="str">
        <f>VLOOKUP(C248,DMSP!$A$1:$C$39,2,0)</f>
        <v>5.TRUYỀN THỐNG</v>
      </c>
      <c r="E248" s="159" t="str">
        <f>VLOOKUP(C248,DMSP!$A$1:$C$39,3,0)</f>
        <v>F95</v>
      </c>
      <c r="F248" s="160">
        <f t="shared" si="23"/>
        <v>4546</v>
      </c>
      <c r="G248" s="161"/>
      <c r="H248" s="161"/>
      <c r="I248" s="161">
        <v>325</v>
      </c>
      <c r="J248" s="161">
        <v>575</v>
      </c>
      <c r="K248" s="161">
        <v>639</v>
      </c>
      <c r="L248" s="161">
        <v>500</v>
      </c>
      <c r="M248" s="161"/>
      <c r="N248" s="161">
        <v>500</v>
      </c>
      <c r="O248" s="161">
        <v>625</v>
      </c>
      <c r="P248" s="161">
        <v>750</v>
      </c>
      <c r="Q248" s="161">
        <v>632</v>
      </c>
      <c r="R248" s="161"/>
      <c r="S248" s="162">
        <f t="shared" si="27"/>
        <v>4546</v>
      </c>
      <c r="T248" s="167"/>
    </row>
    <row r="249" customHeight="1" spans="2:20">
      <c r="B249" s="166"/>
      <c r="C249" s="164">
        <f t="shared" si="21"/>
        <v>16</v>
      </c>
      <c r="D249" s="158" t="str">
        <f>VLOOKUP(C249,DMSP!$A$1:$C$39,2,0)</f>
        <v>5.TRUYỀN THỐNG</v>
      </c>
      <c r="E249" s="159" t="str">
        <f>VLOOKUP(C249,DMSP!$A$1:$C$39,3,0)</f>
        <v>THIOURE</v>
      </c>
      <c r="F249" s="160">
        <f t="shared" si="23"/>
        <v>0</v>
      </c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2">
        <f t="shared" si="27"/>
        <v>0</v>
      </c>
      <c r="T249" s="167"/>
    </row>
    <row r="250" customHeight="1" spans="2:20">
      <c r="B250" s="166"/>
      <c r="C250" s="164">
        <f t="shared" si="21"/>
        <v>17</v>
      </c>
      <c r="D250" s="158" t="str">
        <f>VLOOKUP(C250,DMSP!$A$1:$C$39,2,0)</f>
        <v>5.TRUYỀN THỐNG</v>
      </c>
      <c r="E250" s="159" t="str">
        <f>VLOOKUP(C250,DMSP!$A$1:$C$39,3,0)</f>
        <v>TOBA JUM</v>
      </c>
      <c r="F250" s="160">
        <f t="shared" si="23"/>
        <v>30785</v>
      </c>
      <c r="G250" s="161"/>
      <c r="H250" s="161">
        <v>3760</v>
      </c>
      <c r="I250" s="161">
        <v>8225</v>
      </c>
      <c r="J250" s="161">
        <v>5170</v>
      </c>
      <c r="K250" s="161">
        <v>6815</v>
      </c>
      <c r="L250" s="161">
        <v>1880</v>
      </c>
      <c r="M250" s="161">
        <v>940</v>
      </c>
      <c r="N250" s="161">
        <v>1880</v>
      </c>
      <c r="O250" s="161">
        <v>705</v>
      </c>
      <c r="P250" s="161">
        <v>470</v>
      </c>
      <c r="Q250" s="161">
        <v>940</v>
      </c>
      <c r="R250" s="161"/>
      <c r="S250" s="162">
        <f t="shared" si="27"/>
        <v>30785</v>
      </c>
      <c r="T250" s="167"/>
    </row>
    <row r="251" customHeight="1" spans="2:20">
      <c r="B251" s="166"/>
      <c r="C251" s="164">
        <f t="shared" si="21"/>
        <v>18</v>
      </c>
      <c r="D251" s="158" t="str">
        <f>VLOOKUP(C251,DMSP!$A$1:$C$39,2,0)</f>
        <v>5.TRUYỀN THỐNG</v>
      </c>
      <c r="E251" s="159" t="str">
        <f>VLOOKUP(C251,DMSP!$A$1:$C$39,3,0)</f>
        <v>TOBA NET</v>
      </c>
      <c r="F251" s="160">
        <f t="shared" si="23"/>
        <v>0</v>
      </c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2">
        <f t="shared" si="27"/>
        <v>0</v>
      </c>
      <c r="T251" s="167"/>
    </row>
    <row r="252" customHeight="1" spans="2:20">
      <c r="B252" s="166"/>
      <c r="C252" s="164">
        <f t="shared" si="21"/>
        <v>19</v>
      </c>
      <c r="D252" s="158" t="str">
        <f>VLOOKUP(C252,DMSP!$A$1:$C$39,2,0)</f>
        <v>6.BVTV</v>
      </c>
      <c r="E252" s="159" t="str">
        <f>VLOOKUP(C252,DMSP!$A$1:$C$39,3,0)</f>
        <v>ABAFAX 1.8</v>
      </c>
      <c r="F252" s="160">
        <f t="shared" si="23"/>
        <v>0</v>
      </c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2">
        <f t="shared" si="27"/>
        <v>0</v>
      </c>
      <c r="T252" s="167"/>
    </row>
    <row r="253" customHeight="1" spans="2:20">
      <c r="B253" s="166"/>
      <c r="C253" s="164">
        <f t="shared" si="21"/>
        <v>20</v>
      </c>
      <c r="D253" s="158" t="str">
        <f>VLOOKUP(C253,DMSP!$A$1:$C$39,2,0)</f>
        <v>6.BVTV</v>
      </c>
      <c r="E253" s="159" t="str">
        <f>VLOOKUP(C253,DMSP!$A$1:$C$39,3,0)</f>
        <v>ABAFAX 3.6</v>
      </c>
      <c r="F253" s="160">
        <f t="shared" si="23"/>
        <v>0</v>
      </c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2">
        <f t="shared" si="27"/>
        <v>0</v>
      </c>
      <c r="T253" s="167"/>
    </row>
    <row r="254" customHeight="1" spans="2:20">
      <c r="B254" s="166"/>
      <c r="C254" s="164">
        <f t="shared" si="21"/>
        <v>21</v>
      </c>
      <c r="D254" s="158" t="str">
        <f>VLOOKUP(C254,DMSP!$A$1:$C$39,2,0)</f>
        <v>6.BVTV</v>
      </c>
      <c r="E254" s="159" t="str">
        <f>VLOOKUP(C254,DMSP!$A$1:$C$39,3,0)</f>
        <v>AZET</v>
      </c>
      <c r="F254" s="160">
        <f t="shared" si="23"/>
        <v>315</v>
      </c>
      <c r="G254" s="161"/>
      <c r="H254" s="161"/>
      <c r="I254" s="161"/>
      <c r="J254" s="161"/>
      <c r="K254" s="161"/>
      <c r="L254" s="161">
        <v>63</v>
      </c>
      <c r="M254" s="161">
        <v>63</v>
      </c>
      <c r="N254" s="161"/>
      <c r="O254" s="161"/>
      <c r="P254" s="161"/>
      <c r="Q254" s="161">
        <v>189</v>
      </c>
      <c r="R254" s="161"/>
      <c r="S254" s="162">
        <f t="shared" si="27"/>
        <v>315</v>
      </c>
      <c r="T254" s="167"/>
    </row>
    <row r="255" customHeight="1" spans="2:20">
      <c r="B255" s="166"/>
      <c r="C255" s="164">
        <f t="shared" si="21"/>
        <v>22</v>
      </c>
      <c r="D255" s="158" t="str">
        <f>VLOOKUP(C255,DMSP!$A$1:$C$39,2,0)</f>
        <v>6.BVTV</v>
      </c>
      <c r="E255" s="159" t="str">
        <f>VLOOKUP(C255,DMSP!$A$1:$C$39,3,0)</f>
        <v>BACBA</v>
      </c>
      <c r="F255" s="160">
        <f t="shared" si="23"/>
        <v>0</v>
      </c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2">
        <f t="shared" si="27"/>
        <v>0</v>
      </c>
      <c r="T255" s="167"/>
    </row>
    <row r="256" customHeight="1" spans="2:20">
      <c r="B256" s="166"/>
      <c r="C256" s="164">
        <f t="shared" si="21"/>
        <v>23</v>
      </c>
      <c r="D256" s="158" t="str">
        <f>VLOOKUP(C256,DMSP!$A$1:$C$39,2,0)</f>
        <v>6.BVTV</v>
      </c>
      <c r="E256" s="159" t="str">
        <f>VLOOKUP(C256,DMSP!$A$1:$C$39,3,0)</f>
        <v>BIOROSAMIL</v>
      </c>
      <c r="F256" s="160">
        <f t="shared" si="23"/>
        <v>0</v>
      </c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2">
        <f t="shared" si="27"/>
        <v>0</v>
      </c>
      <c r="T256" s="167"/>
    </row>
    <row r="257" customHeight="1" spans="2:20">
      <c r="B257" s="166"/>
      <c r="C257" s="164">
        <f t="shared" si="21"/>
        <v>24</v>
      </c>
      <c r="D257" s="158" t="str">
        <f>VLOOKUP(C257,DMSP!$A$1:$C$39,2,0)</f>
        <v>6.BVTV</v>
      </c>
      <c r="E257" s="159" t="str">
        <f>VLOOKUP(C257,DMSP!$A$1:$C$39,3,0)</f>
        <v>COC 86</v>
      </c>
      <c r="F257" s="160">
        <f t="shared" si="23"/>
        <v>0</v>
      </c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2">
        <f t="shared" si="27"/>
        <v>0</v>
      </c>
      <c r="T257" s="167"/>
    </row>
    <row r="258" customHeight="1" spans="2:20">
      <c r="B258" s="166"/>
      <c r="C258" s="164">
        <f t="shared" si="21"/>
        <v>25</v>
      </c>
      <c r="D258" s="158" t="str">
        <f>VLOOKUP(C258,DMSP!$A$1:$C$39,2,0)</f>
        <v>6.BVTV</v>
      </c>
      <c r="E258" s="159" t="str">
        <f>VLOOKUP(C258,DMSP!$A$1:$C$39,3,0)</f>
        <v>HEXA 5</v>
      </c>
      <c r="F258" s="160">
        <f t="shared" si="23"/>
        <v>0</v>
      </c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2">
        <f t="shared" si="27"/>
        <v>0</v>
      </c>
      <c r="T258" s="167"/>
    </row>
    <row r="259" customHeight="1" spans="2:20">
      <c r="B259" s="166"/>
      <c r="C259" s="164">
        <f t="shared" si="21"/>
        <v>26</v>
      </c>
      <c r="D259" s="158" t="str">
        <f>VLOOKUP(C259,DMSP!$A$1:$C$39,2,0)</f>
        <v>6.BVTV</v>
      </c>
      <c r="E259" s="159" t="str">
        <f>VLOOKUP(C259,DMSP!$A$1:$C$39,3,0)</f>
        <v>TAMALA</v>
      </c>
      <c r="F259" s="160">
        <f t="shared" si="23"/>
        <v>0</v>
      </c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2">
        <f t="shared" si="27"/>
        <v>0</v>
      </c>
      <c r="T259" s="167"/>
    </row>
    <row r="260" customHeight="1" spans="2:20">
      <c r="B260" s="166"/>
      <c r="C260" s="164">
        <f t="shared" si="21"/>
        <v>27</v>
      </c>
      <c r="D260" s="158" t="str">
        <f>VLOOKUP(C260,DMSP!$A$1:$C$39,2,0)</f>
        <v>7.KHÁC</v>
      </c>
      <c r="E260" s="159" t="str">
        <f>VLOOKUP(C260,DMSP!$A$1:$C$39,3,0)</f>
        <v>KẼM VÀNG</v>
      </c>
      <c r="F260" s="160">
        <f t="shared" si="23"/>
        <v>0</v>
      </c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2">
        <f t="shared" si="27"/>
        <v>0</v>
      </c>
      <c r="T260" s="167"/>
    </row>
    <row r="261" customHeight="1" spans="2:20">
      <c r="B261" s="166"/>
      <c r="C261" s="164">
        <f t="shared" ref="C261:C270" si="28">C260+1</f>
        <v>28</v>
      </c>
      <c r="D261" s="158" t="str">
        <f>VLOOKUP(C261,DMSP!$A$1:$C$39,2,0)</f>
        <v>7.KHÁC</v>
      </c>
      <c r="E261" s="159" t="str">
        <f>VLOOKUP(C261,DMSP!$A$1:$C$39,3,0)</f>
        <v>KHÁC1</v>
      </c>
      <c r="F261" s="160">
        <f t="shared" si="23"/>
        <v>224</v>
      </c>
      <c r="G261" s="161">
        <v>79</v>
      </c>
      <c r="H261" s="161">
        <v>22</v>
      </c>
      <c r="I261" s="161">
        <v>75</v>
      </c>
      <c r="J261" s="161"/>
      <c r="K261" s="161"/>
      <c r="L261" s="161"/>
      <c r="M261" s="161"/>
      <c r="N261" s="161"/>
      <c r="O261" s="161"/>
      <c r="P261" s="161"/>
      <c r="Q261" s="161"/>
      <c r="R261" s="161">
        <v>48</v>
      </c>
      <c r="S261" s="162">
        <f t="shared" si="27"/>
        <v>224</v>
      </c>
      <c r="T261" s="167"/>
    </row>
    <row r="262" customHeight="1" spans="2:20">
      <c r="B262" s="166"/>
      <c r="C262" s="164">
        <f t="shared" si="28"/>
        <v>29</v>
      </c>
      <c r="D262" s="158" t="str">
        <f>VLOOKUP(C262,DMSP!$A$1:$C$39,2,0)</f>
        <v>7.KHÁC</v>
      </c>
      <c r="E262" s="169" t="s">
        <v>13</v>
      </c>
      <c r="F262" s="160">
        <f t="shared" si="23"/>
        <v>0</v>
      </c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2">
        <f t="shared" si="27"/>
        <v>0</v>
      </c>
      <c r="T262" s="167"/>
    </row>
    <row r="263" customHeight="1" spans="2:20">
      <c r="B263" s="166"/>
      <c r="C263" s="164">
        <f t="shared" si="28"/>
        <v>30</v>
      </c>
      <c r="D263" s="158" t="str">
        <f>VLOOKUP(C263,DMSP!$A$1:$C$39,2,0)</f>
        <v>7.KHÁC</v>
      </c>
      <c r="E263" s="159" t="str">
        <f>VLOOKUP(C263,DMSP!$A$1:$C$39,3,0)</f>
        <v>RỬA RONG RÊU</v>
      </c>
      <c r="F263" s="160">
        <f t="shared" ref="F263:F326" si="29">S263</f>
        <v>0</v>
      </c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2">
        <f t="shared" si="27"/>
        <v>0</v>
      </c>
      <c r="T263" s="167"/>
    </row>
    <row r="264" customHeight="1" spans="2:20">
      <c r="B264" s="166"/>
      <c r="C264" s="164">
        <f t="shared" si="28"/>
        <v>31</v>
      </c>
      <c r="D264" s="158" t="str">
        <f>VLOOKUP(C264,DMSP!$A$1:$C$39,2,0)</f>
        <v>7.KHÁC</v>
      </c>
      <c r="E264" s="159" t="str">
        <f>VLOOKUP(C264,DMSP!$A$1:$C$39,3,0)</f>
        <v>TB BO</v>
      </c>
      <c r="F264" s="160">
        <f t="shared" si="29"/>
        <v>0</v>
      </c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2">
        <f t="shared" si="27"/>
        <v>0</v>
      </c>
      <c r="T264" s="167"/>
    </row>
    <row r="265" customHeight="1" spans="2:20">
      <c r="B265" s="166"/>
      <c r="C265" s="164">
        <f t="shared" si="28"/>
        <v>32</v>
      </c>
      <c r="D265" s="158" t="str">
        <f>VLOOKUP(C265,DMSP!$A$1:$C$39,2,0)</f>
        <v>7.KHÁC</v>
      </c>
      <c r="E265" s="159" t="str">
        <f>VLOOKUP(C265,DMSP!$A$1:$C$39,3,0)</f>
        <v>TB FRUIT</v>
      </c>
      <c r="F265" s="160">
        <f t="shared" si="29"/>
        <v>0</v>
      </c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2">
        <f t="shared" si="27"/>
        <v>0</v>
      </c>
      <c r="T265" s="167"/>
    </row>
    <row r="266" customHeight="1" spans="2:20">
      <c r="B266" s="166"/>
      <c r="C266" s="164">
        <f t="shared" si="28"/>
        <v>33</v>
      </c>
      <c r="D266" s="158" t="str">
        <f>VLOOKUP(C266,DMSP!$A$1:$C$39,2,0)</f>
        <v>7.KHÁC</v>
      </c>
      <c r="E266" s="159" t="str">
        <f>VLOOKUP(C266,DMSP!$A$1:$C$39,3,0)</f>
        <v>TB PHOS</v>
      </c>
      <c r="F266" s="160">
        <f t="shared" si="29"/>
        <v>0</v>
      </c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2">
        <f t="shared" si="27"/>
        <v>0</v>
      </c>
      <c r="T266" s="167"/>
    </row>
    <row r="267" customHeight="1" spans="2:20">
      <c r="B267" s="166"/>
      <c r="C267" s="164">
        <f t="shared" si="28"/>
        <v>34</v>
      </c>
      <c r="D267" s="158" t="str">
        <f>VLOOKUP(C267,DMSP!$A$1:$C$39,2,0)</f>
        <v>7.KHÁC</v>
      </c>
      <c r="E267" s="159" t="str">
        <f>VLOOKUP(C267,DMSP!$A$1:$C$39,3,0)</f>
        <v>TOBA BÁM DÍNH</v>
      </c>
      <c r="F267" s="160">
        <f t="shared" si="29"/>
        <v>0</v>
      </c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2">
        <f t="shared" si="27"/>
        <v>0</v>
      </c>
      <c r="T267" s="167"/>
    </row>
    <row r="268" customHeight="1" spans="2:20">
      <c r="B268" s="166"/>
      <c r="C268" s="164">
        <f t="shared" si="28"/>
        <v>35</v>
      </c>
      <c r="D268" s="158" t="str">
        <f>VLOOKUP(C268,DMSP!$A$1:$C$39,2,0)</f>
        <v>7.KHÁC</v>
      </c>
      <c r="E268" s="159" t="str">
        <f>VLOOKUP(C268,DMSP!$A$1:$C$39,3,0)</f>
        <v>VỌT HOA NHÃN</v>
      </c>
      <c r="F268" s="160">
        <f t="shared" si="29"/>
        <v>0</v>
      </c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2">
        <f t="shared" si="27"/>
        <v>0</v>
      </c>
      <c r="T268" s="167"/>
    </row>
    <row r="269" customHeight="1" spans="2:20">
      <c r="B269" s="166"/>
      <c r="C269" s="164">
        <f t="shared" si="28"/>
        <v>36</v>
      </c>
      <c r="D269" s="158" t="str">
        <f>VLOOKUP(C269,DMSP!$A$1:$C$39,2,0)</f>
        <v>7.KHÁC</v>
      </c>
      <c r="E269" s="159" t="str">
        <f>VLOOKUP(C269,DMSP!$A$1:$C$39,3,0)</f>
        <v>VỌT HOA XOÀI</v>
      </c>
      <c r="F269" s="160">
        <f t="shared" si="29"/>
        <v>21</v>
      </c>
      <c r="G269" s="161"/>
      <c r="H269" s="161"/>
      <c r="I269" s="161"/>
      <c r="J269" s="161"/>
      <c r="K269" s="161"/>
      <c r="L269" s="161">
        <v>21</v>
      </c>
      <c r="M269" s="161"/>
      <c r="N269" s="161"/>
      <c r="O269" s="161"/>
      <c r="P269" s="161"/>
      <c r="Q269" s="161"/>
      <c r="R269" s="161"/>
      <c r="S269" s="162">
        <f t="shared" si="27"/>
        <v>21</v>
      </c>
      <c r="T269" s="167"/>
    </row>
    <row r="270" customHeight="1" spans="2:20">
      <c r="B270" s="166"/>
      <c r="C270" s="164">
        <f t="shared" si="28"/>
        <v>37</v>
      </c>
      <c r="D270" s="158" t="str">
        <f>VLOOKUP(C270,DMSP!$A$1:$C$39,2,0)</f>
        <v>7.KHÁC</v>
      </c>
      <c r="E270" s="159" t="str">
        <f>VLOOKUP(C270,DMSP!$A$1:$C$39,3,0)</f>
        <v>VỌT HOA XOÀI</v>
      </c>
      <c r="F270" s="160">
        <f t="shared" si="29"/>
        <v>0</v>
      </c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2">
        <f t="shared" si="27"/>
        <v>0</v>
      </c>
      <c r="T270" s="167"/>
    </row>
    <row r="271" customHeight="1" spans="2:20">
      <c r="B271" s="92"/>
      <c r="C271" s="170" t="str">
        <f t="shared" ref="C271" si="30">B234</f>
        <v>VHD</v>
      </c>
      <c r="D271" s="171"/>
      <c r="E271" s="172" t="str">
        <f>"TOTAL "&amp;B234</f>
        <v>TOTAL VHD</v>
      </c>
      <c r="F271" s="173">
        <f t="shared" si="29"/>
        <v>42476</v>
      </c>
      <c r="G271" s="174">
        <f>SUM(G234:G270)</f>
        <v>289</v>
      </c>
      <c r="H271" s="174">
        <f t="shared" ref="H271:R271" si="31">SUM(H234:H270)</f>
        <v>3782</v>
      </c>
      <c r="I271" s="174">
        <f t="shared" si="31"/>
        <v>9000</v>
      </c>
      <c r="J271" s="174">
        <f t="shared" si="31"/>
        <v>6165</v>
      </c>
      <c r="K271" s="174">
        <f t="shared" si="31"/>
        <v>8144</v>
      </c>
      <c r="L271" s="174">
        <f t="shared" si="31"/>
        <v>2929</v>
      </c>
      <c r="M271" s="174">
        <f t="shared" si="31"/>
        <v>1963</v>
      </c>
      <c r="N271" s="174">
        <f t="shared" si="31"/>
        <v>3070</v>
      </c>
      <c r="O271" s="174">
        <f t="shared" si="31"/>
        <v>1990</v>
      </c>
      <c r="P271" s="174">
        <f t="shared" si="31"/>
        <v>2135</v>
      </c>
      <c r="Q271" s="174">
        <f t="shared" si="31"/>
        <v>2961</v>
      </c>
      <c r="R271" s="174">
        <f t="shared" si="31"/>
        <v>48</v>
      </c>
      <c r="S271" s="174">
        <f t="shared" si="27"/>
        <v>42476</v>
      </c>
      <c r="T271" s="175"/>
    </row>
    <row r="272" customHeight="1" spans="2:20">
      <c r="B272" s="156" t="s">
        <v>20</v>
      </c>
      <c r="C272" s="157">
        <v>1</v>
      </c>
      <c r="D272" s="158" t="str">
        <f>VLOOKUP(C272,DMSP!$A$1:$C$39,2,0)</f>
        <v>1.TOBA XANH</v>
      </c>
      <c r="E272" s="159" t="str">
        <f>VLOOKUP(C272,DMSP!$A$1:$C$39,3,0)</f>
        <v>TOBA XANH</v>
      </c>
      <c r="F272" s="160">
        <f t="shared" si="29"/>
        <v>0</v>
      </c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2">
        <f t="shared" si="27"/>
        <v>0</v>
      </c>
      <c r="T272" s="163">
        <f>S309</f>
        <v>32</v>
      </c>
    </row>
    <row r="273" customHeight="1" spans="2:20">
      <c r="B273" s="166"/>
      <c r="C273" s="164">
        <f t="shared" ref="C273:C308" si="32">C272+1</f>
        <v>2</v>
      </c>
      <c r="D273" s="158" t="str">
        <f>VLOOKUP(C273,DMSP!$A$1:$C$39,2,0)</f>
        <v>2.HC</v>
      </c>
      <c r="E273" s="159" t="str">
        <f>VLOOKUP(C273,DMSP!$A$1:$C$39,3,0)</f>
        <v>HC BOOSTER</v>
      </c>
      <c r="F273" s="160">
        <f t="shared" si="29"/>
        <v>0</v>
      </c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2">
        <f t="shared" ref="S273:S310" si="33">SUM(G273:R273)</f>
        <v>0</v>
      </c>
      <c r="T273" s="167"/>
    </row>
    <row r="274" customHeight="1" spans="2:20">
      <c r="B274" s="166"/>
      <c r="C274" s="164">
        <f t="shared" si="32"/>
        <v>3</v>
      </c>
      <c r="D274" s="158" t="str">
        <f>VLOOKUP(C274,DMSP!$A$1:$C$39,2,0)</f>
        <v>2.HC</v>
      </c>
      <c r="E274" s="159" t="str">
        <f>VLOOKUP(C274,DMSP!$A$1:$C$39,3,0)</f>
        <v>HC KING-ROOT</v>
      </c>
      <c r="F274" s="160">
        <f t="shared" si="29"/>
        <v>0</v>
      </c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2">
        <f t="shared" si="33"/>
        <v>0</v>
      </c>
      <c r="T274" s="167"/>
    </row>
    <row r="275" customHeight="1" spans="2:20">
      <c r="B275" s="166"/>
      <c r="C275" s="164">
        <f t="shared" si="32"/>
        <v>4</v>
      </c>
      <c r="D275" s="158" t="str">
        <f>VLOOKUP(C275,DMSP!$A$1:$C$39,2,0)</f>
        <v>2.HC</v>
      </c>
      <c r="E275" s="159" t="str">
        <f>VLOOKUP(C275,DMSP!$A$1:$C$39,3,0)</f>
        <v>HAPPY FARM</v>
      </c>
      <c r="F275" s="160">
        <f t="shared" si="29"/>
        <v>0</v>
      </c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2">
        <f t="shared" si="33"/>
        <v>0</v>
      </c>
      <c r="T275" s="167"/>
    </row>
    <row r="276" customHeight="1" spans="2:20">
      <c r="B276" s="166"/>
      <c r="C276" s="164">
        <f t="shared" si="32"/>
        <v>5</v>
      </c>
      <c r="D276" s="158" t="str">
        <f>VLOOKUP(C276,DMSP!$A$1:$C$39,2,0)</f>
        <v>2.HC</v>
      </c>
      <c r="E276" s="159" t="str">
        <f>VLOOKUP(C276,DMSP!$A$1:$C$39,3,0)</f>
        <v>WOW</v>
      </c>
      <c r="F276" s="160">
        <f t="shared" si="29"/>
        <v>0</v>
      </c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2">
        <f t="shared" si="33"/>
        <v>0</v>
      </c>
      <c r="T276" s="167"/>
    </row>
    <row r="277" customHeight="1" spans="2:20">
      <c r="B277" s="166"/>
      <c r="C277" s="164">
        <f t="shared" si="32"/>
        <v>6</v>
      </c>
      <c r="D277" s="158" t="str">
        <f>VLOOKUP(C277,DMSP!$A$1:$C$39,2,0)</f>
        <v>3.SPRAY </v>
      </c>
      <c r="E277" s="159" t="str">
        <f>VLOOKUP(C277,DMSP!$A$1:$C$39,3,0)</f>
        <v>KELPIT</v>
      </c>
      <c r="F277" s="160">
        <f t="shared" si="29"/>
        <v>14</v>
      </c>
      <c r="G277" s="161"/>
      <c r="H277" s="161">
        <v>14</v>
      </c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2">
        <f t="shared" si="33"/>
        <v>14</v>
      </c>
      <c r="T277" s="167"/>
    </row>
    <row r="278" customHeight="1" spans="2:20">
      <c r="B278" s="166"/>
      <c r="C278" s="164">
        <f t="shared" si="32"/>
        <v>7</v>
      </c>
      <c r="D278" s="158" t="str">
        <f>VLOOKUP(C278,DMSP!$A$1:$C$39,2,0)</f>
        <v>3.SPRAY </v>
      </c>
      <c r="E278" s="159" t="str">
        <f>VLOOKUP(C278,DMSP!$A$1:$C$39,3,0)</f>
        <v>SI-K</v>
      </c>
      <c r="F278" s="160">
        <f t="shared" si="29"/>
        <v>0</v>
      </c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2">
        <f t="shared" si="33"/>
        <v>0</v>
      </c>
      <c r="T278" s="167"/>
    </row>
    <row r="279" customHeight="1" spans="2:20">
      <c r="B279" s="166"/>
      <c r="C279" s="164">
        <f t="shared" si="32"/>
        <v>8</v>
      </c>
      <c r="D279" s="158" t="str">
        <f>VLOOKUP(C279,DMSP!$A$1:$C$39,2,0)</f>
        <v>3.SPRAY </v>
      </c>
      <c r="E279" s="159" t="str">
        <f>VLOOKUP(C279,DMSP!$A$1:$C$39,3,0)</f>
        <v>SPRAY PHOS 620</v>
      </c>
      <c r="F279" s="160">
        <f t="shared" si="29"/>
        <v>0</v>
      </c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2">
        <f t="shared" si="33"/>
        <v>0</v>
      </c>
      <c r="T279" s="167"/>
    </row>
    <row r="280" customHeight="1" spans="2:20">
      <c r="B280" s="166"/>
      <c r="C280" s="164">
        <f t="shared" si="32"/>
        <v>9</v>
      </c>
      <c r="D280" s="158" t="str">
        <f>VLOOKUP(C280,DMSP!$A$1:$C$39,2,0)</f>
        <v>4.DƯỠNG RỄ</v>
      </c>
      <c r="E280" s="159" t="str">
        <f>VLOOKUP(C280,DMSP!$A$1:$C$39,3,0)</f>
        <v>CHITOSAN</v>
      </c>
      <c r="F280" s="160">
        <f t="shared" si="29"/>
        <v>0</v>
      </c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2">
        <f t="shared" si="33"/>
        <v>0</v>
      </c>
      <c r="T280" s="167"/>
    </row>
    <row r="281" customHeight="1" spans="2:20">
      <c r="B281" s="166"/>
      <c r="C281" s="164">
        <f t="shared" si="32"/>
        <v>10</v>
      </c>
      <c r="D281" s="158" t="str">
        <f>VLOOKUP(C281,DMSP!$A$1:$C$39,2,0)</f>
        <v>4.DƯỠNG RỄ</v>
      </c>
      <c r="E281" s="159" t="str">
        <f>VLOOKUP(C281,DMSP!$A$1:$C$39,3,0)</f>
        <v>ĐẠM CÁ</v>
      </c>
      <c r="F281" s="160">
        <f t="shared" si="29"/>
        <v>0</v>
      </c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2">
        <f t="shared" si="33"/>
        <v>0</v>
      </c>
      <c r="T281" s="167"/>
    </row>
    <row r="282" customHeight="1" spans="2:20">
      <c r="B282" s="166"/>
      <c r="C282" s="164">
        <f t="shared" si="32"/>
        <v>11</v>
      </c>
      <c r="D282" s="158" t="str">
        <f>VLOOKUP(C282,DMSP!$A$1:$C$39,2,0)</f>
        <v>4.DƯỠNG RỄ</v>
      </c>
      <c r="E282" s="159" t="str">
        <f>VLOOKUP(C282,DMSP!$A$1:$C$39,3,0)</f>
        <v>ĐẠM TÔM</v>
      </c>
      <c r="F282" s="160">
        <f t="shared" si="29"/>
        <v>0</v>
      </c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2">
        <f t="shared" si="33"/>
        <v>0</v>
      </c>
      <c r="T282" s="167"/>
    </row>
    <row r="283" customHeight="1" spans="2:20">
      <c r="B283" s="166"/>
      <c r="C283" s="164">
        <f t="shared" si="32"/>
        <v>12</v>
      </c>
      <c r="D283" s="158" t="str">
        <f>VLOOKUP(C283,DMSP!$A$1:$C$39,2,0)</f>
        <v>4.DƯỠNG RỄ</v>
      </c>
      <c r="E283" s="159" t="str">
        <f>VLOOKUP(C283,DMSP!$A$1:$C$39,3,0)</f>
        <v>SUPERMIC</v>
      </c>
      <c r="F283" s="160">
        <f t="shared" si="29"/>
        <v>0</v>
      </c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2">
        <f t="shared" si="33"/>
        <v>0</v>
      </c>
      <c r="T283" s="167"/>
    </row>
    <row r="284" customHeight="1" spans="2:20">
      <c r="B284" s="166"/>
      <c r="C284" s="164">
        <f t="shared" si="32"/>
        <v>13</v>
      </c>
      <c r="D284" s="158" t="str">
        <f>VLOOKUP(C284,DMSP!$A$1:$C$39,2,0)</f>
        <v>5.TRUYỀN THỐNG</v>
      </c>
      <c r="E284" s="159" t="str">
        <f>VLOOKUP(C284,DMSP!$A$1:$C$39,3,0)</f>
        <v>CABO</v>
      </c>
      <c r="F284" s="160">
        <f t="shared" si="29"/>
        <v>0</v>
      </c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2">
        <f t="shared" si="33"/>
        <v>0</v>
      </c>
      <c r="T284" s="167"/>
    </row>
    <row r="285" customHeight="1" spans="2:20">
      <c r="B285" s="166"/>
      <c r="C285" s="164">
        <f t="shared" si="32"/>
        <v>14</v>
      </c>
      <c r="D285" s="158" t="str">
        <f>VLOOKUP(C285,DMSP!$A$1:$C$39,2,0)</f>
        <v>5.TRUYỀN THỐNG</v>
      </c>
      <c r="E285" s="159" t="str">
        <f>VLOOKUP(C285,DMSP!$A$1:$C$39,3,0)</f>
        <v>F94</v>
      </c>
      <c r="F285" s="160">
        <f t="shared" si="29"/>
        <v>0</v>
      </c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2">
        <f t="shared" si="33"/>
        <v>0</v>
      </c>
      <c r="T285" s="167"/>
    </row>
    <row r="286" customHeight="1" spans="2:20">
      <c r="B286" s="166"/>
      <c r="C286" s="164">
        <f t="shared" si="32"/>
        <v>15</v>
      </c>
      <c r="D286" s="158" t="str">
        <f>VLOOKUP(C286,DMSP!$A$1:$C$39,2,0)</f>
        <v>5.TRUYỀN THỐNG</v>
      </c>
      <c r="E286" s="159" t="str">
        <f>VLOOKUP(C286,DMSP!$A$1:$C$39,3,0)</f>
        <v>F95</v>
      </c>
      <c r="F286" s="160">
        <f t="shared" si="29"/>
        <v>0</v>
      </c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2">
        <f t="shared" si="33"/>
        <v>0</v>
      </c>
      <c r="T286" s="167"/>
    </row>
    <row r="287" customHeight="1" spans="2:20">
      <c r="B287" s="166"/>
      <c r="C287" s="164">
        <f t="shared" si="32"/>
        <v>16</v>
      </c>
      <c r="D287" s="158" t="str">
        <f>VLOOKUP(C287,DMSP!$A$1:$C$39,2,0)</f>
        <v>5.TRUYỀN THỐNG</v>
      </c>
      <c r="E287" s="159" t="str">
        <f>VLOOKUP(C287,DMSP!$A$1:$C$39,3,0)</f>
        <v>THIOURE</v>
      </c>
      <c r="F287" s="160">
        <f t="shared" si="29"/>
        <v>0</v>
      </c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2">
        <f t="shared" si="33"/>
        <v>0</v>
      </c>
      <c r="T287" s="167"/>
    </row>
    <row r="288" customHeight="1" spans="2:20">
      <c r="B288" s="166"/>
      <c r="C288" s="164">
        <f t="shared" si="32"/>
        <v>17</v>
      </c>
      <c r="D288" s="158" t="str">
        <f>VLOOKUP(C288,DMSP!$A$1:$C$39,2,0)</f>
        <v>5.TRUYỀN THỐNG</v>
      </c>
      <c r="E288" s="159" t="str">
        <f>VLOOKUP(C288,DMSP!$A$1:$C$39,3,0)</f>
        <v>TOBA JUM</v>
      </c>
      <c r="F288" s="160">
        <f t="shared" si="29"/>
        <v>0</v>
      </c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2">
        <f t="shared" si="33"/>
        <v>0</v>
      </c>
      <c r="T288" s="167"/>
    </row>
    <row r="289" customHeight="1" spans="2:20">
      <c r="B289" s="166"/>
      <c r="C289" s="164">
        <f t="shared" si="32"/>
        <v>18</v>
      </c>
      <c r="D289" s="158" t="str">
        <f>VLOOKUP(C289,DMSP!$A$1:$C$39,2,0)</f>
        <v>5.TRUYỀN THỐNG</v>
      </c>
      <c r="E289" s="159" t="str">
        <f>VLOOKUP(C289,DMSP!$A$1:$C$39,3,0)</f>
        <v>TOBA NET</v>
      </c>
      <c r="F289" s="160">
        <f t="shared" si="29"/>
        <v>0</v>
      </c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2">
        <f t="shared" si="33"/>
        <v>0</v>
      </c>
      <c r="T289" s="167"/>
    </row>
    <row r="290" customHeight="1" spans="2:20">
      <c r="B290" s="166"/>
      <c r="C290" s="164">
        <f t="shared" si="32"/>
        <v>19</v>
      </c>
      <c r="D290" s="158" t="str">
        <f>VLOOKUP(C290,DMSP!$A$1:$C$39,2,0)</f>
        <v>6.BVTV</v>
      </c>
      <c r="E290" s="159" t="str">
        <f>VLOOKUP(C290,DMSP!$A$1:$C$39,3,0)</f>
        <v>ABAFAX 1.8</v>
      </c>
      <c r="F290" s="160">
        <f t="shared" si="29"/>
        <v>0</v>
      </c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2">
        <f t="shared" si="33"/>
        <v>0</v>
      </c>
      <c r="T290" s="167"/>
    </row>
    <row r="291" customHeight="1" spans="2:20">
      <c r="B291" s="166"/>
      <c r="C291" s="164">
        <f t="shared" si="32"/>
        <v>20</v>
      </c>
      <c r="D291" s="158" t="str">
        <f>VLOOKUP(C291,DMSP!$A$1:$C$39,2,0)</f>
        <v>6.BVTV</v>
      </c>
      <c r="E291" s="159" t="str">
        <f>VLOOKUP(C291,DMSP!$A$1:$C$39,3,0)</f>
        <v>ABAFAX 3.6</v>
      </c>
      <c r="F291" s="160">
        <f t="shared" si="29"/>
        <v>0</v>
      </c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2">
        <f t="shared" si="33"/>
        <v>0</v>
      </c>
      <c r="T291" s="167"/>
    </row>
    <row r="292" customHeight="1" spans="2:20">
      <c r="B292" s="166"/>
      <c r="C292" s="164">
        <f t="shared" si="32"/>
        <v>21</v>
      </c>
      <c r="D292" s="158" t="str">
        <f>VLOOKUP(C292,DMSP!$A$1:$C$39,2,0)</f>
        <v>6.BVTV</v>
      </c>
      <c r="E292" s="159" t="str">
        <f>VLOOKUP(C292,DMSP!$A$1:$C$39,3,0)</f>
        <v>AZET</v>
      </c>
      <c r="F292" s="160">
        <f t="shared" si="29"/>
        <v>0</v>
      </c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2">
        <f t="shared" si="33"/>
        <v>0</v>
      </c>
      <c r="T292" s="167"/>
    </row>
    <row r="293" customHeight="1" spans="2:20">
      <c r="B293" s="166"/>
      <c r="C293" s="164">
        <f t="shared" si="32"/>
        <v>22</v>
      </c>
      <c r="D293" s="158" t="str">
        <f>VLOOKUP(C293,DMSP!$A$1:$C$39,2,0)</f>
        <v>6.BVTV</v>
      </c>
      <c r="E293" s="159" t="str">
        <f>VLOOKUP(C293,DMSP!$A$1:$C$39,3,0)</f>
        <v>BACBA</v>
      </c>
      <c r="F293" s="160">
        <f t="shared" si="29"/>
        <v>0</v>
      </c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2">
        <f t="shared" si="33"/>
        <v>0</v>
      </c>
      <c r="T293" s="167"/>
    </row>
    <row r="294" customHeight="1" spans="2:20">
      <c r="B294" s="166"/>
      <c r="C294" s="164">
        <f t="shared" si="32"/>
        <v>23</v>
      </c>
      <c r="D294" s="158" t="str">
        <f>VLOOKUP(C294,DMSP!$A$1:$C$39,2,0)</f>
        <v>6.BVTV</v>
      </c>
      <c r="E294" s="159" t="str">
        <f>VLOOKUP(C294,DMSP!$A$1:$C$39,3,0)</f>
        <v>BIOROSAMIL</v>
      </c>
      <c r="F294" s="160">
        <f t="shared" si="29"/>
        <v>9</v>
      </c>
      <c r="G294" s="161"/>
      <c r="H294" s="161"/>
      <c r="I294" s="161"/>
      <c r="J294" s="161"/>
      <c r="K294" s="161"/>
      <c r="L294" s="161">
        <v>9</v>
      </c>
      <c r="M294" s="161"/>
      <c r="N294" s="161"/>
      <c r="O294" s="161"/>
      <c r="P294" s="161"/>
      <c r="Q294" s="161"/>
      <c r="R294" s="161"/>
      <c r="S294" s="162">
        <f t="shared" si="33"/>
        <v>9</v>
      </c>
      <c r="T294" s="167"/>
    </row>
    <row r="295" customHeight="1" spans="2:20">
      <c r="B295" s="166"/>
      <c r="C295" s="164">
        <f t="shared" si="32"/>
        <v>24</v>
      </c>
      <c r="D295" s="158" t="str">
        <f>VLOOKUP(C295,DMSP!$A$1:$C$39,2,0)</f>
        <v>6.BVTV</v>
      </c>
      <c r="E295" s="159" t="str">
        <f>VLOOKUP(C295,DMSP!$A$1:$C$39,3,0)</f>
        <v>COC 86</v>
      </c>
      <c r="F295" s="160">
        <f t="shared" si="29"/>
        <v>0</v>
      </c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2">
        <f t="shared" si="33"/>
        <v>0</v>
      </c>
      <c r="T295" s="167"/>
    </row>
    <row r="296" customHeight="1" spans="2:20">
      <c r="B296" s="166"/>
      <c r="C296" s="164">
        <f t="shared" si="32"/>
        <v>25</v>
      </c>
      <c r="D296" s="158" t="str">
        <f>VLOOKUP(C296,DMSP!$A$1:$C$39,2,0)</f>
        <v>6.BVTV</v>
      </c>
      <c r="E296" s="159" t="str">
        <f>VLOOKUP(C296,DMSP!$A$1:$C$39,3,0)</f>
        <v>HEXA 5</v>
      </c>
      <c r="F296" s="160">
        <f t="shared" si="29"/>
        <v>0</v>
      </c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2">
        <f t="shared" si="33"/>
        <v>0</v>
      </c>
      <c r="T296" s="167"/>
    </row>
    <row r="297" customHeight="1" spans="2:20">
      <c r="B297" s="166"/>
      <c r="C297" s="164">
        <f t="shared" si="32"/>
        <v>26</v>
      </c>
      <c r="D297" s="158" t="str">
        <f>VLOOKUP(C297,DMSP!$A$1:$C$39,2,0)</f>
        <v>6.BVTV</v>
      </c>
      <c r="E297" s="159" t="str">
        <f>VLOOKUP(C297,DMSP!$A$1:$C$39,3,0)</f>
        <v>TAMALA</v>
      </c>
      <c r="F297" s="160">
        <f t="shared" si="29"/>
        <v>0</v>
      </c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2">
        <f t="shared" si="33"/>
        <v>0</v>
      </c>
      <c r="T297" s="167"/>
    </row>
    <row r="298" customHeight="1" spans="2:20">
      <c r="B298" s="166"/>
      <c r="C298" s="164">
        <f t="shared" si="32"/>
        <v>27</v>
      </c>
      <c r="D298" s="158" t="str">
        <f>VLOOKUP(C298,DMSP!$A$1:$C$39,2,0)</f>
        <v>7.KHÁC</v>
      </c>
      <c r="E298" s="159" t="str">
        <f>VLOOKUP(C298,DMSP!$A$1:$C$39,3,0)</f>
        <v>KẼM VÀNG</v>
      </c>
      <c r="F298" s="160">
        <f t="shared" si="29"/>
        <v>0</v>
      </c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2">
        <f t="shared" si="33"/>
        <v>0</v>
      </c>
      <c r="T298" s="167"/>
    </row>
    <row r="299" customHeight="1" spans="2:20">
      <c r="B299" s="166"/>
      <c r="C299" s="164">
        <f t="shared" si="32"/>
        <v>28</v>
      </c>
      <c r="D299" s="158" t="str">
        <f>VLOOKUP(C299,DMSP!$A$1:$C$39,2,0)</f>
        <v>7.KHÁC</v>
      </c>
      <c r="E299" s="159" t="str">
        <f>VLOOKUP(C299,DMSP!$A$1:$C$39,3,0)</f>
        <v>KHÁC1</v>
      </c>
      <c r="F299" s="160">
        <f t="shared" si="29"/>
        <v>9</v>
      </c>
      <c r="G299" s="161"/>
      <c r="H299" s="161"/>
      <c r="I299" s="161"/>
      <c r="J299" s="161"/>
      <c r="K299" s="161"/>
      <c r="L299" s="161">
        <v>9</v>
      </c>
      <c r="M299" s="161"/>
      <c r="N299" s="161"/>
      <c r="O299" s="161"/>
      <c r="P299" s="161"/>
      <c r="Q299" s="161"/>
      <c r="R299" s="161"/>
      <c r="S299" s="162">
        <f t="shared" si="33"/>
        <v>9</v>
      </c>
      <c r="T299" s="167"/>
    </row>
    <row r="300" customHeight="1" spans="2:20">
      <c r="B300" s="166"/>
      <c r="C300" s="164">
        <f t="shared" si="32"/>
        <v>29</v>
      </c>
      <c r="D300" s="158" t="str">
        <f>VLOOKUP(C300,DMSP!$A$1:$C$39,2,0)</f>
        <v>7.KHÁC</v>
      </c>
      <c r="E300" s="169" t="s">
        <v>13</v>
      </c>
      <c r="F300" s="160">
        <f t="shared" si="29"/>
        <v>0</v>
      </c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2">
        <f t="shared" si="33"/>
        <v>0</v>
      </c>
      <c r="T300" s="167"/>
    </row>
    <row r="301" customHeight="1" spans="2:20">
      <c r="B301" s="166"/>
      <c r="C301" s="164">
        <f t="shared" si="32"/>
        <v>30</v>
      </c>
      <c r="D301" s="158" t="str">
        <f>VLOOKUP(C301,DMSP!$A$1:$C$39,2,0)</f>
        <v>7.KHÁC</v>
      </c>
      <c r="E301" s="159" t="str">
        <f>VLOOKUP(C301,DMSP!$A$1:$C$39,3,0)</f>
        <v>RỬA RONG RÊU</v>
      </c>
      <c r="F301" s="160">
        <f t="shared" si="29"/>
        <v>0</v>
      </c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2">
        <f t="shared" si="33"/>
        <v>0</v>
      </c>
      <c r="T301" s="167"/>
    </row>
    <row r="302" customHeight="1" spans="2:20">
      <c r="B302" s="166"/>
      <c r="C302" s="164">
        <f t="shared" si="32"/>
        <v>31</v>
      </c>
      <c r="D302" s="158" t="str">
        <f>VLOOKUP(C302,DMSP!$A$1:$C$39,2,0)</f>
        <v>7.KHÁC</v>
      </c>
      <c r="E302" s="159" t="str">
        <f>VLOOKUP(C302,DMSP!$A$1:$C$39,3,0)</f>
        <v>TB BO</v>
      </c>
      <c r="F302" s="160">
        <f t="shared" si="29"/>
        <v>0</v>
      </c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2">
        <f t="shared" si="33"/>
        <v>0</v>
      </c>
      <c r="T302" s="167"/>
    </row>
    <row r="303" customHeight="1" spans="2:20">
      <c r="B303" s="166"/>
      <c r="C303" s="164">
        <f t="shared" si="32"/>
        <v>32</v>
      </c>
      <c r="D303" s="158" t="str">
        <f>VLOOKUP(C303,DMSP!$A$1:$C$39,2,0)</f>
        <v>7.KHÁC</v>
      </c>
      <c r="E303" s="159" t="str">
        <f>VLOOKUP(C303,DMSP!$A$1:$C$39,3,0)</f>
        <v>TB FRUIT</v>
      </c>
      <c r="F303" s="160">
        <f t="shared" si="29"/>
        <v>0</v>
      </c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2">
        <f t="shared" si="33"/>
        <v>0</v>
      </c>
      <c r="T303" s="167"/>
    </row>
    <row r="304" customHeight="1" spans="2:20">
      <c r="B304" s="166"/>
      <c r="C304" s="164">
        <f t="shared" si="32"/>
        <v>33</v>
      </c>
      <c r="D304" s="158" t="str">
        <f>VLOOKUP(C304,DMSP!$A$1:$C$39,2,0)</f>
        <v>7.KHÁC</v>
      </c>
      <c r="E304" s="159" t="str">
        <f>VLOOKUP(C304,DMSP!$A$1:$C$39,3,0)</f>
        <v>TB PHOS</v>
      </c>
      <c r="F304" s="160">
        <f t="shared" si="29"/>
        <v>0</v>
      </c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2">
        <f t="shared" si="33"/>
        <v>0</v>
      </c>
      <c r="T304" s="167"/>
    </row>
    <row r="305" customHeight="1" spans="2:20">
      <c r="B305" s="166"/>
      <c r="C305" s="164">
        <f t="shared" si="32"/>
        <v>34</v>
      </c>
      <c r="D305" s="158" t="str">
        <f>VLOOKUP(C305,DMSP!$A$1:$C$39,2,0)</f>
        <v>7.KHÁC</v>
      </c>
      <c r="E305" s="159" t="str">
        <f>VLOOKUP(C305,DMSP!$A$1:$C$39,3,0)</f>
        <v>TOBA BÁM DÍNH</v>
      </c>
      <c r="F305" s="160">
        <f t="shared" si="29"/>
        <v>0</v>
      </c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2">
        <f t="shared" si="33"/>
        <v>0</v>
      </c>
      <c r="T305" s="167"/>
    </row>
    <row r="306" customHeight="1" spans="2:20">
      <c r="B306" s="166"/>
      <c r="C306" s="164">
        <f t="shared" si="32"/>
        <v>35</v>
      </c>
      <c r="D306" s="158" t="str">
        <f>VLOOKUP(C306,DMSP!$A$1:$C$39,2,0)</f>
        <v>7.KHÁC</v>
      </c>
      <c r="E306" s="159" t="str">
        <f>VLOOKUP(C306,DMSP!$A$1:$C$39,3,0)</f>
        <v>VỌT HOA NHÃN</v>
      </c>
      <c r="F306" s="160">
        <f t="shared" si="29"/>
        <v>0</v>
      </c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2">
        <f t="shared" si="33"/>
        <v>0</v>
      </c>
      <c r="T306" s="167"/>
    </row>
    <row r="307" customHeight="1" spans="2:20">
      <c r="B307" s="166"/>
      <c r="C307" s="164">
        <f t="shared" si="32"/>
        <v>36</v>
      </c>
      <c r="D307" s="158" t="str">
        <f>VLOOKUP(C307,DMSP!$A$1:$C$39,2,0)</f>
        <v>7.KHÁC</v>
      </c>
      <c r="E307" s="159" t="str">
        <f>VLOOKUP(C307,DMSP!$A$1:$C$39,3,0)</f>
        <v>VỌT HOA XOÀI</v>
      </c>
      <c r="F307" s="160">
        <f t="shared" si="29"/>
        <v>0</v>
      </c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2">
        <f t="shared" si="33"/>
        <v>0</v>
      </c>
      <c r="T307" s="167"/>
    </row>
    <row r="308" customHeight="1" spans="2:20">
      <c r="B308" s="166"/>
      <c r="C308" s="164">
        <f t="shared" si="32"/>
        <v>37</v>
      </c>
      <c r="D308" s="158" t="str">
        <f>VLOOKUP(C308,DMSP!$A$1:$C$39,2,0)</f>
        <v>7.KHÁC</v>
      </c>
      <c r="E308" s="159" t="str">
        <f>VLOOKUP(C308,DMSP!$A$1:$C$39,3,0)</f>
        <v>VỌT HOA XOÀI</v>
      </c>
      <c r="F308" s="160">
        <f t="shared" si="29"/>
        <v>0</v>
      </c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2">
        <f t="shared" si="33"/>
        <v>0</v>
      </c>
      <c r="T308" s="167"/>
    </row>
    <row r="309" customHeight="1" spans="2:20">
      <c r="B309" s="92"/>
      <c r="C309" s="170" t="str">
        <f>B272</f>
        <v>MINH TRIỀU </v>
      </c>
      <c r="D309" s="171"/>
      <c r="E309" s="172" t="str">
        <f>"TOTAL "&amp;B272</f>
        <v>TOTAL MINH TRIỀU </v>
      </c>
      <c r="F309" s="173">
        <f t="shared" si="29"/>
        <v>32</v>
      </c>
      <c r="G309" s="174">
        <f>SUM(G272:G308)</f>
        <v>0</v>
      </c>
      <c r="H309" s="174">
        <f t="shared" ref="H309:R309" si="34">SUM(H272:H308)</f>
        <v>14</v>
      </c>
      <c r="I309" s="174">
        <f t="shared" si="34"/>
        <v>0</v>
      </c>
      <c r="J309" s="174">
        <f t="shared" si="34"/>
        <v>0</v>
      </c>
      <c r="K309" s="174">
        <f t="shared" si="34"/>
        <v>0</v>
      </c>
      <c r="L309" s="174">
        <f t="shared" si="34"/>
        <v>18</v>
      </c>
      <c r="M309" s="174">
        <f t="shared" si="34"/>
        <v>0</v>
      </c>
      <c r="N309" s="174">
        <f t="shared" si="34"/>
        <v>0</v>
      </c>
      <c r="O309" s="174">
        <f t="shared" si="34"/>
        <v>0</v>
      </c>
      <c r="P309" s="174">
        <f t="shared" si="34"/>
        <v>0</v>
      </c>
      <c r="Q309" s="174">
        <f t="shared" si="34"/>
        <v>0</v>
      </c>
      <c r="R309" s="174">
        <f t="shared" si="34"/>
        <v>0</v>
      </c>
      <c r="S309" s="174">
        <f t="shared" si="33"/>
        <v>32</v>
      </c>
      <c r="T309" s="175"/>
    </row>
    <row r="310" customHeight="1" spans="2:20">
      <c r="B310" s="156" t="s">
        <v>21</v>
      </c>
      <c r="C310" s="157">
        <v>1</v>
      </c>
      <c r="D310" s="158" t="str">
        <f>VLOOKUP(C310,DMSP!$A$1:$C$39,2,0)</f>
        <v>1.TOBA XANH</v>
      </c>
      <c r="E310" s="159" t="str">
        <f>VLOOKUP(C310,DMSP!$A$1:$C$39,3,0)</f>
        <v>TOBA XANH</v>
      </c>
      <c r="F310" s="160">
        <f t="shared" si="29"/>
        <v>0</v>
      </c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2">
        <f t="shared" si="33"/>
        <v>0</v>
      </c>
      <c r="T310" s="163">
        <f>S347</f>
        <v>20</v>
      </c>
    </row>
    <row r="311" customHeight="1" spans="2:20">
      <c r="B311" s="166"/>
      <c r="C311" s="164">
        <f t="shared" ref="C311:C346" si="35">C310+1</f>
        <v>2</v>
      </c>
      <c r="D311" s="158" t="str">
        <f>VLOOKUP(C311,DMSP!$A$1:$C$39,2,0)</f>
        <v>2.HC</v>
      </c>
      <c r="E311" s="159" t="str">
        <f>VLOOKUP(C311,DMSP!$A$1:$C$39,3,0)</f>
        <v>HC BOOSTER</v>
      </c>
      <c r="F311" s="160">
        <f t="shared" si="29"/>
        <v>0</v>
      </c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2">
        <f t="shared" ref="S311:S348" si="36">SUM(G311:R311)</f>
        <v>0</v>
      </c>
      <c r="T311" s="167"/>
    </row>
    <row r="312" customHeight="1" spans="2:20">
      <c r="B312" s="166"/>
      <c r="C312" s="164">
        <f t="shared" si="35"/>
        <v>3</v>
      </c>
      <c r="D312" s="158" t="str">
        <f>VLOOKUP(C312,DMSP!$A$1:$C$39,2,0)</f>
        <v>2.HC</v>
      </c>
      <c r="E312" s="159" t="str">
        <f>VLOOKUP(C312,DMSP!$A$1:$C$39,3,0)</f>
        <v>HC KING-ROOT</v>
      </c>
      <c r="F312" s="160">
        <f t="shared" si="29"/>
        <v>0</v>
      </c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2">
        <f t="shared" si="36"/>
        <v>0</v>
      </c>
      <c r="T312" s="167"/>
    </row>
    <row r="313" customHeight="1" spans="2:20">
      <c r="B313" s="166"/>
      <c r="C313" s="164">
        <f t="shared" si="35"/>
        <v>4</v>
      </c>
      <c r="D313" s="158" t="str">
        <f>VLOOKUP(C313,DMSP!$A$1:$C$39,2,0)</f>
        <v>2.HC</v>
      </c>
      <c r="E313" s="159" t="str">
        <f>VLOOKUP(C313,DMSP!$A$1:$C$39,3,0)</f>
        <v>HAPPY FARM</v>
      </c>
      <c r="F313" s="160">
        <f t="shared" si="29"/>
        <v>0</v>
      </c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2">
        <f t="shared" si="36"/>
        <v>0</v>
      </c>
      <c r="T313" s="167"/>
    </row>
    <row r="314" customHeight="1" spans="2:20">
      <c r="B314" s="166"/>
      <c r="C314" s="164">
        <f t="shared" si="35"/>
        <v>5</v>
      </c>
      <c r="D314" s="158" t="str">
        <f>VLOOKUP(C314,DMSP!$A$1:$C$39,2,0)</f>
        <v>2.HC</v>
      </c>
      <c r="E314" s="159" t="str">
        <f>VLOOKUP(C314,DMSP!$A$1:$C$39,3,0)</f>
        <v>WOW</v>
      </c>
      <c r="F314" s="160">
        <f t="shared" si="29"/>
        <v>0</v>
      </c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2">
        <f t="shared" si="36"/>
        <v>0</v>
      </c>
      <c r="T314" s="167"/>
    </row>
    <row r="315" customHeight="1" spans="2:20">
      <c r="B315" s="166"/>
      <c r="C315" s="164">
        <f t="shared" si="35"/>
        <v>6</v>
      </c>
      <c r="D315" s="158" t="str">
        <f>VLOOKUP(C315,DMSP!$A$1:$C$39,2,0)</f>
        <v>3.SPRAY </v>
      </c>
      <c r="E315" s="159" t="str">
        <f>VLOOKUP(C315,DMSP!$A$1:$C$39,3,0)</f>
        <v>KELPIT</v>
      </c>
      <c r="F315" s="160">
        <f t="shared" si="29"/>
        <v>0</v>
      </c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2">
        <f t="shared" si="36"/>
        <v>0</v>
      </c>
      <c r="T315" s="167"/>
    </row>
    <row r="316" customHeight="1" spans="2:20">
      <c r="B316" s="166"/>
      <c r="C316" s="164">
        <f t="shared" si="35"/>
        <v>7</v>
      </c>
      <c r="D316" s="158" t="str">
        <f>VLOOKUP(C316,DMSP!$A$1:$C$39,2,0)</f>
        <v>3.SPRAY </v>
      </c>
      <c r="E316" s="159" t="str">
        <f>VLOOKUP(C316,DMSP!$A$1:$C$39,3,0)</f>
        <v>SI-K</v>
      </c>
      <c r="F316" s="160">
        <f t="shared" si="29"/>
        <v>10</v>
      </c>
      <c r="G316" s="161"/>
      <c r="H316" s="161"/>
      <c r="I316" s="161"/>
      <c r="J316" s="161"/>
      <c r="K316" s="161">
        <v>10</v>
      </c>
      <c r="L316" s="161"/>
      <c r="M316" s="161"/>
      <c r="N316" s="161"/>
      <c r="O316" s="161"/>
      <c r="P316" s="161"/>
      <c r="Q316" s="161"/>
      <c r="R316" s="161"/>
      <c r="S316" s="162">
        <f t="shared" si="36"/>
        <v>10</v>
      </c>
      <c r="T316" s="167"/>
    </row>
    <row r="317" customHeight="1" spans="2:20">
      <c r="B317" s="166"/>
      <c r="C317" s="164">
        <f t="shared" si="35"/>
        <v>8</v>
      </c>
      <c r="D317" s="158" t="str">
        <f>VLOOKUP(C317,DMSP!$A$1:$C$39,2,0)</f>
        <v>3.SPRAY </v>
      </c>
      <c r="E317" s="159" t="str">
        <f>VLOOKUP(C317,DMSP!$A$1:$C$39,3,0)</f>
        <v>SPRAY PHOS 620</v>
      </c>
      <c r="F317" s="160">
        <f t="shared" si="29"/>
        <v>0</v>
      </c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2">
        <f t="shared" si="36"/>
        <v>0</v>
      </c>
      <c r="T317" s="167"/>
    </row>
    <row r="318" customHeight="1" spans="2:20">
      <c r="B318" s="166"/>
      <c r="C318" s="164">
        <f t="shared" si="35"/>
        <v>9</v>
      </c>
      <c r="D318" s="158" t="str">
        <f>VLOOKUP(C318,DMSP!$A$1:$C$39,2,0)</f>
        <v>4.DƯỠNG RỄ</v>
      </c>
      <c r="E318" s="159" t="str">
        <f>VLOOKUP(C318,DMSP!$A$1:$C$39,3,0)</f>
        <v>CHITOSAN</v>
      </c>
      <c r="F318" s="160">
        <f t="shared" si="29"/>
        <v>0</v>
      </c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2">
        <f t="shared" si="36"/>
        <v>0</v>
      </c>
      <c r="T318" s="167"/>
    </row>
    <row r="319" customHeight="1" spans="2:20">
      <c r="B319" s="166"/>
      <c r="C319" s="164">
        <f t="shared" si="35"/>
        <v>10</v>
      </c>
      <c r="D319" s="158" t="str">
        <f>VLOOKUP(C319,DMSP!$A$1:$C$39,2,0)</f>
        <v>4.DƯỠNG RỄ</v>
      </c>
      <c r="E319" s="159" t="str">
        <f>VLOOKUP(C319,DMSP!$A$1:$C$39,3,0)</f>
        <v>ĐẠM CÁ</v>
      </c>
      <c r="F319" s="160">
        <f t="shared" si="29"/>
        <v>0</v>
      </c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2">
        <f t="shared" si="36"/>
        <v>0</v>
      </c>
      <c r="T319" s="167"/>
    </row>
    <row r="320" customHeight="1" spans="2:20">
      <c r="B320" s="166"/>
      <c r="C320" s="164">
        <f t="shared" si="35"/>
        <v>11</v>
      </c>
      <c r="D320" s="158" t="str">
        <f>VLOOKUP(C320,DMSP!$A$1:$C$39,2,0)</f>
        <v>4.DƯỠNG RỄ</v>
      </c>
      <c r="E320" s="159" t="str">
        <f>VLOOKUP(C320,DMSP!$A$1:$C$39,3,0)</f>
        <v>ĐẠM TÔM</v>
      </c>
      <c r="F320" s="160">
        <f t="shared" si="29"/>
        <v>0</v>
      </c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2">
        <f t="shared" si="36"/>
        <v>0</v>
      </c>
      <c r="T320" s="167"/>
    </row>
    <row r="321" customHeight="1" spans="2:20">
      <c r="B321" s="166"/>
      <c r="C321" s="164">
        <f t="shared" si="35"/>
        <v>12</v>
      </c>
      <c r="D321" s="158" t="str">
        <f>VLOOKUP(C321,DMSP!$A$1:$C$39,2,0)</f>
        <v>4.DƯỠNG RỄ</v>
      </c>
      <c r="E321" s="159" t="str">
        <f>VLOOKUP(C321,DMSP!$A$1:$C$39,3,0)</f>
        <v>SUPERMIC</v>
      </c>
      <c r="F321" s="160">
        <f t="shared" si="29"/>
        <v>0</v>
      </c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2">
        <f t="shared" si="36"/>
        <v>0</v>
      </c>
      <c r="T321" s="167"/>
    </row>
    <row r="322" customHeight="1" spans="2:20">
      <c r="B322" s="166"/>
      <c r="C322" s="164">
        <f t="shared" si="35"/>
        <v>13</v>
      </c>
      <c r="D322" s="158" t="str">
        <f>VLOOKUP(C322,DMSP!$A$1:$C$39,2,0)</f>
        <v>5.TRUYỀN THỐNG</v>
      </c>
      <c r="E322" s="159" t="str">
        <f>VLOOKUP(C322,DMSP!$A$1:$C$39,3,0)</f>
        <v>CABO</v>
      </c>
      <c r="F322" s="160">
        <f t="shared" si="29"/>
        <v>0</v>
      </c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2">
        <f t="shared" si="36"/>
        <v>0</v>
      </c>
      <c r="T322" s="167"/>
    </row>
    <row r="323" customHeight="1" spans="2:20">
      <c r="B323" s="166"/>
      <c r="C323" s="164">
        <f t="shared" si="35"/>
        <v>14</v>
      </c>
      <c r="D323" s="158" t="str">
        <f>VLOOKUP(C323,DMSP!$A$1:$C$39,2,0)</f>
        <v>5.TRUYỀN THỐNG</v>
      </c>
      <c r="E323" s="159" t="str">
        <f>VLOOKUP(C323,DMSP!$A$1:$C$39,3,0)</f>
        <v>F94</v>
      </c>
      <c r="F323" s="160">
        <f t="shared" si="29"/>
        <v>0</v>
      </c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2">
        <f t="shared" si="36"/>
        <v>0</v>
      </c>
      <c r="T323" s="167"/>
    </row>
    <row r="324" customHeight="1" spans="2:20">
      <c r="B324" s="166"/>
      <c r="C324" s="164">
        <f t="shared" si="35"/>
        <v>15</v>
      </c>
      <c r="D324" s="158" t="str">
        <f>VLOOKUP(C324,DMSP!$A$1:$C$39,2,0)</f>
        <v>5.TRUYỀN THỐNG</v>
      </c>
      <c r="E324" s="159" t="str">
        <f>VLOOKUP(C324,DMSP!$A$1:$C$39,3,0)</f>
        <v>F95</v>
      </c>
      <c r="F324" s="160">
        <f t="shared" si="29"/>
        <v>0</v>
      </c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2">
        <f t="shared" si="36"/>
        <v>0</v>
      </c>
      <c r="T324" s="167"/>
    </row>
    <row r="325" customHeight="1" spans="2:20">
      <c r="B325" s="166"/>
      <c r="C325" s="164">
        <f t="shared" si="35"/>
        <v>16</v>
      </c>
      <c r="D325" s="158" t="str">
        <f>VLOOKUP(C325,DMSP!$A$1:$C$39,2,0)</f>
        <v>5.TRUYỀN THỐNG</v>
      </c>
      <c r="E325" s="159" t="str">
        <f>VLOOKUP(C325,DMSP!$A$1:$C$39,3,0)</f>
        <v>THIOURE</v>
      </c>
      <c r="F325" s="160">
        <f t="shared" si="29"/>
        <v>0</v>
      </c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2">
        <f t="shared" si="36"/>
        <v>0</v>
      </c>
      <c r="T325" s="167"/>
    </row>
    <row r="326" customHeight="1" spans="2:20">
      <c r="B326" s="166"/>
      <c r="C326" s="164">
        <f t="shared" si="35"/>
        <v>17</v>
      </c>
      <c r="D326" s="158" t="str">
        <f>VLOOKUP(C326,DMSP!$A$1:$C$39,2,0)</f>
        <v>5.TRUYỀN THỐNG</v>
      </c>
      <c r="E326" s="159" t="str">
        <f>VLOOKUP(C326,DMSP!$A$1:$C$39,3,0)</f>
        <v>TOBA JUM</v>
      </c>
      <c r="F326" s="160">
        <f t="shared" si="29"/>
        <v>0</v>
      </c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2">
        <f t="shared" si="36"/>
        <v>0</v>
      </c>
      <c r="T326" s="167"/>
    </row>
    <row r="327" customHeight="1" spans="2:20">
      <c r="B327" s="166"/>
      <c r="C327" s="164">
        <f t="shared" si="35"/>
        <v>18</v>
      </c>
      <c r="D327" s="158" t="str">
        <f>VLOOKUP(C327,DMSP!$A$1:$C$39,2,0)</f>
        <v>5.TRUYỀN THỐNG</v>
      </c>
      <c r="E327" s="159" t="str">
        <f>VLOOKUP(C327,DMSP!$A$1:$C$39,3,0)</f>
        <v>TOBA NET</v>
      </c>
      <c r="F327" s="160">
        <f t="shared" ref="F327:F390" si="37">S327</f>
        <v>0</v>
      </c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2">
        <f t="shared" si="36"/>
        <v>0</v>
      </c>
      <c r="T327" s="167"/>
    </row>
    <row r="328" customHeight="1" spans="2:20">
      <c r="B328" s="166"/>
      <c r="C328" s="164">
        <f t="shared" si="35"/>
        <v>19</v>
      </c>
      <c r="D328" s="158" t="str">
        <f>VLOOKUP(C328,DMSP!$A$1:$C$39,2,0)</f>
        <v>6.BVTV</v>
      </c>
      <c r="E328" s="159" t="str">
        <f>VLOOKUP(C328,DMSP!$A$1:$C$39,3,0)</f>
        <v>ABAFAX 1.8</v>
      </c>
      <c r="F328" s="160">
        <f t="shared" si="37"/>
        <v>0</v>
      </c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2">
        <f t="shared" si="36"/>
        <v>0</v>
      </c>
      <c r="T328" s="167"/>
    </row>
    <row r="329" customHeight="1" spans="2:20">
      <c r="B329" s="166"/>
      <c r="C329" s="164">
        <f t="shared" si="35"/>
        <v>20</v>
      </c>
      <c r="D329" s="158" t="str">
        <f>VLOOKUP(C329,DMSP!$A$1:$C$39,2,0)</f>
        <v>6.BVTV</v>
      </c>
      <c r="E329" s="159" t="str">
        <f>VLOOKUP(C329,DMSP!$A$1:$C$39,3,0)</f>
        <v>ABAFAX 3.6</v>
      </c>
      <c r="F329" s="160">
        <f t="shared" si="37"/>
        <v>0</v>
      </c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2">
        <f t="shared" si="36"/>
        <v>0</v>
      </c>
      <c r="T329" s="167"/>
    </row>
    <row r="330" customHeight="1" spans="2:20">
      <c r="B330" s="166"/>
      <c r="C330" s="164">
        <f t="shared" si="35"/>
        <v>21</v>
      </c>
      <c r="D330" s="158" t="str">
        <f>VLOOKUP(C330,DMSP!$A$1:$C$39,2,0)</f>
        <v>6.BVTV</v>
      </c>
      <c r="E330" s="159" t="str">
        <f>VLOOKUP(C330,DMSP!$A$1:$C$39,3,0)</f>
        <v>AZET</v>
      </c>
      <c r="F330" s="160">
        <f t="shared" si="37"/>
        <v>0</v>
      </c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2">
        <f t="shared" si="36"/>
        <v>0</v>
      </c>
      <c r="T330" s="167"/>
    </row>
    <row r="331" customHeight="1" spans="2:20">
      <c r="B331" s="166"/>
      <c r="C331" s="164">
        <f t="shared" si="35"/>
        <v>22</v>
      </c>
      <c r="D331" s="158" t="str">
        <f>VLOOKUP(C331,DMSP!$A$1:$C$39,2,0)</f>
        <v>6.BVTV</v>
      </c>
      <c r="E331" s="159" t="str">
        <f>VLOOKUP(C331,DMSP!$A$1:$C$39,3,0)</f>
        <v>BACBA</v>
      </c>
      <c r="F331" s="160">
        <f t="shared" si="37"/>
        <v>0</v>
      </c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2">
        <f t="shared" si="36"/>
        <v>0</v>
      </c>
      <c r="T331" s="167"/>
    </row>
    <row r="332" customHeight="1" spans="2:20">
      <c r="B332" s="166"/>
      <c r="C332" s="164">
        <f t="shared" si="35"/>
        <v>23</v>
      </c>
      <c r="D332" s="158" t="str">
        <f>VLOOKUP(C332,DMSP!$A$1:$C$39,2,0)</f>
        <v>6.BVTV</v>
      </c>
      <c r="E332" s="159" t="str">
        <f>VLOOKUP(C332,DMSP!$A$1:$C$39,3,0)</f>
        <v>BIOROSAMIL</v>
      </c>
      <c r="F332" s="160">
        <f t="shared" si="37"/>
        <v>10</v>
      </c>
      <c r="G332" s="161">
        <v>10</v>
      </c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2">
        <f t="shared" si="36"/>
        <v>10</v>
      </c>
      <c r="T332" s="167"/>
    </row>
    <row r="333" customHeight="1" spans="2:20">
      <c r="B333" s="166"/>
      <c r="C333" s="164">
        <f t="shared" si="35"/>
        <v>24</v>
      </c>
      <c r="D333" s="158" t="str">
        <f>VLOOKUP(C333,DMSP!$A$1:$C$39,2,0)</f>
        <v>6.BVTV</v>
      </c>
      <c r="E333" s="159" t="str">
        <f>VLOOKUP(C333,DMSP!$A$1:$C$39,3,0)</f>
        <v>COC 86</v>
      </c>
      <c r="F333" s="160">
        <f t="shared" si="37"/>
        <v>0</v>
      </c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2">
        <f t="shared" si="36"/>
        <v>0</v>
      </c>
      <c r="T333" s="167"/>
    </row>
    <row r="334" customHeight="1" spans="2:20">
      <c r="B334" s="166"/>
      <c r="C334" s="164">
        <f t="shared" si="35"/>
        <v>25</v>
      </c>
      <c r="D334" s="158" t="str">
        <f>VLOOKUP(C334,DMSP!$A$1:$C$39,2,0)</f>
        <v>6.BVTV</v>
      </c>
      <c r="E334" s="159" t="str">
        <f>VLOOKUP(C334,DMSP!$A$1:$C$39,3,0)</f>
        <v>HEXA 5</v>
      </c>
      <c r="F334" s="160">
        <f t="shared" si="37"/>
        <v>0</v>
      </c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2">
        <f t="shared" si="36"/>
        <v>0</v>
      </c>
      <c r="T334" s="167"/>
    </row>
    <row r="335" customHeight="1" spans="2:20">
      <c r="B335" s="166"/>
      <c r="C335" s="164">
        <f t="shared" si="35"/>
        <v>26</v>
      </c>
      <c r="D335" s="158" t="str">
        <f>VLOOKUP(C335,DMSP!$A$1:$C$39,2,0)</f>
        <v>6.BVTV</v>
      </c>
      <c r="E335" s="159" t="str">
        <f>VLOOKUP(C335,DMSP!$A$1:$C$39,3,0)</f>
        <v>TAMALA</v>
      </c>
      <c r="F335" s="160">
        <f t="shared" si="37"/>
        <v>0</v>
      </c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2">
        <f t="shared" si="36"/>
        <v>0</v>
      </c>
      <c r="T335" s="167"/>
    </row>
    <row r="336" customHeight="1" spans="2:20">
      <c r="B336" s="166"/>
      <c r="C336" s="164">
        <f t="shared" si="35"/>
        <v>27</v>
      </c>
      <c r="D336" s="158" t="str">
        <f>VLOOKUP(C336,DMSP!$A$1:$C$39,2,0)</f>
        <v>7.KHÁC</v>
      </c>
      <c r="E336" s="159" t="str">
        <f>VLOOKUP(C336,DMSP!$A$1:$C$39,3,0)</f>
        <v>KẼM VÀNG</v>
      </c>
      <c r="F336" s="160">
        <f t="shared" si="37"/>
        <v>0</v>
      </c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2">
        <f t="shared" si="36"/>
        <v>0</v>
      </c>
      <c r="T336" s="167"/>
    </row>
    <row r="337" customHeight="1" spans="2:20">
      <c r="B337" s="166"/>
      <c r="C337" s="164">
        <f t="shared" si="35"/>
        <v>28</v>
      </c>
      <c r="D337" s="158" t="str">
        <f>VLOOKUP(C337,DMSP!$A$1:$C$39,2,0)</f>
        <v>7.KHÁC</v>
      </c>
      <c r="E337" s="159" t="str">
        <f>VLOOKUP(C337,DMSP!$A$1:$C$39,3,0)</f>
        <v>KHÁC1</v>
      </c>
      <c r="F337" s="160">
        <f t="shared" si="37"/>
        <v>0</v>
      </c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2">
        <f t="shared" si="36"/>
        <v>0</v>
      </c>
      <c r="T337" s="167"/>
    </row>
    <row r="338" customHeight="1" spans="2:20">
      <c r="B338" s="166"/>
      <c r="C338" s="164">
        <f t="shared" si="35"/>
        <v>29</v>
      </c>
      <c r="D338" s="158" t="str">
        <f>VLOOKUP(C338,DMSP!$A$1:$C$39,2,0)</f>
        <v>7.KHÁC</v>
      </c>
      <c r="E338" s="169" t="s">
        <v>13</v>
      </c>
      <c r="F338" s="160">
        <f t="shared" si="37"/>
        <v>0</v>
      </c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2">
        <f t="shared" si="36"/>
        <v>0</v>
      </c>
      <c r="T338" s="167"/>
    </row>
    <row r="339" customHeight="1" spans="2:20">
      <c r="B339" s="166"/>
      <c r="C339" s="164">
        <f t="shared" si="35"/>
        <v>30</v>
      </c>
      <c r="D339" s="158" t="str">
        <f>VLOOKUP(C339,DMSP!$A$1:$C$39,2,0)</f>
        <v>7.KHÁC</v>
      </c>
      <c r="E339" s="159" t="str">
        <f>VLOOKUP(C339,DMSP!$A$1:$C$39,3,0)</f>
        <v>RỬA RONG RÊU</v>
      </c>
      <c r="F339" s="160">
        <f t="shared" si="37"/>
        <v>0</v>
      </c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2">
        <f t="shared" si="36"/>
        <v>0</v>
      </c>
      <c r="T339" s="167"/>
    </row>
    <row r="340" customHeight="1" spans="2:20">
      <c r="B340" s="166"/>
      <c r="C340" s="164">
        <f t="shared" si="35"/>
        <v>31</v>
      </c>
      <c r="D340" s="158" t="str">
        <f>VLOOKUP(C340,DMSP!$A$1:$C$39,2,0)</f>
        <v>7.KHÁC</v>
      </c>
      <c r="E340" s="159" t="str">
        <f>VLOOKUP(C340,DMSP!$A$1:$C$39,3,0)</f>
        <v>TB BO</v>
      </c>
      <c r="F340" s="160">
        <f t="shared" si="37"/>
        <v>0</v>
      </c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2">
        <f t="shared" si="36"/>
        <v>0</v>
      </c>
      <c r="T340" s="167"/>
    </row>
    <row r="341" customHeight="1" spans="2:20">
      <c r="B341" s="166"/>
      <c r="C341" s="164">
        <f t="shared" si="35"/>
        <v>32</v>
      </c>
      <c r="D341" s="158" t="str">
        <f>VLOOKUP(C341,DMSP!$A$1:$C$39,2,0)</f>
        <v>7.KHÁC</v>
      </c>
      <c r="E341" s="159" t="str">
        <f>VLOOKUP(C341,DMSP!$A$1:$C$39,3,0)</f>
        <v>TB FRUIT</v>
      </c>
      <c r="F341" s="160">
        <f t="shared" si="37"/>
        <v>0</v>
      </c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2">
        <f t="shared" si="36"/>
        <v>0</v>
      </c>
      <c r="T341" s="167"/>
    </row>
    <row r="342" customHeight="1" spans="2:20">
      <c r="B342" s="166"/>
      <c r="C342" s="164">
        <f t="shared" si="35"/>
        <v>33</v>
      </c>
      <c r="D342" s="158" t="str">
        <f>VLOOKUP(C342,DMSP!$A$1:$C$39,2,0)</f>
        <v>7.KHÁC</v>
      </c>
      <c r="E342" s="159" t="str">
        <f>VLOOKUP(C342,DMSP!$A$1:$C$39,3,0)</f>
        <v>TB PHOS</v>
      </c>
      <c r="F342" s="160">
        <f t="shared" si="37"/>
        <v>0</v>
      </c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2">
        <f t="shared" si="36"/>
        <v>0</v>
      </c>
      <c r="T342" s="167"/>
    </row>
    <row r="343" customHeight="1" spans="2:20">
      <c r="B343" s="166"/>
      <c r="C343" s="164">
        <f t="shared" si="35"/>
        <v>34</v>
      </c>
      <c r="D343" s="158" t="str">
        <f>VLOOKUP(C343,DMSP!$A$1:$C$39,2,0)</f>
        <v>7.KHÁC</v>
      </c>
      <c r="E343" s="159" t="str">
        <f>VLOOKUP(C343,DMSP!$A$1:$C$39,3,0)</f>
        <v>TOBA BÁM DÍNH</v>
      </c>
      <c r="F343" s="160">
        <f t="shared" si="37"/>
        <v>0</v>
      </c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2">
        <f t="shared" si="36"/>
        <v>0</v>
      </c>
      <c r="T343" s="167"/>
    </row>
    <row r="344" customHeight="1" spans="2:20">
      <c r="B344" s="166"/>
      <c r="C344" s="164">
        <f t="shared" si="35"/>
        <v>35</v>
      </c>
      <c r="D344" s="158" t="str">
        <f>VLOOKUP(C344,DMSP!$A$1:$C$39,2,0)</f>
        <v>7.KHÁC</v>
      </c>
      <c r="E344" s="159" t="str">
        <f>VLOOKUP(C344,DMSP!$A$1:$C$39,3,0)</f>
        <v>VỌT HOA NHÃN</v>
      </c>
      <c r="F344" s="160">
        <f t="shared" si="37"/>
        <v>0</v>
      </c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2">
        <f t="shared" si="36"/>
        <v>0</v>
      </c>
      <c r="T344" s="167"/>
    </row>
    <row r="345" customHeight="1" spans="2:20">
      <c r="B345" s="166"/>
      <c r="C345" s="164">
        <f t="shared" si="35"/>
        <v>36</v>
      </c>
      <c r="D345" s="158" t="str">
        <f>VLOOKUP(C345,DMSP!$A$1:$C$39,2,0)</f>
        <v>7.KHÁC</v>
      </c>
      <c r="E345" s="159" t="str">
        <f>VLOOKUP(C345,DMSP!$A$1:$C$39,3,0)</f>
        <v>VỌT HOA XOÀI</v>
      </c>
      <c r="F345" s="160">
        <f t="shared" si="37"/>
        <v>0</v>
      </c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2">
        <f t="shared" si="36"/>
        <v>0</v>
      </c>
      <c r="T345" s="167"/>
    </row>
    <row r="346" customHeight="1" spans="2:20">
      <c r="B346" s="166"/>
      <c r="C346" s="164">
        <f t="shared" si="35"/>
        <v>37</v>
      </c>
      <c r="D346" s="158" t="str">
        <f>VLOOKUP(C346,DMSP!$A$1:$C$39,2,0)</f>
        <v>7.KHÁC</v>
      </c>
      <c r="E346" s="159" t="str">
        <f>VLOOKUP(C346,DMSP!$A$1:$C$39,3,0)</f>
        <v>VỌT HOA XOÀI</v>
      </c>
      <c r="F346" s="160">
        <f t="shared" si="37"/>
        <v>0</v>
      </c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2">
        <f t="shared" si="36"/>
        <v>0</v>
      </c>
      <c r="T346" s="167"/>
    </row>
    <row r="347" customHeight="1" spans="2:20">
      <c r="B347" s="92"/>
      <c r="C347" s="170" t="str">
        <f>B310</f>
        <v>THÀNH ĐẠT </v>
      </c>
      <c r="D347" s="171"/>
      <c r="E347" s="172" t="str">
        <f>"TOTAL "&amp;B310</f>
        <v>TOTAL THÀNH ĐẠT </v>
      </c>
      <c r="F347" s="173">
        <f t="shared" si="37"/>
        <v>20</v>
      </c>
      <c r="G347" s="174">
        <f>SUM(G310:G346)</f>
        <v>10</v>
      </c>
      <c r="H347" s="174">
        <f t="shared" ref="H347:R347" si="38">SUM(H310:H346)</f>
        <v>0</v>
      </c>
      <c r="I347" s="174">
        <f t="shared" si="38"/>
        <v>0</v>
      </c>
      <c r="J347" s="174">
        <f t="shared" si="38"/>
        <v>0</v>
      </c>
      <c r="K347" s="174">
        <f t="shared" si="38"/>
        <v>10</v>
      </c>
      <c r="L347" s="174">
        <f t="shared" si="38"/>
        <v>0</v>
      </c>
      <c r="M347" s="174">
        <f t="shared" si="38"/>
        <v>0</v>
      </c>
      <c r="N347" s="174">
        <f t="shared" si="38"/>
        <v>0</v>
      </c>
      <c r="O347" s="174">
        <f t="shared" si="38"/>
        <v>0</v>
      </c>
      <c r="P347" s="174">
        <f t="shared" si="38"/>
        <v>0</v>
      </c>
      <c r="Q347" s="174">
        <f t="shared" si="38"/>
        <v>0</v>
      </c>
      <c r="R347" s="174">
        <f t="shared" si="38"/>
        <v>0</v>
      </c>
      <c r="S347" s="174">
        <f t="shared" si="36"/>
        <v>20</v>
      </c>
      <c r="T347" s="175"/>
    </row>
    <row r="348" customHeight="1" spans="2:20">
      <c r="B348" s="156" t="s">
        <v>22</v>
      </c>
      <c r="C348" s="157">
        <v>1</v>
      </c>
      <c r="D348" s="158" t="str">
        <f>VLOOKUP(C348,DMSP!$A$1:$C$39,2,0)</f>
        <v>1.TOBA XANH</v>
      </c>
      <c r="E348" s="159" t="str">
        <f>VLOOKUP(C348,DMSP!$A$1:$C$39,3,0)</f>
        <v>TOBA XANH</v>
      </c>
      <c r="F348" s="160">
        <f t="shared" si="37"/>
        <v>0</v>
      </c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2">
        <f t="shared" si="36"/>
        <v>0</v>
      </c>
      <c r="T348" s="163">
        <f>S385</f>
        <v>80</v>
      </c>
    </row>
    <row r="349" customHeight="1" spans="2:20">
      <c r="B349" s="166"/>
      <c r="C349" s="164">
        <f t="shared" ref="C349:C384" si="39">C348+1</f>
        <v>2</v>
      </c>
      <c r="D349" s="158" t="str">
        <f>VLOOKUP(C349,DMSP!$A$1:$C$39,2,0)</f>
        <v>2.HC</v>
      </c>
      <c r="E349" s="159" t="str">
        <f>VLOOKUP(C349,DMSP!$A$1:$C$39,3,0)</f>
        <v>HC BOOSTER</v>
      </c>
      <c r="F349" s="160">
        <f t="shared" si="37"/>
        <v>6</v>
      </c>
      <c r="G349" s="161">
        <v>6</v>
      </c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2">
        <f t="shared" ref="S349:S386" si="40">SUM(G349:R349)</f>
        <v>6</v>
      </c>
      <c r="T349" s="167"/>
    </row>
    <row r="350" customHeight="1" spans="2:20">
      <c r="B350" s="166"/>
      <c r="C350" s="164">
        <f t="shared" si="39"/>
        <v>3</v>
      </c>
      <c r="D350" s="158" t="str">
        <f>VLOOKUP(C350,DMSP!$A$1:$C$39,2,0)</f>
        <v>2.HC</v>
      </c>
      <c r="E350" s="159" t="str">
        <f>VLOOKUP(C350,DMSP!$A$1:$C$39,3,0)</f>
        <v>HC KING-ROOT</v>
      </c>
      <c r="F350" s="160">
        <f t="shared" si="37"/>
        <v>0</v>
      </c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2">
        <f t="shared" si="40"/>
        <v>0</v>
      </c>
      <c r="T350" s="167"/>
    </row>
    <row r="351" customHeight="1" spans="2:20">
      <c r="B351" s="166"/>
      <c r="C351" s="164">
        <f t="shared" si="39"/>
        <v>4</v>
      </c>
      <c r="D351" s="158" t="str">
        <f>VLOOKUP(C351,DMSP!$A$1:$C$39,2,0)</f>
        <v>2.HC</v>
      </c>
      <c r="E351" s="159" t="str">
        <f>VLOOKUP(C351,DMSP!$A$1:$C$39,3,0)</f>
        <v>HAPPY FARM</v>
      </c>
      <c r="F351" s="160">
        <f t="shared" si="37"/>
        <v>6</v>
      </c>
      <c r="G351" s="161">
        <v>6</v>
      </c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2">
        <f t="shared" si="40"/>
        <v>6</v>
      </c>
      <c r="T351" s="167"/>
    </row>
    <row r="352" customHeight="1" spans="2:20">
      <c r="B352" s="166"/>
      <c r="C352" s="164">
        <f t="shared" si="39"/>
        <v>5</v>
      </c>
      <c r="D352" s="158" t="str">
        <f>VLOOKUP(C352,DMSP!$A$1:$C$39,2,0)</f>
        <v>2.HC</v>
      </c>
      <c r="E352" s="159" t="str">
        <f>VLOOKUP(C352,DMSP!$A$1:$C$39,3,0)</f>
        <v>WOW</v>
      </c>
      <c r="F352" s="160">
        <f t="shared" si="37"/>
        <v>0</v>
      </c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2">
        <f t="shared" si="40"/>
        <v>0</v>
      </c>
      <c r="T352" s="167"/>
    </row>
    <row r="353" customHeight="1" spans="2:20">
      <c r="B353" s="166"/>
      <c r="C353" s="164">
        <f t="shared" si="39"/>
        <v>6</v>
      </c>
      <c r="D353" s="158" t="str">
        <f>VLOOKUP(C353,DMSP!$A$1:$C$39,2,0)</f>
        <v>3.SPRAY </v>
      </c>
      <c r="E353" s="159" t="str">
        <f>VLOOKUP(C353,DMSP!$A$1:$C$39,3,0)</f>
        <v>KELPIT</v>
      </c>
      <c r="F353" s="160">
        <f t="shared" si="37"/>
        <v>0</v>
      </c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2">
        <f t="shared" si="40"/>
        <v>0</v>
      </c>
      <c r="T353" s="167"/>
    </row>
    <row r="354" customHeight="1" spans="2:20">
      <c r="B354" s="166"/>
      <c r="C354" s="164">
        <f t="shared" si="39"/>
        <v>7</v>
      </c>
      <c r="D354" s="158" t="str">
        <f>VLOOKUP(C354,DMSP!$A$1:$C$39,2,0)</f>
        <v>3.SPRAY </v>
      </c>
      <c r="E354" s="159" t="str">
        <f>VLOOKUP(C354,DMSP!$A$1:$C$39,3,0)</f>
        <v>SI-K</v>
      </c>
      <c r="F354" s="160">
        <f t="shared" si="37"/>
        <v>0</v>
      </c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2">
        <f t="shared" si="40"/>
        <v>0</v>
      </c>
      <c r="T354" s="167"/>
    </row>
    <row r="355" customHeight="1" spans="2:20">
      <c r="B355" s="166"/>
      <c r="C355" s="164">
        <f t="shared" si="39"/>
        <v>8</v>
      </c>
      <c r="D355" s="158" t="str">
        <f>VLOOKUP(C355,DMSP!$A$1:$C$39,2,0)</f>
        <v>3.SPRAY </v>
      </c>
      <c r="E355" s="159" t="str">
        <f>VLOOKUP(C355,DMSP!$A$1:$C$39,3,0)</f>
        <v>SPRAY PHOS 620</v>
      </c>
      <c r="F355" s="160">
        <f t="shared" si="37"/>
        <v>56</v>
      </c>
      <c r="G355" s="161"/>
      <c r="H355" s="161"/>
      <c r="I355" s="161"/>
      <c r="J355" s="161"/>
      <c r="K355" s="161">
        <v>14</v>
      </c>
      <c r="L355" s="161"/>
      <c r="M355" s="161">
        <v>14</v>
      </c>
      <c r="N355" s="161"/>
      <c r="O355" s="161"/>
      <c r="P355" s="161">
        <v>14</v>
      </c>
      <c r="Q355" s="161">
        <v>14</v>
      </c>
      <c r="R355" s="161"/>
      <c r="S355" s="162">
        <f t="shared" si="40"/>
        <v>56</v>
      </c>
      <c r="T355" s="167"/>
    </row>
    <row r="356" customHeight="1" spans="2:20">
      <c r="B356" s="166"/>
      <c r="C356" s="164">
        <f t="shared" si="39"/>
        <v>9</v>
      </c>
      <c r="D356" s="158" t="str">
        <f>VLOOKUP(C356,DMSP!$A$1:$C$39,2,0)</f>
        <v>4.DƯỠNG RỄ</v>
      </c>
      <c r="E356" s="159" t="str">
        <f>VLOOKUP(C356,DMSP!$A$1:$C$39,3,0)</f>
        <v>CHITOSAN</v>
      </c>
      <c r="F356" s="160">
        <f t="shared" si="37"/>
        <v>0</v>
      </c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2">
        <f t="shared" si="40"/>
        <v>0</v>
      </c>
      <c r="T356" s="167"/>
    </row>
    <row r="357" customHeight="1" spans="2:20">
      <c r="B357" s="166"/>
      <c r="C357" s="164">
        <f t="shared" si="39"/>
        <v>10</v>
      </c>
      <c r="D357" s="158" t="str">
        <f>VLOOKUP(C357,DMSP!$A$1:$C$39,2,0)</f>
        <v>4.DƯỠNG RỄ</v>
      </c>
      <c r="E357" s="159" t="str">
        <f>VLOOKUP(C357,DMSP!$A$1:$C$39,3,0)</f>
        <v>ĐẠM CÁ</v>
      </c>
      <c r="F357" s="160">
        <f t="shared" si="37"/>
        <v>0</v>
      </c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2">
        <f t="shared" si="40"/>
        <v>0</v>
      </c>
      <c r="T357" s="167"/>
    </row>
    <row r="358" customHeight="1" spans="2:20">
      <c r="B358" s="166"/>
      <c r="C358" s="164">
        <f t="shared" si="39"/>
        <v>11</v>
      </c>
      <c r="D358" s="158" t="str">
        <f>VLOOKUP(C358,DMSP!$A$1:$C$39,2,0)</f>
        <v>4.DƯỠNG RỄ</v>
      </c>
      <c r="E358" s="159" t="str">
        <f>VLOOKUP(C358,DMSP!$A$1:$C$39,3,0)</f>
        <v>ĐẠM TÔM</v>
      </c>
      <c r="F358" s="160">
        <f t="shared" si="37"/>
        <v>0</v>
      </c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2">
        <f t="shared" si="40"/>
        <v>0</v>
      </c>
      <c r="T358" s="167"/>
    </row>
    <row r="359" customHeight="1" spans="2:20">
      <c r="B359" s="166"/>
      <c r="C359" s="164">
        <f t="shared" si="39"/>
        <v>12</v>
      </c>
      <c r="D359" s="158" t="str">
        <f>VLOOKUP(C359,DMSP!$A$1:$C$39,2,0)</f>
        <v>4.DƯỠNG RỄ</v>
      </c>
      <c r="E359" s="159" t="str">
        <f>VLOOKUP(C359,DMSP!$A$1:$C$39,3,0)</f>
        <v>SUPERMIC</v>
      </c>
      <c r="F359" s="160">
        <f t="shared" si="37"/>
        <v>2</v>
      </c>
      <c r="G359" s="161">
        <v>2</v>
      </c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2">
        <f t="shared" si="40"/>
        <v>2</v>
      </c>
      <c r="T359" s="167"/>
    </row>
    <row r="360" customHeight="1" spans="2:20">
      <c r="B360" s="166"/>
      <c r="C360" s="164">
        <f t="shared" si="39"/>
        <v>13</v>
      </c>
      <c r="D360" s="158" t="str">
        <f>VLOOKUP(C360,DMSP!$A$1:$C$39,2,0)</f>
        <v>5.TRUYỀN THỐNG</v>
      </c>
      <c r="E360" s="159" t="str">
        <f>VLOOKUP(C360,DMSP!$A$1:$C$39,3,0)</f>
        <v>CABO</v>
      </c>
      <c r="F360" s="160">
        <f t="shared" si="37"/>
        <v>0</v>
      </c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2">
        <f t="shared" si="40"/>
        <v>0</v>
      </c>
      <c r="T360" s="167"/>
    </row>
    <row r="361" customHeight="1" spans="2:20">
      <c r="B361" s="166"/>
      <c r="C361" s="164">
        <f t="shared" si="39"/>
        <v>14</v>
      </c>
      <c r="D361" s="158" t="str">
        <f>VLOOKUP(C361,DMSP!$A$1:$C$39,2,0)</f>
        <v>5.TRUYỀN THỐNG</v>
      </c>
      <c r="E361" s="159" t="str">
        <f>VLOOKUP(C361,DMSP!$A$1:$C$39,3,0)</f>
        <v>F94</v>
      </c>
      <c r="F361" s="160">
        <f t="shared" si="37"/>
        <v>0</v>
      </c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2">
        <f t="shared" si="40"/>
        <v>0</v>
      </c>
      <c r="T361" s="167"/>
    </row>
    <row r="362" customHeight="1" spans="2:20">
      <c r="B362" s="166"/>
      <c r="C362" s="164">
        <f t="shared" si="39"/>
        <v>15</v>
      </c>
      <c r="D362" s="158" t="str">
        <f>VLOOKUP(C362,DMSP!$A$1:$C$39,2,0)</f>
        <v>5.TRUYỀN THỐNG</v>
      </c>
      <c r="E362" s="159" t="str">
        <f>VLOOKUP(C362,DMSP!$A$1:$C$39,3,0)</f>
        <v>F95</v>
      </c>
      <c r="F362" s="160">
        <f t="shared" si="37"/>
        <v>0</v>
      </c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2">
        <f t="shared" si="40"/>
        <v>0</v>
      </c>
      <c r="T362" s="167"/>
    </row>
    <row r="363" customHeight="1" spans="2:20">
      <c r="B363" s="166"/>
      <c r="C363" s="164">
        <f t="shared" si="39"/>
        <v>16</v>
      </c>
      <c r="D363" s="158" t="str">
        <f>VLOOKUP(C363,DMSP!$A$1:$C$39,2,0)</f>
        <v>5.TRUYỀN THỐNG</v>
      </c>
      <c r="E363" s="159" t="str">
        <f>VLOOKUP(C363,DMSP!$A$1:$C$39,3,0)</f>
        <v>THIOURE</v>
      </c>
      <c r="F363" s="160">
        <f t="shared" si="37"/>
        <v>0</v>
      </c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2">
        <f t="shared" si="40"/>
        <v>0</v>
      </c>
      <c r="T363" s="167"/>
    </row>
    <row r="364" customHeight="1" spans="2:20">
      <c r="B364" s="166"/>
      <c r="C364" s="164">
        <f t="shared" si="39"/>
        <v>17</v>
      </c>
      <c r="D364" s="158" t="str">
        <f>VLOOKUP(C364,DMSP!$A$1:$C$39,2,0)</f>
        <v>5.TRUYỀN THỐNG</v>
      </c>
      <c r="E364" s="159" t="str">
        <f>VLOOKUP(C364,DMSP!$A$1:$C$39,3,0)</f>
        <v>TOBA JUM</v>
      </c>
      <c r="F364" s="160">
        <f t="shared" si="37"/>
        <v>0</v>
      </c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2">
        <f t="shared" si="40"/>
        <v>0</v>
      </c>
      <c r="T364" s="167"/>
    </row>
    <row r="365" customHeight="1" spans="2:20">
      <c r="B365" s="166"/>
      <c r="C365" s="164">
        <f t="shared" si="39"/>
        <v>18</v>
      </c>
      <c r="D365" s="158" t="str">
        <f>VLOOKUP(C365,DMSP!$A$1:$C$39,2,0)</f>
        <v>5.TRUYỀN THỐNG</v>
      </c>
      <c r="E365" s="159" t="str">
        <f>VLOOKUP(C365,DMSP!$A$1:$C$39,3,0)</f>
        <v>TOBA NET</v>
      </c>
      <c r="F365" s="160">
        <f t="shared" si="37"/>
        <v>0</v>
      </c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2">
        <f t="shared" si="40"/>
        <v>0</v>
      </c>
      <c r="T365" s="167"/>
    </row>
    <row r="366" customHeight="1" spans="2:20">
      <c r="B366" s="166"/>
      <c r="C366" s="164">
        <f t="shared" si="39"/>
        <v>19</v>
      </c>
      <c r="D366" s="158" t="str">
        <f>VLOOKUP(C366,DMSP!$A$1:$C$39,2,0)</f>
        <v>6.BVTV</v>
      </c>
      <c r="E366" s="159" t="str">
        <f>VLOOKUP(C366,DMSP!$A$1:$C$39,3,0)</f>
        <v>ABAFAX 1.8</v>
      </c>
      <c r="F366" s="160">
        <f t="shared" si="37"/>
        <v>0</v>
      </c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2">
        <f t="shared" si="40"/>
        <v>0</v>
      </c>
      <c r="T366" s="167"/>
    </row>
    <row r="367" customHeight="1" spans="2:20">
      <c r="B367" s="166"/>
      <c r="C367" s="164">
        <f t="shared" si="39"/>
        <v>20</v>
      </c>
      <c r="D367" s="158" t="str">
        <f>VLOOKUP(C367,DMSP!$A$1:$C$39,2,0)</f>
        <v>6.BVTV</v>
      </c>
      <c r="E367" s="159" t="str">
        <f>VLOOKUP(C367,DMSP!$A$1:$C$39,3,0)</f>
        <v>ABAFAX 3.6</v>
      </c>
      <c r="F367" s="160">
        <f t="shared" si="37"/>
        <v>0</v>
      </c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2">
        <f t="shared" si="40"/>
        <v>0</v>
      </c>
      <c r="T367" s="167"/>
    </row>
    <row r="368" customHeight="1" spans="2:20">
      <c r="B368" s="166"/>
      <c r="C368" s="164">
        <f t="shared" si="39"/>
        <v>21</v>
      </c>
      <c r="D368" s="158" t="str">
        <f>VLOOKUP(C368,DMSP!$A$1:$C$39,2,0)</f>
        <v>6.BVTV</v>
      </c>
      <c r="E368" s="159" t="str">
        <f>VLOOKUP(C368,DMSP!$A$1:$C$39,3,0)</f>
        <v>AZET</v>
      </c>
      <c r="F368" s="160">
        <f t="shared" si="37"/>
        <v>0</v>
      </c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2">
        <f t="shared" si="40"/>
        <v>0</v>
      </c>
      <c r="T368" s="167"/>
    </row>
    <row r="369" customHeight="1" spans="2:20">
      <c r="B369" s="166"/>
      <c r="C369" s="164">
        <f t="shared" si="39"/>
        <v>22</v>
      </c>
      <c r="D369" s="158" t="str">
        <f>VLOOKUP(C369,DMSP!$A$1:$C$39,2,0)</f>
        <v>6.BVTV</v>
      </c>
      <c r="E369" s="159" t="str">
        <f>VLOOKUP(C369,DMSP!$A$1:$C$39,3,0)</f>
        <v>BACBA</v>
      </c>
      <c r="F369" s="160">
        <f t="shared" si="37"/>
        <v>0</v>
      </c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2">
        <f t="shared" si="40"/>
        <v>0</v>
      </c>
      <c r="T369" s="167"/>
    </row>
    <row r="370" customHeight="1" spans="2:20">
      <c r="B370" s="166"/>
      <c r="C370" s="164">
        <f t="shared" si="39"/>
        <v>23</v>
      </c>
      <c r="D370" s="158" t="str">
        <f>VLOOKUP(C370,DMSP!$A$1:$C$39,2,0)</f>
        <v>6.BVTV</v>
      </c>
      <c r="E370" s="159" t="str">
        <f>VLOOKUP(C370,DMSP!$A$1:$C$39,3,0)</f>
        <v>BIOROSAMIL</v>
      </c>
      <c r="F370" s="160">
        <f t="shared" si="37"/>
        <v>10</v>
      </c>
      <c r="G370" s="161"/>
      <c r="H370" s="161"/>
      <c r="I370" s="161"/>
      <c r="J370" s="161"/>
      <c r="K370" s="161"/>
      <c r="L370" s="161"/>
      <c r="M370" s="161"/>
      <c r="N370" s="161"/>
      <c r="O370" s="161"/>
      <c r="P370" s="161">
        <v>5</v>
      </c>
      <c r="Q370" s="161">
        <v>5</v>
      </c>
      <c r="R370" s="161"/>
      <c r="S370" s="162">
        <f t="shared" si="40"/>
        <v>10</v>
      </c>
      <c r="T370" s="167"/>
    </row>
    <row r="371" customHeight="1" spans="2:20">
      <c r="B371" s="166"/>
      <c r="C371" s="164">
        <f t="shared" si="39"/>
        <v>24</v>
      </c>
      <c r="D371" s="158" t="str">
        <f>VLOOKUP(C371,DMSP!$A$1:$C$39,2,0)</f>
        <v>6.BVTV</v>
      </c>
      <c r="E371" s="159" t="str">
        <f>VLOOKUP(C371,DMSP!$A$1:$C$39,3,0)</f>
        <v>COC 86</v>
      </c>
      <c r="F371" s="160">
        <f t="shared" si="37"/>
        <v>0</v>
      </c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2">
        <f t="shared" si="40"/>
        <v>0</v>
      </c>
      <c r="T371" s="167"/>
    </row>
    <row r="372" customHeight="1" spans="2:20">
      <c r="B372" s="166"/>
      <c r="C372" s="164">
        <f t="shared" si="39"/>
        <v>25</v>
      </c>
      <c r="D372" s="158" t="str">
        <f>VLOOKUP(C372,DMSP!$A$1:$C$39,2,0)</f>
        <v>6.BVTV</v>
      </c>
      <c r="E372" s="159" t="str">
        <f>VLOOKUP(C372,DMSP!$A$1:$C$39,3,0)</f>
        <v>HEXA 5</v>
      </c>
      <c r="F372" s="160">
        <f t="shared" si="37"/>
        <v>0</v>
      </c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2">
        <f t="shared" si="40"/>
        <v>0</v>
      </c>
      <c r="T372" s="167"/>
    </row>
    <row r="373" customHeight="1" spans="2:20">
      <c r="B373" s="166"/>
      <c r="C373" s="164">
        <f t="shared" si="39"/>
        <v>26</v>
      </c>
      <c r="D373" s="158" t="str">
        <f>VLOOKUP(C373,DMSP!$A$1:$C$39,2,0)</f>
        <v>6.BVTV</v>
      </c>
      <c r="E373" s="159" t="str">
        <f>VLOOKUP(C373,DMSP!$A$1:$C$39,3,0)</f>
        <v>TAMALA</v>
      </c>
      <c r="F373" s="160">
        <f t="shared" si="37"/>
        <v>0</v>
      </c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2">
        <f t="shared" si="40"/>
        <v>0</v>
      </c>
      <c r="T373" s="167"/>
    </row>
    <row r="374" customHeight="1" spans="2:20">
      <c r="B374" s="166"/>
      <c r="C374" s="164">
        <f t="shared" si="39"/>
        <v>27</v>
      </c>
      <c r="D374" s="158" t="str">
        <f>VLOOKUP(C374,DMSP!$A$1:$C$39,2,0)</f>
        <v>7.KHÁC</v>
      </c>
      <c r="E374" s="159" t="str">
        <f>VLOOKUP(C374,DMSP!$A$1:$C$39,3,0)</f>
        <v>KẼM VÀNG</v>
      </c>
      <c r="F374" s="160">
        <f t="shared" si="37"/>
        <v>0</v>
      </c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2">
        <f t="shared" si="40"/>
        <v>0</v>
      </c>
      <c r="T374" s="167"/>
    </row>
    <row r="375" customHeight="1" spans="2:20">
      <c r="B375" s="166"/>
      <c r="C375" s="164">
        <f t="shared" si="39"/>
        <v>28</v>
      </c>
      <c r="D375" s="158" t="str">
        <f>VLOOKUP(C375,DMSP!$A$1:$C$39,2,0)</f>
        <v>7.KHÁC</v>
      </c>
      <c r="E375" s="159" t="str">
        <f>VLOOKUP(C375,DMSP!$A$1:$C$39,3,0)</f>
        <v>KHÁC1</v>
      </c>
      <c r="F375" s="160">
        <f t="shared" si="37"/>
        <v>0</v>
      </c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2">
        <f t="shared" si="40"/>
        <v>0</v>
      </c>
      <c r="T375" s="167"/>
    </row>
    <row r="376" customHeight="1" spans="2:20">
      <c r="B376" s="166"/>
      <c r="C376" s="164">
        <f t="shared" si="39"/>
        <v>29</v>
      </c>
      <c r="D376" s="158" t="str">
        <f>VLOOKUP(C376,DMSP!$A$1:$C$39,2,0)</f>
        <v>7.KHÁC</v>
      </c>
      <c r="E376" s="169" t="s">
        <v>13</v>
      </c>
      <c r="F376" s="160">
        <f t="shared" si="37"/>
        <v>0</v>
      </c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2">
        <f t="shared" si="40"/>
        <v>0</v>
      </c>
      <c r="T376" s="167"/>
    </row>
    <row r="377" customHeight="1" spans="2:20">
      <c r="B377" s="166"/>
      <c r="C377" s="164">
        <f t="shared" si="39"/>
        <v>30</v>
      </c>
      <c r="D377" s="158" t="str">
        <f>VLOOKUP(C377,DMSP!$A$1:$C$39,2,0)</f>
        <v>7.KHÁC</v>
      </c>
      <c r="E377" s="159" t="str">
        <f>VLOOKUP(C377,DMSP!$A$1:$C$39,3,0)</f>
        <v>RỬA RONG RÊU</v>
      </c>
      <c r="F377" s="160">
        <f t="shared" si="37"/>
        <v>0</v>
      </c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2">
        <f t="shared" si="40"/>
        <v>0</v>
      </c>
      <c r="T377" s="167"/>
    </row>
    <row r="378" customHeight="1" spans="2:20">
      <c r="B378" s="166"/>
      <c r="C378" s="164">
        <f t="shared" si="39"/>
        <v>31</v>
      </c>
      <c r="D378" s="158" t="str">
        <f>VLOOKUP(C378,DMSP!$A$1:$C$39,2,0)</f>
        <v>7.KHÁC</v>
      </c>
      <c r="E378" s="159" t="str">
        <f>VLOOKUP(C378,DMSP!$A$1:$C$39,3,0)</f>
        <v>TB BO</v>
      </c>
      <c r="F378" s="160">
        <f t="shared" si="37"/>
        <v>0</v>
      </c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2">
        <f t="shared" si="40"/>
        <v>0</v>
      </c>
      <c r="T378" s="167"/>
    </row>
    <row r="379" customHeight="1" spans="2:20">
      <c r="B379" s="166"/>
      <c r="C379" s="164">
        <f t="shared" si="39"/>
        <v>32</v>
      </c>
      <c r="D379" s="158" t="str">
        <f>VLOOKUP(C379,DMSP!$A$1:$C$39,2,0)</f>
        <v>7.KHÁC</v>
      </c>
      <c r="E379" s="159" t="str">
        <f>VLOOKUP(C379,DMSP!$A$1:$C$39,3,0)</f>
        <v>TB FRUIT</v>
      </c>
      <c r="F379" s="160">
        <f t="shared" si="37"/>
        <v>0</v>
      </c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2">
        <f t="shared" si="40"/>
        <v>0</v>
      </c>
      <c r="T379" s="167"/>
    </row>
    <row r="380" customHeight="1" spans="2:20">
      <c r="B380" s="166"/>
      <c r="C380" s="164">
        <f t="shared" si="39"/>
        <v>33</v>
      </c>
      <c r="D380" s="158" t="str">
        <f>VLOOKUP(C380,DMSP!$A$1:$C$39,2,0)</f>
        <v>7.KHÁC</v>
      </c>
      <c r="E380" s="159" t="str">
        <f>VLOOKUP(C380,DMSP!$A$1:$C$39,3,0)</f>
        <v>TB PHOS</v>
      </c>
      <c r="F380" s="160">
        <f t="shared" si="37"/>
        <v>0</v>
      </c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2">
        <f t="shared" si="40"/>
        <v>0</v>
      </c>
      <c r="T380" s="167"/>
    </row>
    <row r="381" customHeight="1" spans="2:20">
      <c r="B381" s="166"/>
      <c r="C381" s="164">
        <f t="shared" si="39"/>
        <v>34</v>
      </c>
      <c r="D381" s="158" t="str">
        <f>VLOOKUP(C381,DMSP!$A$1:$C$39,2,0)</f>
        <v>7.KHÁC</v>
      </c>
      <c r="E381" s="159" t="str">
        <f>VLOOKUP(C381,DMSP!$A$1:$C$39,3,0)</f>
        <v>TOBA BÁM DÍNH</v>
      </c>
      <c r="F381" s="160">
        <f t="shared" si="37"/>
        <v>0</v>
      </c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2">
        <f t="shared" si="40"/>
        <v>0</v>
      </c>
      <c r="T381" s="167"/>
    </row>
    <row r="382" customHeight="1" spans="2:20">
      <c r="B382" s="166"/>
      <c r="C382" s="164">
        <f t="shared" si="39"/>
        <v>35</v>
      </c>
      <c r="D382" s="158" t="str">
        <f>VLOOKUP(C382,DMSP!$A$1:$C$39,2,0)</f>
        <v>7.KHÁC</v>
      </c>
      <c r="E382" s="159" t="str">
        <f>VLOOKUP(C382,DMSP!$A$1:$C$39,3,0)</f>
        <v>VỌT HOA NHÃN</v>
      </c>
      <c r="F382" s="160">
        <f t="shared" si="37"/>
        <v>0</v>
      </c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2">
        <f t="shared" si="40"/>
        <v>0</v>
      </c>
      <c r="T382" s="167"/>
    </row>
    <row r="383" customHeight="1" spans="2:20">
      <c r="B383" s="166"/>
      <c r="C383" s="164">
        <f t="shared" si="39"/>
        <v>36</v>
      </c>
      <c r="D383" s="158" t="str">
        <f>VLOOKUP(C383,DMSP!$A$1:$C$39,2,0)</f>
        <v>7.KHÁC</v>
      </c>
      <c r="E383" s="159" t="str">
        <f>VLOOKUP(C383,DMSP!$A$1:$C$39,3,0)</f>
        <v>VỌT HOA XOÀI</v>
      </c>
      <c r="F383" s="160">
        <f t="shared" si="37"/>
        <v>0</v>
      </c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2">
        <f t="shared" si="40"/>
        <v>0</v>
      </c>
      <c r="T383" s="167"/>
    </row>
    <row r="384" customHeight="1" spans="2:20">
      <c r="B384" s="166"/>
      <c r="C384" s="164">
        <f t="shared" si="39"/>
        <v>37</v>
      </c>
      <c r="D384" s="158" t="str">
        <f>VLOOKUP(C384,DMSP!$A$1:$C$39,2,0)</f>
        <v>7.KHÁC</v>
      </c>
      <c r="E384" s="159" t="str">
        <f>VLOOKUP(C384,DMSP!$A$1:$C$39,3,0)</f>
        <v>VỌT HOA XOÀI</v>
      </c>
      <c r="F384" s="160">
        <f t="shared" si="37"/>
        <v>0</v>
      </c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2">
        <f t="shared" si="40"/>
        <v>0</v>
      </c>
      <c r="T384" s="167"/>
    </row>
    <row r="385" customHeight="1" spans="2:20">
      <c r="B385" s="92"/>
      <c r="C385" s="170" t="str">
        <f>B348</f>
        <v>THANH TÂM </v>
      </c>
      <c r="D385" s="171"/>
      <c r="E385" s="172" t="str">
        <f>"TOTAL "&amp;B348</f>
        <v>TOTAL THANH TÂM </v>
      </c>
      <c r="F385" s="173">
        <f t="shared" si="37"/>
        <v>80</v>
      </c>
      <c r="G385" s="174">
        <f>SUM(G348:G384)</f>
        <v>14</v>
      </c>
      <c r="H385" s="174">
        <f t="shared" ref="H385:R385" si="41">SUM(H348:H384)</f>
        <v>0</v>
      </c>
      <c r="I385" s="174">
        <f t="shared" si="41"/>
        <v>0</v>
      </c>
      <c r="J385" s="174">
        <f t="shared" si="41"/>
        <v>0</v>
      </c>
      <c r="K385" s="174">
        <f t="shared" si="41"/>
        <v>14</v>
      </c>
      <c r="L385" s="174">
        <f t="shared" si="41"/>
        <v>0</v>
      </c>
      <c r="M385" s="174">
        <f t="shared" si="41"/>
        <v>14</v>
      </c>
      <c r="N385" s="174">
        <f t="shared" si="41"/>
        <v>0</v>
      </c>
      <c r="O385" s="174">
        <f t="shared" si="41"/>
        <v>0</v>
      </c>
      <c r="P385" s="174">
        <f t="shared" si="41"/>
        <v>19</v>
      </c>
      <c r="Q385" s="174">
        <f t="shared" si="41"/>
        <v>19</v>
      </c>
      <c r="R385" s="174">
        <f t="shared" si="41"/>
        <v>0</v>
      </c>
      <c r="S385" s="174">
        <f t="shared" si="40"/>
        <v>80</v>
      </c>
      <c r="T385" s="175"/>
    </row>
    <row r="386" customHeight="1" spans="2:20">
      <c r="B386" s="156" t="s">
        <v>23</v>
      </c>
      <c r="C386" s="157">
        <v>1</v>
      </c>
      <c r="D386" s="158" t="str">
        <f>VLOOKUP(C386,DMSP!$A$1:$C$39,2,0)</f>
        <v>1.TOBA XANH</v>
      </c>
      <c r="E386" s="159" t="str">
        <f>VLOOKUP(C386,DMSP!$A$1:$C$39,3,0)</f>
        <v>TOBA XANH</v>
      </c>
      <c r="F386" s="160">
        <f t="shared" si="37"/>
        <v>0</v>
      </c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2">
        <f t="shared" si="40"/>
        <v>0</v>
      </c>
      <c r="T386" s="163">
        <f>S423</f>
        <v>204</v>
      </c>
    </row>
    <row r="387" customHeight="1" spans="2:20">
      <c r="B387" s="166"/>
      <c r="C387" s="164">
        <f t="shared" ref="C387:C422" si="42">C386+1</f>
        <v>2</v>
      </c>
      <c r="D387" s="158" t="str">
        <f>VLOOKUP(C387,DMSP!$A$1:$C$39,2,0)</f>
        <v>2.HC</v>
      </c>
      <c r="E387" s="159" t="str">
        <f>VLOOKUP(C387,DMSP!$A$1:$C$39,3,0)</f>
        <v>HC BOOSTER</v>
      </c>
      <c r="F387" s="160">
        <f t="shared" si="37"/>
        <v>0</v>
      </c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2">
        <f t="shared" ref="S387:S424" si="43">SUM(G387:R387)</f>
        <v>0</v>
      </c>
      <c r="T387" s="167"/>
    </row>
    <row r="388" customHeight="1" spans="2:20">
      <c r="B388" s="166"/>
      <c r="C388" s="164">
        <f t="shared" si="42"/>
        <v>3</v>
      </c>
      <c r="D388" s="158" t="str">
        <f>VLOOKUP(C388,DMSP!$A$1:$C$39,2,0)</f>
        <v>2.HC</v>
      </c>
      <c r="E388" s="159" t="str">
        <f>VLOOKUP(C388,DMSP!$A$1:$C$39,3,0)</f>
        <v>HC KING-ROOT</v>
      </c>
      <c r="F388" s="160">
        <f t="shared" si="37"/>
        <v>0</v>
      </c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2">
        <f t="shared" si="43"/>
        <v>0</v>
      </c>
      <c r="T388" s="167"/>
    </row>
    <row r="389" customHeight="1" spans="2:20">
      <c r="B389" s="166"/>
      <c r="C389" s="164">
        <f t="shared" si="42"/>
        <v>4</v>
      </c>
      <c r="D389" s="158" t="str">
        <f>VLOOKUP(C389,DMSP!$A$1:$C$39,2,0)</f>
        <v>2.HC</v>
      </c>
      <c r="E389" s="159" t="str">
        <f>VLOOKUP(C389,DMSP!$A$1:$C$39,3,0)</f>
        <v>HAPPY FARM</v>
      </c>
      <c r="F389" s="160">
        <f t="shared" si="37"/>
        <v>0</v>
      </c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2">
        <f t="shared" si="43"/>
        <v>0</v>
      </c>
      <c r="T389" s="167"/>
    </row>
    <row r="390" customHeight="1" spans="2:20">
      <c r="B390" s="166"/>
      <c r="C390" s="164">
        <f t="shared" si="42"/>
        <v>5</v>
      </c>
      <c r="D390" s="158" t="str">
        <f>VLOOKUP(C390,DMSP!$A$1:$C$39,2,0)</f>
        <v>2.HC</v>
      </c>
      <c r="E390" s="159" t="str">
        <f>VLOOKUP(C390,DMSP!$A$1:$C$39,3,0)</f>
        <v>WOW</v>
      </c>
      <c r="F390" s="160">
        <f t="shared" si="37"/>
        <v>0</v>
      </c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2">
        <f t="shared" si="43"/>
        <v>0</v>
      </c>
      <c r="T390" s="167"/>
    </row>
    <row r="391" customHeight="1" spans="2:20">
      <c r="B391" s="166"/>
      <c r="C391" s="164">
        <f t="shared" si="42"/>
        <v>6</v>
      </c>
      <c r="D391" s="158" t="str">
        <f>VLOOKUP(C391,DMSP!$A$1:$C$39,2,0)</f>
        <v>3.SPRAY </v>
      </c>
      <c r="E391" s="159" t="str">
        <f>VLOOKUP(C391,DMSP!$A$1:$C$39,3,0)</f>
        <v>KELPIT</v>
      </c>
      <c r="F391" s="160">
        <f t="shared" ref="F391:F454" si="44">S391</f>
        <v>14</v>
      </c>
      <c r="G391" s="161">
        <v>14</v>
      </c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2">
        <f t="shared" si="43"/>
        <v>14</v>
      </c>
      <c r="T391" s="167"/>
    </row>
    <row r="392" customHeight="1" spans="2:20">
      <c r="B392" s="166"/>
      <c r="C392" s="164">
        <f t="shared" si="42"/>
        <v>7</v>
      </c>
      <c r="D392" s="158" t="str">
        <f>VLOOKUP(C392,DMSP!$A$1:$C$39,2,0)</f>
        <v>3.SPRAY </v>
      </c>
      <c r="E392" s="159" t="str">
        <f>VLOOKUP(C392,DMSP!$A$1:$C$39,3,0)</f>
        <v>SI-K</v>
      </c>
      <c r="F392" s="160">
        <f t="shared" si="44"/>
        <v>10</v>
      </c>
      <c r="G392" s="161"/>
      <c r="H392" s="161"/>
      <c r="I392" s="161"/>
      <c r="J392" s="161"/>
      <c r="K392" s="161">
        <v>10</v>
      </c>
      <c r="L392" s="161"/>
      <c r="M392" s="161"/>
      <c r="N392" s="161"/>
      <c r="O392" s="161"/>
      <c r="P392" s="161"/>
      <c r="Q392" s="161"/>
      <c r="R392" s="161"/>
      <c r="S392" s="162">
        <f t="shared" si="43"/>
        <v>10</v>
      </c>
      <c r="T392" s="167"/>
    </row>
    <row r="393" customHeight="1" spans="2:20">
      <c r="B393" s="166"/>
      <c r="C393" s="164">
        <f t="shared" si="42"/>
        <v>8</v>
      </c>
      <c r="D393" s="158" t="str">
        <f>VLOOKUP(C393,DMSP!$A$1:$C$39,2,0)</f>
        <v>3.SPRAY </v>
      </c>
      <c r="E393" s="159" t="str">
        <f>VLOOKUP(C393,DMSP!$A$1:$C$39,3,0)</f>
        <v>SPRAY PHOS 620</v>
      </c>
      <c r="F393" s="160">
        <f t="shared" si="44"/>
        <v>130</v>
      </c>
      <c r="G393" s="161"/>
      <c r="H393" s="161"/>
      <c r="I393" s="161"/>
      <c r="J393" s="161">
        <v>86</v>
      </c>
      <c r="K393" s="161"/>
      <c r="L393" s="161"/>
      <c r="M393" s="161"/>
      <c r="N393" s="161"/>
      <c r="O393" s="161"/>
      <c r="P393" s="161"/>
      <c r="Q393" s="161"/>
      <c r="R393" s="161">
        <v>44</v>
      </c>
      <c r="S393" s="162">
        <f t="shared" si="43"/>
        <v>130</v>
      </c>
      <c r="T393" s="167"/>
    </row>
    <row r="394" customHeight="1" spans="2:20">
      <c r="B394" s="166"/>
      <c r="C394" s="164">
        <f t="shared" si="42"/>
        <v>9</v>
      </c>
      <c r="D394" s="158" t="str">
        <f>VLOOKUP(C394,DMSP!$A$1:$C$39,2,0)</f>
        <v>4.DƯỠNG RỄ</v>
      </c>
      <c r="E394" s="159" t="str">
        <f>VLOOKUP(C394,DMSP!$A$1:$C$39,3,0)</f>
        <v>CHITOSAN</v>
      </c>
      <c r="F394" s="160">
        <f t="shared" si="44"/>
        <v>0</v>
      </c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2">
        <f t="shared" si="43"/>
        <v>0</v>
      </c>
      <c r="T394" s="167"/>
    </row>
    <row r="395" customHeight="1" spans="2:20">
      <c r="B395" s="166"/>
      <c r="C395" s="164">
        <f t="shared" si="42"/>
        <v>10</v>
      </c>
      <c r="D395" s="158" t="str">
        <f>VLOOKUP(C395,DMSP!$A$1:$C$39,2,0)</f>
        <v>4.DƯỠNG RỄ</v>
      </c>
      <c r="E395" s="159" t="str">
        <f>VLOOKUP(C395,DMSP!$A$1:$C$39,3,0)</f>
        <v>ĐẠM CÁ</v>
      </c>
      <c r="F395" s="160">
        <f t="shared" si="44"/>
        <v>0</v>
      </c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2">
        <f t="shared" si="43"/>
        <v>0</v>
      </c>
      <c r="T395" s="167"/>
    </row>
    <row r="396" customHeight="1" spans="2:20">
      <c r="B396" s="166"/>
      <c r="C396" s="164">
        <f t="shared" si="42"/>
        <v>11</v>
      </c>
      <c r="D396" s="158" t="str">
        <f>VLOOKUP(C396,DMSP!$A$1:$C$39,2,0)</f>
        <v>4.DƯỠNG RỄ</v>
      </c>
      <c r="E396" s="159" t="str">
        <f>VLOOKUP(C396,DMSP!$A$1:$C$39,3,0)</f>
        <v>ĐẠM TÔM</v>
      </c>
      <c r="F396" s="160">
        <f t="shared" si="44"/>
        <v>0</v>
      </c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2">
        <f t="shared" si="43"/>
        <v>0</v>
      </c>
      <c r="T396" s="167"/>
    </row>
    <row r="397" customHeight="1" spans="2:20">
      <c r="B397" s="166"/>
      <c r="C397" s="164">
        <f t="shared" si="42"/>
        <v>12</v>
      </c>
      <c r="D397" s="158" t="str">
        <f>VLOOKUP(C397,DMSP!$A$1:$C$39,2,0)</f>
        <v>4.DƯỠNG RỄ</v>
      </c>
      <c r="E397" s="159" t="str">
        <f>VLOOKUP(C397,DMSP!$A$1:$C$39,3,0)</f>
        <v>SUPERMIC</v>
      </c>
      <c r="F397" s="160">
        <f t="shared" si="44"/>
        <v>0</v>
      </c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2">
        <f t="shared" si="43"/>
        <v>0</v>
      </c>
      <c r="T397" s="167"/>
    </row>
    <row r="398" customHeight="1" spans="2:20">
      <c r="B398" s="166"/>
      <c r="C398" s="164">
        <f t="shared" si="42"/>
        <v>13</v>
      </c>
      <c r="D398" s="158" t="str">
        <f>VLOOKUP(C398,DMSP!$A$1:$C$39,2,0)</f>
        <v>5.TRUYỀN THỐNG</v>
      </c>
      <c r="E398" s="159" t="str">
        <f>VLOOKUP(C398,DMSP!$A$1:$C$39,3,0)</f>
        <v>CABO</v>
      </c>
      <c r="F398" s="160">
        <f t="shared" si="44"/>
        <v>0</v>
      </c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2">
        <f t="shared" si="43"/>
        <v>0</v>
      </c>
      <c r="T398" s="167"/>
    </row>
    <row r="399" customHeight="1" spans="2:20">
      <c r="B399" s="166"/>
      <c r="C399" s="164">
        <f t="shared" si="42"/>
        <v>14</v>
      </c>
      <c r="D399" s="158" t="str">
        <f>VLOOKUP(C399,DMSP!$A$1:$C$39,2,0)</f>
        <v>5.TRUYỀN THỐNG</v>
      </c>
      <c r="E399" s="159" t="str">
        <f>VLOOKUP(C399,DMSP!$A$1:$C$39,3,0)</f>
        <v>F94</v>
      </c>
      <c r="F399" s="160">
        <f t="shared" si="44"/>
        <v>0</v>
      </c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2">
        <f t="shared" si="43"/>
        <v>0</v>
      </c>
      <c r="T399" s="167"/>
    </row>
    <row r="400" customHeight="1" spans="2:20">
      <c r="B400" s="166"/>
      <c r="C400" s="164">
        <f t="shared" si="42"/>
        <v>15</v>
      </c>
      <c r="D400" s="158" t="str">
        <f>VLOOKUP(C400,DMSP!$A$1:$C$39,2,0)</f>
        <v>5.TRUYỀN THỐNG</v>
      </c>
      <c r="E400" s="159" t="str">
        <f>VLOOKUP(C400,DMSP!$A$1:$C$39,3,0)</f>
        <v>F95</v>
      </c>
      <c r="F400" s="160">
        <f t="shared" si="44"/>
        <v>0</v>
      </c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2">
        <f t="shared" si="43"/>
        <v>0</v>
      </c>
      <c r="T400" s="167"/>
    </row>
    <row r="401" customHeight="1" spans="2:20">
      <c r="B401" s="166"/>
      <c r="C401" s="164">
        <f t="shared" si="42"/>
        <v>16</v>
      </c>
      <c r="D401" s="158" t="str">
        <f>VLOOKUP(C401,DMSP!$A$1:$C$39,2,0)</f>
        <v>5.TRUYỀN THỐNG</v>
      </c>
      <c r="E401" s="159" t="str">
        <f>VLOOKUP(C401,DMSP!$A$1:$C$39,3,0)</f>
        <v>THIOURE</v>
      </c>
      <c r="F401" s="160">
        <f t="shared" si="44"/>
        <v>0</v>
      </c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2">
        <f t="shared" si="43"/>
        <v>0</v>
      </c>
      <c r="T401" s="167"/>
    </row>
    <row r="402" customHeight="1" spans="2:20">
      <c r="B402" s="166"/>
      <c r="C402" s="164">
        <f t="shared" si="42"/>
        <v>17</v>
      </c>
      <c r="D402" s="158" t="str">
        <f>VLOOKUP(C402,DMSP!$A$1:$C$39,2,0)</f>
        <v>5.TRUYỀN THỐNG</v>
      </c>
      <c r="E402" s="159" t="str">
        <f>VLOOKUP(C402,DMSP!$A$1:$C$39,3,0)</f>
        <v>TOBA JUM</v>
      </c>
      <c r="F402" s="160">
        <f t="shared" si="44"/>
        <v>0</v>
      </c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2">
        <f t="shared" si="43"/>
        <v>0</v>
      </c>
      <c r="T402" s="167"/>
    </row>
    <row r="403" customHeight="1" spans="2:20">
      <c r="B403" s="166"/>
      <c r="C403" s="164">
        <f t="shared" si="42"/>
        <v>18</v>
      </c>
      <c r="D403" s="158" t="str">
        <f>VLOOKUP(C403,DMSP!$A$1:$C$39,2,0)</f>
        <v>5.TRUYỀN THỐNG</v>
      </c>
      <c r="E403" s="159" t="str">
        <f>VLOOKUP(C403,DMSP!$A$1:$C$39,3,0)</f>
        <v>TOBA NET</v>
      </c>
      <c r="F403" s="160">
        <f t="shared" si="44"/>
        <v>0</v>
      </c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2">
        <f t="shared" si="43"/>
        <v>0</v>
      </c>
      <c r="T403" s="167"/>
    </row>
    <row r="404" customHeight="1" spans="2:20">
      <c r="B404" s="166"/>
      <c r="C404" s="164">
        <f t="shared" si="42"/>
        <v>19</v>
      </c>
      <c r="D404" s="158" t="str">
        <f>VLOOKUP(C404,DMSP!$A$1:$C$39,2,0)</f>
        <v>6.BVTV</v>
      </c>
      <c r="E404" s="159" t="str">
        <f>VLOOKUP(C404,DMSP!$A$1:$C$39,3,0)</f>
        <v>ABAFAX 1.8</v>
      </c>
      <c r="F404" s="160">
        <f t="shared" si="44"/>
        <v>0</v>
      </c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2">
        <f t="shared" si="43"/>
        <v>0</v>
      </c>
      <c r="T404" s="167"/>
    </row>
    <row r="405" customHeight="1" spans="2:20">
      <c r="B405" s="166"/>
      <c r="C405" s="164">
        <f t="shared" si="42"/>
        <v>20</v>
      </c>
      <c r="D405" s="158" t="str">
        <f>VLOOKUP(C405,DMSP!$A$1:$C$39,2,0)</f>
        <v>6.BVTV</v>
      </c>
      <c r="E405" s="159" t="str">
        <f>VLOOKUP(C405,DMSP!$A$1:$C$39,3,0)</f>
        <v>ABAFAX 3.6</v>
      </c>
      <c r="F405" s="160">
        <f t="shared" si="44"/>
        <v>0</v>
      </c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2">
        <f t="shared" si="43"/>
        <v>0</v>
      </c>
      <c r="T405" s="167"/>
    </row>
    <row r="406" customHeight="1" spans="2:20">
      <c r="B406" s="166"/>
      <c r="C406" s="164">
        <f t="shared" si="42"/>
        <v>21</v>
      </c>
      <c r="D406" s="158" t="str">
        <f>VLOOKUP(C406,DMSP!$A$1:$C$39,2,0)</f>
        <v>6.BVTV</v>
      </c>
      <c r="E406" s="159" t="str">
        <f>VLOOKUP(C406,DMSP!$A$1:$C$39,3,0)</f>
        <v>AZET</v>
      </c>
      <c r="F406" s="160">
        <f t="shared" si="44"/>
        <v>0</v>
      </c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2">
        <f t="shared" si="43"/>
        <v>0</v>
      </c>
      <c r="T406" s="167"/>
    </row>
    <row r="407" customHeight="1" spans="2:20">
      <c r="B407" s="166"/>
      <c r="C407" s="164">
        <f t="shared" si="42"/>
        <v>22</v>
      </c>
      <c r="D407" s="158" t="str">
        <f>VLOOKUP(C407,DMSP!$A$1:$C$39,2,0)</f>
        <v>6.BVTV</v>
      </c>
      <c r="E407" s="159" t="str">
        <f>VLOOKUP(C407,DMSP!$A$1:$C$39,3,0)</f>
        <v>BACBA</v>
      </c>
      <c r="F407" s="160">
        <f t="shared" si="44"/>
        <v>0</v>
      </c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2">
        <f t="shared" si="43"/>
        <v>0</v>
      </c>
      <c r="T407" s="167"/>
    </row>
    <row r="408" customHeight="1" spans="2:20">
      <c r="B408" s="166"/>
      <c r="C408" s="164">
        <f t="shared" si="42"/>
        <v>23</v>
      </c>
      <c r="D408" s="158" t="str">
        <f>VLOOKUP(C408,DMSP!$A$1:$C$39,2,0)</f>
        <v>6.BVTV</v>
      </c>
      <c r="E408" s="159" t="str">
        <f>VLOOKUP(C408,DMSP!$A$1:$C$39,3,0)</f>
        <v>BIOROSAMIL</v>
      </c>
      <c r="F408" s="160">
        <f t="shared" si="44"/>
        <v>5</v>
      </c>
      <c r="G408" s="161">
        <v>5</v>
      </c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2">
        <f t="shared" si="43"/>
        <v>5</v>
      </c>
      <c r="T408" s="167"/>
    </row>
    <row r="409" customHeight="1" spans="2:20">
      <c r="B409" s="166"/>
      <c r="C409" s="164">
        <f t="shared" si="42"/>
        <v>24</v>
      </c>
      <c r="D409" s="158" t="str">
        <f>VLOOKUP(C409,DMSP!$A$1:$C$39,2,0)</f>
        <v>6.BVTV</v>
      </c>
      <c r="E409" s="159" t="str">
        <f>VLOOKUP(C409,DMSP!$A$1:$C$39,3,0)</f>
        <v>COC 86</v>
      </c>
      <c r="F409" s="160">
        <f t="shared" si="44"/>
        <v>0</v>
      </c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2">
        <f t="shared" si="43"/>
        <v>0</v>
      </c>
      <c r="T409" s="167"/>
    </row>
    <row r="410" customHeight="1" spans="2:20">
      <c r="B410" s="166"/>
      <c r="C410" s="164">
        <f t="shared" si="42"/>
        <v>25</v>
      </c>
      <c r="D410" s="158" t="str">
        <f>VLOOKUP(C410,DMSP!$A$1:$C$39,2,0)</f>
        <v>6.BVTV</v>
      </c>
      <c r="E410" s="159" t="str">
        <f>VLOOKUP(C410,DMSP!$A$1:$C$39,3,0)</f>
        <v>HEXA 5</v>
      </c>
      <c r="F410" s="160">
        <f t="shared" si="44"/>
        <v>0</v>
      </c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2">
        <f t="shared" si="43"/>
        <v>0</v>
      </c>
      <c r="T410" s="167"/>
    </row>
    <row r="411" customHeight="1" spans="2:20">
      <c r="B411" s="166"/>
      <c r="C411" s="164">
        <f t="shared" si="42"/>
        <v>26</v>
      </c>
      <c r="D411" s="158" t="str">
        <f>VLOOKUP(C411,DMSP!$A$1:$C$39,2,0)</f>
        <v>6.BVTV</v>
      </c>
      <c r="E411" s="159" t="str">
        <f>VLOOKUP(C411,DMSP!$A$1:$C$39,3,0)</f>
        <v>TAMALA</v>
      </c>
      <c r="F411" s="160">
        <f t="shared" si="44"/>
        <v>0</v>
      </c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2">
        <f t="shared" si="43"/>
        <v>0</v>
      </c>
      <c r="T411" s="167"/>
    </row>
    <row r="412" customHeight="1" spans="2:20">
      <c r="B412" s="166"/>
      <c r="C412" s="164">
        <f t="shared" si="42"/>
        <v>27</v>
      </c>
      <c r="D412" s="158" t="str">
        <f>VLOOKUP(C412,DMSP!$A$1:$C$39,2,0)</f>
        <v>7.KHÁC</v>
      </c>
      <c r="E412" s="159" t="str">
        <f>VLOOKUP(C412,DMSP!$A$1:$C$39,3,0)</f>
        <v>KẼM VÀNG</v>
      </c>
      <c r="F412" s="160">
        <f t="shared" si="44"/>
        <v>0</v>
      </c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2">
        <f t="shared" si="43"/>
        <v>0</v>
      </c>
      <c r="T412" s="167"/>
    </row>
    <row r="413" customHeight="1" spans="2:20">
      <c r="B413" s="166"/>
      <c r="C413" s="164">
        <f t="shared" si="42"/>
        <v>28</v>
      </c>
      <c r="D413" s="158" t="str">
        <f>VLOOKUP(C413,DMSP!$A$1:$C$39,2,0)</f>
        <v>7.KHÁC</v>
      </c>
      <c r="E413" s="159" t="str">
        <f>VLOOKUP(C413,DMSP!$A$1:$C$39,3,0)</f>
        <v>KHÁC1</v>
      </c>
      <c r="F413" s="160">
        <f t="shared" si="44"/>
        <v>37</v>
      </c>
      <c r="G413" s="161"/>
      <c r="H413" s="161"/>
      <c r="I413" s="161"/>
      <c r="J413" s="161">
        <v>37</v>
      </c>
      <c r="K413" s="161"/>
      <c r="L413" s="161"/>
      <c r="M413" s="161"/>
      <c r="N413" s="161"/>
      <c r="O413" s="161"/>
      <c r="P413" s="161"/>
      <c r="Q413" s="161"/>
      <c r="R413" s="161"/>
      <c r="S413" s="162">
        <f t="shared" si="43"/>
        <v>37</v>
      </c>
      <c r="T413" s="167"/>
    </row>
    <row r="414" customHeight="1" spans="2:20">
      <c r="B414" s="166"/>
      <c r="C414" s="164">
        <f t="shared" si="42"/>
        <v>29</v>
      </c>
      <c r="D414" s="158" t="str">
        <f>VLOOKUP(C414,DMSP!$A$1:$C$39,2,0)</f>
        <v>7.KHÁC</v>
      </c>
      <c r="E414" s="169" t="s">
        <v>13</v>
      </c>
      <c r="F414" s="160">
        <f t="shared" si="44"/>
        <v>8</v>
      </c>
      <c r="G414" s="161"/>
      <c r="H414" s="161"/>
      <c r="I414" s="161"/>
      <c r="J414" s="161"/>
      <c r="K414" s="161">
        <v>8</v>
      </c>
      <c r="L414" s="161"/>
      <c r="M414" s="161"/>
      <c r="N414" s="161"/>
      <c r="O414" s="161"/>
      <c r="P414" s="161"/>
      <c r="Q414" s="161"/>
      <c r="R414" s="161"/>
      <c r="S414" s="162">
        <f t="shared" si="43"/>
        <v>8</v>
      </c>
      <c r="T414" s="167"/>
    </row>
    <row r="415" customHeight="1" spans="2:20">
      <c r="B415" s="166"/>
      <c r="C415" s="164">
        <f t="shared" si="42"/>
        <v>30</v>
      </c>
      <c r="D415" s="158" t="str">
        <f>VLOOKUP(C415,DMSP!$A$1:$C$39,2,0)</f>
        <v>7.KHÁC</v>
      </c>
      <c r="E415" s="159" t="str">
        <f>VLOOKUP(C415,DMSP!$A$1:$C$39,3,0)</f>
        <v>RỬA RONG RÊU</v>
      </c>
      <c r="F415" s="160">
        <f t="shared" si="44"/>
        <v>0</v>
      </c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2">
        <f t="shared" si="43"/>
        <v>0</v>
      </c>
      <c r="T415" s="167"/>
    </row>
    <row r="416" customHeight="1" spans="2:20">
      <c r="B416" s="166"/>
      <c r="C416" s="164">
        <f t="shared" si="42"/>
        <v>31</v>
      </c>
      <c r="D416" s="158" t="str">
        <f>VLOOKUP(C416,DMSP!$A$1:$C$39,2,0)</f>
        <v>7.KHÁC</v>
      </c>
      <c r="E416" s="159" t="str">
        <f>VLOOKUP(C416,DMSP!$A$1:$C$39,3,0)</f>
        <v>TB BO</v>
      </c>
      <c r="F416" s="160">
        <f t="shared" si="44"/>
        <v>0</v>
      </c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2">
        <f t="shared" si="43"/>
        <v>0</v>
      </c>
      <c r="T416" s="167"/>
    </row>
    <row r="417" customHeight="1" spans="2:20">
      <c r="B417" s="166"/>
      <c r="C417" s="164">
        <f t="shared" si="42"/>
        <v>32</v>
      </c>
      <c r="D417" s="158" t="str">
        <f>VLOOKUP(C417,DMSP!$A$1:$C$39,2,0)</f>
        <v>7.KHÁC</v>
      </c>
      <c r="E417" s="159" t="str">
        <f>VLOOKUP(C417,DMSP!$A$1:$C$39,3,0)</f>
        <v>TB FRUIT</v>
      </c>
      <c r="F417" s="160">
        <f t="shared" si="44"/>
        <v>0</v>
      </c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2">
        <f t="shared" si="43"/>
        <v>0</v>
      </c>
      <c r="T417" s="167"/>
    </row>
    <row r="418" customHeight="1" spans="2:20">
      <c r="B418" s="166"/>
      <c r="C418" s="164">
        <f t="shared" si="42"/>
        <v>33</v>
      </c>
      <c r="D418" s="158" t="str">
        <f>VLOOKUP(C418,DMSP!$A$1:$C$39,2,0)</f>
        <v>7.KHÁC</v>
      </c>
      <c r="E418" s="159" t="str">
        <f>VLOOKUP(C418,DMSP!$A$1:$C$39,3,0)</f>
        <v>TB PHOS</v>
      </c>
      <c r="F418" s="160">
        <f t="shared" si="44"/>
        <v>0</v>
      </c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2">
        <f t="shared" si="43"/>
        <v>0</v>
      </c>
      <c r="T418" s="167"/>
    </row>
    <row r="419" customHeight="1" spans="2:20">
      <c r="B419" s="166"/>
      <c r="C419" s="164">
        <f t="shared" si="42"/>
        <v>34</v>
      </c>
      <c r="D419" s="158" t="str">
        <f>VLOOKUP(C419,DMSP!$A$1:$C$39,2,0)</f>
        <v>7.KHÁC</v>
      </c>
      <c r="E419" s="159" t="str">
        <f>VLOOKUP(C419,DMSP!$A$1:$C$39,3,0)</f>
        <v>TOBA BÁM DÍNH</v>
      </c>
      <c r="F419" s="160">
        <f t="shared" si="44"/>
        <v>0</v>
      </c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2">
        <f t="shared" si="43"/>
        <v>0</v>
      </c>
      <c r="T419" s="167"/>
    </row>
    <row r="420" customHeight="1" spans="2:20">
      <c r="B420" s="166"/>
      <c r="C420" s="164">
        <f t="shared" si="42"/>
        <v>35</v>
      </c>
      <c r="D420" s="158" t="str">
        <f>VLOOKUP(C420,DMSP!$A$1:$C$39,2,0)</f>
        <v>7.KHÁC</v>
      </c>
      <c r="E420" s="159" t="str">
        <f>VLOOKUP(C420,DMSP!$A$1:$C$39,3,0)</f>
        <v>VỌT HOA NHÃN</v>
      </c>
      <c r="F420" s="160">
        <f t="shared" si="44"/>
        <v>0</v>
      </c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2">
        <f t="shared" si="43"/>
        <v>0</v>
      </c>
      <c r="T420" s="167"/>
    </row>
    <row r="421" customHeight="1" spans="2:20">
      <c r="B421" s="166"/>
      <c r="C421" s="164">
        <f t="shared" si="42"/>
        <v>36</v>
      </c>
      <c r="D421" s="158" t="str">
        <f>VLOOKUP(C421,DMSP!$A$1:$C$39,2,0)</f>
        <v>7.KHÁC</v>
      </c>
      <c r="E421" s="159" t="str">
        <f>VLOOKUP(C421,DMSP!$A$1:$C$39,3,0)</f>
        <v>VỌT HOA XOÀI</v>
      </c>
      <c r="F421" s="160">
        <f t="shared" si="44"/>
        <v>0</v>
      </c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2">
        <f t="shared" si="43"/>
        <v>0</v>
      </c>
      <c r="T421" s="167"/>
    </row>
    <row r="422" customHeight="1" spans="2:20">
      <c r="B422" s="166"/>
      <c r="C422" s="164">
        <f t="shared" si="42"/>
        <v>37</v>
      </c>
      <c r="D422" s="158" t="str">
        <f>VLOOKUP(C422,DMSP!$A$1:$C$39,2,0)</f>
        <v>7.KHÁC</v>
      </c>
      <c r="E422" s="159" t="str">
        <f>VLOOKUP(C422,DMSP!$A$1:$C$39,3,0)</f>
        <v>VỌT HOA XOÀI</v>
      </c>
      <c r="F422" s="160">
        <f t="shared" si="44"/>
        <v>0</v>
      </c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2">
        <f t="shared" si="43"/>
        <v>0</v>
      </c>
      <c r="T422" s="167"/>
    </row>
    <row r="423" customHeight="1" spans="2:20">
      <c r="B423" s="92"/>
      <c r="C423" s="170" t="str">
        <f>B386</f>
        <v>THANH LIÊM </v>
      </c>
      <c r="D423" s="171"/>
      <c r="E423" s="172" t="str">
        <f>"TOTAL "&amp;B386</f>
        <v>TOTAL THANH LIÊM </v>
      </c>
      <c r="F423" s="173">
        <f t="shared" si="44"/>
        <v>204</v>
      </c>
      <c r="G423" s="174">
        <f>SUM(G386:G422)</f>
        <v>19</v>
      </c>
      <c r="H423" s="174">
        <f t="shared" ref="H423:R423" si="45">SUM(H386:H422)</f>
        <v>0</v>
      </c>
      <c r="I423" s="174">
        <f t="shared" si="45"/>
        <v>0</v>
      </c>
      <c r="J423" s="174">
        <f t="shared" si="45"/>
        <v>123</v>
      </c>
      <c r="K423" s="174">
        <f t="shared" si="45"/>
        <v>18</v>
      </c>
      <c r="L423" s="174">
        <f t="shared" si="45"/>
        <v>0</v>
      </c>
      <c r="M423" s="174">
        <f t="shared" si="45"/>
        <v>0</v>
      </c>
      <c r="N423" s="174">
        <f t="shared" si="45"/>
        <v>0</v>
      </c>
      <c r="O423" s="174">
        <f t="shared" si="45"/>
        <v>0</v>
      </c>
      <c r="P423" s="174">
        <f t="shared" si="45"/>
        <v>0</v>
      </c>
      <c r="Q423" s="174">
        <f t="shared" si="45"/>
        <v>0</v>
      </c>
      <c r="R423" s="174">
        <f t="shared" si="45"/>
        <v>44</v>
      </c>
      <c r="S423" s="174">
        <f t="shared" si="43"/>
        <v>204</v>
      </c>
      <c r="T423" s="175"/>
    </row>
    <row r="424" customHeight="1" spans="2:20">
      <c r="B424" s="156" t="s">
        <v>24</v>
      </c>
      <c r="C424" s="157">
        <v>1</v>
      </c>
      <c r="D424" s="158" t="str">
        <f>VLOOKUP(C424,DMSP!$A$1:$C$39,2,0)</f>
        <v>1.TOBA XANH</v>
      </c>
      <c r="E424" s="159" t="str">
        <f>VLOOKUP(C424,DMSP!$A$1:$C$39,3,0)</f>
        <v>TOBA XANH</v>
      </c>
      <c r="F424" s="160">
        <f t="shared" si="44"/>
        <v>0</v>
      </c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2">
        <f t="shared" si="43"/>
        <v>0</v>
      </c>
      <c r="T424" s="163">
        <f>S461</f>
        <v>51</v>
      </c>
    </row>
    <row r="425" customHeight="1" spans="2:20">
      <c r="B425" s="166"/>
      <c r="C425" s="164">
        <f t="shared" ref="C425:C460" si="46">C424+1</f>
        <v>2</v>
      </c>
      <c r="D425" s="158" t="str">
        <f>VLOOKUP(C425,DMSP!$A$1:$C$39,2,0)</f>
        <v>2.HC</v>
      </c>
      <c r="E425" s="159" t="str">
        <f>VLOOKUP(C425,DMSP!$A$1:$C$39,3,0)</f>
        <v>HC BOOSTER</v>
      </c>
      <c r="F425" s="160">
        <f t="shared" si="44"/>
        <v>0</v>
      </c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2">
        <f t="shared" ref="S425:S462" si="47">SUM(G425:R425)</f>
        <v>0</v>
      </c>
      <c r="T425" s="167"/>
    </row>
    <row r="426" customHeight="1" spans="2:20">
      <c r="B426" s="166"/>
      <c r="C426" s="164">
        <f t="shared" si="46"/>
        <v>3</v>
      </c>
      <c r="D426" s="158" t="str">
        <f>VLOOKUP(C426,DMSP!$A$1:$C$39,2,0)</f>
        <v>2.HC</v>
      </c>
      <c r="E426" s="159" t="str">
        <f>VLOOKUP(C426,DMSP!$A$1:$C$39,3,0)</f>
        <v>HC KING-ROOT</v>
      </c>
      <c r="F426" s="160">
        <f t="shared" si="44"/>
        <v>19</v>
      </c>
      <c r="G426" s="161"/>
      <c r="H426" s="161"/>
      <c r="I426" s="161">
        <v>12</v>
      </c>
      <c r="J426" s="161"/>
      <c r="K426" s="161">
        <v>2</v>
      </c>
      <c r="L426" s="161"/>
      <c r="M426" s="161"/>
      <c r="N426" s="161"/>
      <c r="O426" s="161"/>
      <c r="P426" s="161"/>
      <c r="Q426" s="161"/>
      <c r="R426" s="161">
        <v>5</v>
      </c>
      <c r="S426" s="162">
        <f t="shared" si="47"/>
        <v>19</v>
      </c>
      <c r="T426" s="167"/>
    </row>
    <row r="427" customHeight="1" spans="2:20">
      <c r="B427" s="166"/>
      <c r="C427" s="164">
        <f t="shared" si="46"/>
        <v>4</v>
      </c>
      <c r="D427" s="158" t="str">
        <f>VLOOKUP(C427,DMSP!$A$1:$C$39,2,0)</f>
        <v>2.HC</v>
      </c>
      <c r="E427" s="159" t="str">
        <f>VLOOKUP(C427,DMSP!$A$1:$C$39,3,0)</f>
        <v>HAPPY FARM</v>
      </c>
      <c r="F427" s="160">
        <f t="shared" si="44"/>
        <v>0</v>
      </c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2">
        <f t="shared" si="47"/>
        <v>0</v>
      </c>
      <c r="T427" s="167"/>
    </row>
    <row r="428" customHeight="1" spans="2:20">
      <c r="B428" s="166"/>
      <c r="C428" s="164">
        <f t="shared" si="46"/>
        <v>5</v>
      </c>
      <c r="D428" s="158" t="str">
        <f>VLOOKUP(C428,DMSP!$A$1:$C$39,2,0)</f>
        <v>2.HC</v>
      </c>
      <c r="E428" s="159" t="str">
        <f>VLOOKUP(C428,DMSP!$A$1:$C$39,3,0)</f>
        <v>WOW</v>
      </c>
      <c r="F428" s="160">
        <f t="shared" si="44"/>
        <v>0</v>
      </c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2">
        <f t="shared" si="47"/>
        <v>0</v>
      </c>
      <c r="T428" s="167"/>
    </row>
    <row r="429" customHeight="1" spans="2:20">
      <c r="B429" s="166"/>
      <c r="C429" s="164">
        <f t="shared" si="46"/>
        <v>6</v>
      </c>
      <c r="D429" s="158" t="str">
        <f>VLOOKUP(C429,DMSP!$A$1:$C$39,2,0)</f>
        <v>3.SPRAY </v>
      </c>
      <c r="E429" s="159" t="str">
        <f>VLOOKUP(C429,DMSP!$A$1:$C$39,3,0)</f>
        <v>KELPIT</v>
      </c>
      <c r="F429" s="160">
        <f t="shared" si="44"/>
        <v>0</v>
      </c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2">
        <f t="shared" si="47"/>
        <v>0</v>
      </c>
      <c r="T429" s="167"/>
    </row>
    <row r="430" customHeight="1" spans="2:20">
      <c r="B430" s="166"/>
      <c r="C430" s="164">
        <f t="shared" si="46"/>
        <v>7</v>
      </c>
      <c r="D430" s="158" t="str">
        <f>VLOOKUP(C430,DMSP!$A$1:$C$39,2,0)</f>
        <v>3.SPRAY </v>
      </c>
      <c r="E430" s="159" t="str">
        <f>VLOOKUP(C430,DMSP!$A$1:$C$39,3,0)</f>
        <v>SI-K</v>
      </c>
      <c r="F430" s="160">
        <f t="shared" si="44"/>
        <v>0</v>
      </c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2">
        <f t="shared" si="47"/>
        <v>0</v>
      </c>
      <c r="T430" s="167"/>
    </row>
    <row r="431" customHeight="1" spans="2:20">
      <c r="B431" s="166"/>
      <c r="C431" s="164">
        <f t="shared" si="46"/>
        <v>8</v>
      </c>
      <c r="D431" s="158" t="str">
        <f>VLOOKUP(C431,DMSP!$A$1:$C$39,2,0)</f>
        <v>3.SPRAY </v>
      </c>
      <c r="E431" s="159" t="str">
        <f>VLOOKUP(C431,DMSP!$A$1:$C$39,3,0)</f>
        <v>SPRAY PHOS 620</v>
      </c>
      <c r="F431" s="160">
        <f t="shared" si="44"/>
        <v>0</v>
      </c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2">
        <f t="shared" si="47"/>
        <v>0</v>
      </c>
      <c r="T431" s="167"/>
    </row>
    <row r="432" customHeight="1" spans="2:20">
      <c r="B432" s="166"/>
      <c r="C432" s="164">
        <f t="shared" si="46"/>
        <v>9</v>
      </c>
      <c r="D432" s="158" t="str">
        <f>VLOOKUP(C432,DMSP!$A$1:$C$39,2,0)</f>
        <v>4.DƯỠNG RỄ</v>
      </c>
      <c r="E432" s="159" t="str">
        <f>VLOOKUP(C432,DMSP!$A$1:$C$39,3,0)</f>
        <v>CHITOSAN</v>
      </c>
      <c r="F432" s="160">
        <f t="shared" si="44"/>
        <v>0</v>
      </c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2">
        <f t="shared" si="47"/>
        <v>0</v>
      </c>
      <c r="T432" s="167"/>
    </row>
    <row r="433" customHeight="1" spans="2:20">
      <c r="B433" s="166"/>
      <c r="C433" s="164">
        <f t="shared" si="46"/>
        <v>10</v>
      </c>
      <c r="D433" s="158" t="str">
        <f>VLOOKUP(C433,DMSP!$A$1:$C$39,2,0)</f>
        <v>4.DƯỠNG RỄ</v>
      </c>
      <c r="E433" s="159" t="str">
        <f>VLOOKUP(C433,DMSP!$A$1:$C$39,3,0)</f>
        <v>ĐẠM CÁ</v>
      </c>
      <c r="F433" s="160">
        <f t="shared" si="44"/>
        <v>0</v>
      </c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2">
        <f t="shared" si="47"/>
        <v>0</v>
      </c>
      <c r="T433" s="167"/>
    </row>
    <row r="434" customHeight="1" spans="2:20">
      <c r="B434" s="166"/>
      <c r="C434" s="164">
        <f t="shared" si="46"/>
        <v>11</v>
      </c>
      <c r="D434" s="158" t="str">
        <f>VLOOKUP(C434,DMSP!$A$1:$C$39,2,0)</f>
        <v>4.DƯỠNG RỄ</v>
      </c>
      <c r="E434" s="159" t="str">
        <f>VLOOKUP(C434,DMSP!$A$1:$C$39,3,0)</f>
        <v>ĐẠM TÔM</v>
      </c>
      <c r="F434" s="160">
        <f t="shared" si="44"/>
        <v>0</v>
      </c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2">
        <f t="shared" si="47"/>
        <v>0</v>
      </c>
      <c r="T434" s="167"/>
    </row>
    <row r="435" customHeight="1" spans="2:20">
      <c r="B435" s="166"/>
      <c r="C435" s="164">
        <f t="shared" si="46"/>
        <v>12</v>
      </c>
      <c r="D435" s="158" t="str">
        <f>VLOOKUP(C435,DMSP!$A$1:$C$39,2,0)</f>
        <v>4.DƯỠNG RỄ</v>
      </c>
      <c r="E435" s="159" t="str">
        <f>VLOOKUP(C435,DMSP!$A$1:$C$39,3,0)</f>
        <v>SUPERMIC</v>
      </c>
      <c r="F435" s="160">
        <f t="shared" si="44"/>
        <v>0</v>
      </c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2">
        <f t="shared" si="47"/>
        <v>0</v>
      </c>
      <c r="T435" s="167"/>
    </row>
    <row r="436" customHeight="1" spans="2:20">
      <c r="B436" s="166"/>
      <c r="C436" s="164">
        <f t="shared" si="46"/>
        <v>13</v>
      </c>
      <c r="D436" s="158" t="str">
        <f>VLOOKUP(C436,DMSP!$A$1:$C$39,2,0)</f>
        <v>5.TRUYỀN THỐNG</v>
      </c>
      <c r="E436" s="159" t="str">
        <f>VLOOKUP(C436,DMSP!$A$1:$C$39,3,0)</f>
        <v>CABO</v>
      </c>
      <c r="F436" s="160">
        <f t="shared" si="44"/>
        <v>0</v>
      </c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2">
        <f t="shared" si="47"/>
        <v>0</v>
      </c>
      <c r="T436" s="167"/>
    </row>
    <row r="437" customHeight="1" spans="2:20">
      <c r="B437" s="166"/>
      <c r="C437" s="164">
        <f t="shared" si="46"/>
        <v>14</v>
      </c>
      <c r="D437" s="158" t="str">
        <f>VLOOKUP(C437,DMSP!$A$1:$C$39,2,0)</f>
        <v>5.TRUYỀN THỐNG</v>
      </c>
      <c r="E437" s="159" t="str">
        <f>VLOOKUP(C437,DMSP!$A$1:$C$39,3,0)</f>
        <v>F94</v>
      </c>
      <c r="F437" s="160">
        <f t="shared" si="44"/>
        <v>0</v>
      </c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2">
        <f t="shared" si="47"/>
        <v>0</v>
      </c>
      <c r="T437" s="167"/>
    </row>
    <row r="438" customHeight="1" spans="2:20">
      <c r="B438" s="166"/>
      <c r="C438" s="164">
        <f t="shared" si="46"/>
        <v>15</v>
      </c>
      <c r="D438" s="158" t="str">
        <f>VLOOKUP(C438,DMSP!$A$1:$C$39,2,0)</f>
        <v>5.TRUYỀN THỐNG</v>
      </c>
      <c r="E438" s="159" t="str">
        <f>VLOOKUP(C438,DMSP!$A$1:$C$39,3,0)</f>
        <v>F95</v>
      </c>
      <c r="F438" s="160">
        <f t="shared" si="44"/>
        <v>0</v>
      </c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2">
        <f t="shared" si="47"/>
        <v>0</v>
      </c>
      <c r="T438" s="167"/>
    </row>
    <row r="439" customHeight="1" spans="2:20">
      <c r="B439" s="166"/>
      <c r="C439" s="164">
        <f t="shared" si="46"/>
        <v>16</v>
      </c>
      <c r="D439" s="158" t="str">
        <f>VLOOKUP(C439,DMSP!$A$1:$C$39,2,0)</f>
        <v>5.TRUYỀN THỐNG</v>
      </c>
      <c r="E439" s="159" t="str">
        <f>VLOOKUP(C439,DMSP!$A$1:$C$39,3,0)</f>
        <v>THIOURE</v>
      </c>
      <c r="F439" s="160">
        <f t="shared" si="44"/>
        <v>0</v>
      </c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2">
        <f t="shared" si="47"/>
        <v>0</v>
      </c>
      <c r="T439" s="167"/>
    </row>
    <row r="440" customHeight="1" spans="2:20">
      <c r="B440" s="166"/>
      <c r="C440" s="164">
        <f t="shared" si="46"/>
        <v>17</v>
      </c>
      <c r="D440" s="158" t="str">
        <f>VLOOKUP(C440,DMSP!$A$1:$C$39,2,0)</f>
        <v>5.TRUYỀN THỐNG</v>
      </c>
      <c r="E440" s="159" t="str">
        <f>VLOOKUP(C440,DMSP!$A$1:$C$39,3,0)</f>
        <v>TOBA JUM</v>
      </c>
      <c r="F440" s="160">
        <f t="shared" si="44"/>
        <v>0</v>
      </c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2">
        <f t="shared" si="47"/>
        <v>0</v>
      </c>
      <c r="T440" s="167"/>
    </row>
    <row r="441" customHeight="1" spans="2:20">
      <c r="B441" s="166"/>
      <c r="C441" s="164">
        <f t="shared" si="46"/>
        <v>18</v>
      </c>
      <c r="D441" s="158" t="str">
        <f>VLOOKUP(C441,DMSP!$A$1:$C$39,2,0)</f>
        <v>5.TRUYỀN THỐNG</v>
      </c>
      <c r="E441" s="159" t="str">
        <f>VLOOKUP(C441,DMSP!$A$1:$C$39,3,0)</f>
        <v>TOBA NET</v>
      </c>
      <c r="F441" s="160">
        <f t="shared" si="44"/>
        <v>0</v>
      </c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2">
        <f t="shared" si="47"/>
        <v>0</v>
      </c>
      <c r="T441" s="167"/>
    </row>
    <row r="442" customHeight="1" spans="2:20">
      <c r="B442" s="166"/>
      <c r="C442" s="164">
        <f t="shared" si="46"/>
        <v>19</v>
      </c>
      <c r="D442" s="158" t="str">
        <f>VLOOKUP(C442,DMSP!$A$1:$C$39,2,0)</f>
        <v>6.BVTV</v>
      </c>
      <c r="E442" s="159" t="str">
        <f>VLOOKUP(C442,DMSP!$A$1:$C$39,3,0)</f>
        <v>ABAFAX 1.8</v>
      </c>
      <c r="F442" s="160">
        <f t="shared" si="44"/>
        <v>0</v>
      </c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2">
        <f t="shared" si="47"/>
        <v>0</v>
      </c>
      <c r="T442" s="167"/>
    </row>
    <row r="443" customHeight="1" spans="2:20">
      <c r="B443" s="166"/>
      <c r="C443" s="164">
        <f t="shared" si="46"/>
        <v>20</v>
      </c>
      <c r="D443" s="158" t="str">
        <f>VLOOKUP(C443,DMSP!$A$1:$C$39,2,0)</f>
        <v>6.BVTV</v>
      </c>
      <c r="E443" s="159" t="str">
        <f>VLOOKUP(C443,DMSP!$A$1:$C$39,3,0)</f>
        <v>ABAFAX 3.6</v>
      </c>
      <c r="F443" s="160">
        <f t="shared" si="44"/>
        <v>0</v>
      </c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2">
        <f t="shared" si="47"/>
        <v>0</v>
      </c>
      <c r="T443" s="167"/>
    </row>
    <row r="444" customHeight="1" spans="2:20">
      <c r="B444" s="166"/>
      <c r="C444" s="164">
        <f t="shared" si="46"/>
        <v>21</v>
      </c>
      <c r="D444" s="158" t="str">
        <f>VLOOKUP(C444,DMSP!$A$1:$C$39,2,0)</f>
        <v>6.BVTV</v>
      </c>
      <c r="E444" s="159" t="str">
        <f>VLOOKUP(C444,DMSP!$A$1:$C$39,3,0)</f>
        <v>AZET</v>
      </c>
      <c r="F444" s="160">
        <f t="shared" si="44"/>
        <v>0</v>
      </c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2">
        <f t="shared" si="47"/>
        <v>0</v>
      </c>
      <c r="T444" s="167"/>
    </row>
    <row r="445" customHeight="1" spans="2:20">
      <c r="B445" s="166"/>
      <c r="C445" s="164">
        <f t="shared" si="46"/>
        <v>22</v>
      </c>
      <c r="D445" s="158" t="str">
        <f>VLOOKUP(C445,DMSP!$A$1:$C$39,2,0)</f>
        <v>6.BVTV</v>
      </c>
      <c r="E445" s="159" t="str">
        <f>VLOOKUP(C445,DMSP!$A$1:$C$39,3,0)</f>
        <v>BACBA</v>
      </c>
      <c r="F445" s="160">
        <f t="shared" si="44"/>
        <v>0</v>
      </c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2">
        <f t="shared" si="47"/>
        <v>0</v>
      </c>
      <c r="T445" s="167"/>
    </row>
    <row r="446" customHeight="1" spans="2:20">
      <c r="B446" s="166"/>
      <c r="C446" s="164">
        <f t="shared" si="46"/>
        <v>23</v>
      </c>
      <c r="D446" s="158" t="str">
        <f>VLOOKUP(C446,DMSP!$A$1:$C$39,2,0)</f>
        <v>6.BVTV</v>
      </c>
      <c r="E446" s="159" t="str">
        <f>VLOOKUP(C446,DMSP!$A$1:$C$39,3,0)</f>
        <v>BIOROSAMIL</v>
      </c>
      <c r="F446" s="160">
        <f t="shared" si="44"/>
        <v>10</v>
      </c>
      <c r="G446" s="161">
        <v>10</v>
      </c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2">
        <f t="shared" si="47"/>
        <v>10</v>
      </c>
      <c r="T446" s="167"/>
    </row>
    <row r="447" customHeight="1" spans="2:20">
      <c r="B447" s="166"/>
      <c r="C447" s="164">
        <f t="shared" si="46"/>
        <v>24</v>
      </c>
      <c r="D447" s="158" t="str">
        <f>VLOOKUP(C447,DMSP!$A$1:$C$39,2,0)</f>
        <v>6.BVTV</v>
      </c>
      <c r="E447" s="159" t="str">
        <f>VLOOKUP(C447,DMSP!$A$1:$C$39,3,0)</f>
        <v>COC 86</v>
      </c>
      <c r="F447" s="160">
        <f t="shared" si="44"/>
        <v>0</v>
      </c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2">
        <f t="shared" si="47"/>
        <v>0</v>
      </c>
      <c r="T447" s="167"/>
    </row>
    <row r="448" customHeight="1" spans="2:20">
      <c r="B448" s="166"/>
      <c r="C448" s="164">
        <f t="shared" si="46"/>
        <v>25</v>
      </c>
      <c r="D448" s="158" t="str">
        <f>VLOOKUP(C448,DMSP!$A$1:$C$39,2,0)</f>
        <v>6.BVTV</v>
      </c>
      <c r="E448" s="159" t="str">
        <f>VLOOKUP(C448,DMSP!$A$1:$C$39,3,0)</f>
        <v>HEXA 5</v>
      </c>
      <c r="F448" s="160">
        <f t="shared" si="44"/>
        <v>0</v>
      </c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2">
        <f t="shared" si="47"/>
        <v>0</v>
      </c>
      <c r="T448" s="167"/>
    </row>
    <row r="449" customHeight="1" spans="2:20">
      <c r="B449" s="166"/>
      <c r="C449" s="164">
        <f t="shared" si="46"/>
        <v>26</v>
      </c>
      <c r="D449" s="158" t="str">
        <f>VLOOKUP(C449,DMSP!$A$1:$C$39,2,0)</f>
        <v>6.BVTV</v>
      </c>
      <c r="E449" s="159" t="str">
        <f>VLOOKUP(C449,DMSP!$A$1:$C$39,3,0)</f>
        <v>TAMALA</v>
      </c>
      <c r="F449" s="160">
        <f t="shared" si="44"/>
        <v>0</v>
      </c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2">
        <f t="shared" si="47"/>
        <v>0</v>
      </c>
      <c r="T449" s="167"/>
    </row>
    <row r="450" customHeight="1" spans="2:20">
      <c r="B450" s="166"/>
      <c r="C450" s="164">
        <f t="shared" si="46"/>
        <v>27</v>
      </c>
      <c r="D450" s="158" t="str">
        <f>VLOOKUP(C450,DMSP!$A$1:$C$39,2,0)</f>
        <v>7.KHÁC</v>
      </c>
      <c r="E450" s="159" t="str">
        <f>VLOOKUP(C450,DMSP!$A$1:$C$39,3,0)</f>
        <v>KẼM VÀNG</v>
      </c>
      <c r="F450" s="160">
        <f t="shared" si="44"/>
        <v>0</v>
      </c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2">
        <f t="shared" si="47"/>
        <v>0</v>
      </c>
      <c r="T450" s="167"/>
    </row>
    <row r="451" customHeight="1" spans="2:20">
      <c r="B451" s="166"/>
      <c r="C451" s="164">
        <f t="shared" si="46"/>
        <v>28</v>
      </c>
      <c r="D451" s="158" t="str">
        <f>VLOOKUP(C451,DMSP!$A$1:$C$39,2,0)</f>
        <v>7.KHÁC</v>
      </c>
      <c r="E451" s="159" t="str">
        <f>VLOOKUP(C451,DMSP!$A$1:$C$39,3,0)</f>
        <v>KHÁC1</v>
      </c>
      <c r="F451" s="160">
        <f t="shared" si="44"/>
        <v>18</v>
      </c>
      <c r="G451" s="161">
        <v>18</v>
      </c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2">
        <f t="shared" si="47"/>
        <v>18</v>
      </c>
      <c r="T451" s="167"/>
    </row>
    <row r="452" customHeight="1" spans="2:20">
      <c r="B452" s="166"/>
      <c r="C452" s="164">
        <f t="shared" si="46"/>
        <v>29</v>
      </c>
      <c r="D452" s="158" t="str">
        <f>VLOOKUP(C452,DMSP!$A$1:$C$39,2,0)</f>
        <v>7.KHÁC</v>
      </c>
      <c r="E452" s="169" t="s">
        <v>13</v>
      </c>
      <c r="F452" s="160">
        <f t="shared" si="44"/>
        <v>4</v>
      </c>
      <c r="G452" s="161">
        <v>4</v>
      </c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2">
        <f t="shared" si="47"/>
        <v>4</v>
      </c>
      <c r="T452" s="167"/>
    </row>
    <row r="453" customHeight="1" spans="2:20">
      <c r="B453" s="166"/>
      <c r="C453" s="164">
        <f t="shared" si="46"/>
        <v>30</v>
      </c>
      <c r="D453" s="158" t="str">
        <f>VLOOKUP(C453,DMSP!$A$1:$C$39,2,0)</f>
        <v>7.KHÁC</v>
      </c>
      <c r="E453" s="159" t="str">
        <f>VLOOKUP(C453,DMSP!$A$1:$C$39,3,0)</f>
        <v>RỬA RONG RÊU</v>
      </c>
      <c r="F453" s="160">
        <f t="shared" si="44"/>
        <v>0</v>
      </c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2">
        <f t="shared" si="47"/>
        <v>0</v>
      </c>
      <c r="T453" s="167"/>
    </row>
    <row r="454" customHeight="1" spans="2:20">
      <c r="B454" s="166"/>
      <c r="C454" s="164">
        <f t="shared" si="46"/>
        <v>31</v>
      </c>
      <c r="D454" s="158" t="str">
        <f>VLOOKUP(C454,DMSP!$A$1:$C$39,2,0)</f>
        <v>7.KHÁC</v>
      </c>
      <c r="E454" s="159" t="str">
        <f>VLOOKUP(C454,DMSP!$A$1:$C$39,3,0)</f>
        <v>TB BO</v>
      </c>
      <c r="F454" s="160">
        <f t="shared" si="44"/>
        <v>0</v>
      </c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2">
        <f t="shared" si="47"/>
        <v>0</v>
      </c>
      <c r="T454" s="167"/>
    </row>
    <row r="455" customHeight="1" spans="2:20">
      <c r="B455" s="166"/>
      <c r="C455" s="164">
        <f t="shared" si="46"/>
        <v>32</v>
      </c>
      <c r="D455" s="158" t="str">
        <f>VLOOKUP(C455,DMSP!$A$1:$C$39,2,0)</f>
        <v>7.KHÁC</v>
      </c>
      <c r="E455" s="159" t="str">
        <f>VLOOKUP(C455,DMSP!$A$1:$C$39,3,0)</f>
        <v>TB FRUIT</v>
      </c>
      <c r="F455" s="160">
        <f t="shared" ref="F455:F518" si="48">S455</f>
        <v>0</v>
      </c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2">
        <f t="shared" si="47"/>
        <v>0</v>
      </c>
      <c r="T455" s="167"/>
    </row>
    <row r="456" customHeight="1" spans="2:20">
      <c r="B456" s="166"/>
      <c r="C456" s="164">
        <f t="shared" si="46"/>
        <v>33</v>
      </c>
      <c r="D456" s="158" t="str">
        <f>VLOOKUP(C456,DMSP!$A$1:$C$39,2,0)</f>
        <v>7.KHÁC</v>
      </c>
      <c r="E456" s="159" t="str">
        <f>VLOOKUP(C456,DMSP!$A$1:$C$39,3,0)</f>
        <v>TB PHOS</v>
      </c>
      <c r="F456" s="160">
        <f t="shared" si="48"/>
        <v>0</v>
      </c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2">
        <f t="shared" si="47"/>
        <v>0</v>
      </c>
      <c r="T456" s="167"/>
    </row>
    <row r="457" customHeight="1" spans="2:20">
      <c r="B457" s="166"/>
      <c r="C457" s="164">
        <f t="shared" si="46"/>
        <v>34</v>
      </c>
      <c r="D457" s="158" t="str">
        <f>VLOOKUP(C457,DMSP!$A$1:$C$39,2,0)</f>
        <v>7.KHÁC</v>
      </c>
      <c r="E457" s="159" t="str">
        <f>VLOOKUP(C457,DMSP!$A$1:$C$39,3,0)</f>
        <v>TOBA BÁM DÍNH</v>
      </c>
      <c r="F457" s="160">
        <f t="shared" si="48"/>
        <v>0</v>
      </c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2">
        <f t="shared" si="47"/>
        <v>0</v>
      </c>
      <c r="T457" s="167"/>
    </row>
    <row r="458" customHeight="1" spans="2:20">
      <c r="B458" s="166"/>
      <c r="C458" s="164">
        <f t="shared" si="46"/>
        <v>35</v>
      </c>
      <c r="D458" s="158" t="str">
        <f>VLOOKUP(C458,DMSP!$A$1:$C$39,2,0)</f>
        <v>7.KHÁC</v>
      </c>
      <c r="E458" s="159" t="str">
        <f>VLOOKUP(C458,DMSP!$A$1:$C$39,3,0)</f>
        <v>VỌT HOA NHÃN</v>
      </c>
      <c r="F458" s="160">
        <f t="shared" si="48"/>
        <v>0</v>
      </c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2">
        <f t="shared" si="47"/>
        <v>0</v>
      </c>
      <c r="T458" s="167"/>
    </row>
    <row r="459" customHeight="1" spans="2:20">
      <c r="B459" s="166"/>
      <c r="C459" s="164">
        <f t="shared" si="46"/>
        <v>36</v>
      </c>
      <c r="D459" s="158" t="str">
        <f>VLOOKUP(C459,DMSP!$A$1:$C$39,2,0)</f>
        <v>7.KHÁC</v>
      </c>
      <c r="E459" s="159" t="str">
        <f>VLOOKUP(C459,DMSP!$A$1:$C$39,3,0)</f>
        <v>VỌT HOA XOÀI</v>
      </c>
      <c r="F459" s="160">
        <f t="shared" si="48"/>
        <v>0</v>
      </c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2">
        <f t="shared" si="47"/>
        <v>0</v>
      </c>
      <c r="T459" s="167"/>
    </row>
    <row r="460" customHeight="1" spans="2:20">
      <c r="B460" s="166"/>
      <c r="C460" s="164">
        <f t="shared" si="46"/>
        <v>37</v>
      </c>
      <c r="D460" s="158" t="str">
        <f>VLOOKUP(C460,DMSP!$A$1:$C$39,2,0)</f>
        <v>7.KHÁC</v>
      </c>
      <c r="E460" s="159" t="str">
        <f>VLOOKUP(C460,DMSP!$A$1:$C$39,3,0)</f>
        <v>VỌT HOA XOÀI</v>
      </c>
      <c r="F460" s="160">
        <f t="shared" si="48"/>
        <v>0</v>
      </c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2">
        <f t="shared" si="47"/>
        <v>0</v>
      </c>
      <c r="T460" s="167"/>
    </row>
    <row r="461" customHeight="1" spans="2:20">
      <c r="B461" s="92"/>
      <c r="C461" s="170" t="str">
        <f>B424</f>
        <v>KIM DUNG </v>
      </c>
      <c r="D461" s="171"/>
      <c r="E461" s="172" t="str">
        <f>"TOTAL "&amp;B424</f>
        <v>TOTAL KIM DUNG </v>
      </c>
      <c r="F461" s="173">
        <f t="shared" si="48"/>
        <v>51</v>
      </c>
      <c r="G461" s="174">
        <f>SUM(G424:G460)</f>
        <v>32</v>
      </c>
      <c r="H461" s="174">
        <f t="shared" ref="H461:R461" si="49">SUM(H424:H460)</f>
        <v>0</v>
      </c>
      <c r="I461" s="174">
        <f t="shared" si="49"/>
        <v>12</v>
      </c>
      <c r="J461" s="174">
        <f t="shared" si="49"/>
        <v>0</v>
      </c>
      <c r="K461" s="174">
        <f t="shared" si="49"/>
        <v>2</v>
      </c>
      <c r="L461" s="174">
        <f t="shared" si="49"/>
        <v>0</v>
      </c>
      <c r="M461" s="174">
        <f t="shared" si="49"/>
        <v>0</v>
      </c>
      <c r="N461" s="174">
        <f t="shared" si="49"/>
        <v>0</v>
      </c>
      <c r="O461" s="174">
        <f t="shared" si="49"/>
        <v>0</v>
      </c>
      <c r="P461" s="174">
        <f t="shared" si="49"/>
        <v>0</v>
      </c>
      <c r="Q461" s="174">
        <f t="shared" si="49"/>
        <v>0</v>
      </c>
      <c r="R461" s="174">
        <f t="shared" si="49"/>
        <v>5</v>
      </c>
      <c r="S461" s="174">
        <f t="shared" si="47"/>
        <v>51</v>
      </c>
      <c r="T461" s="175"/>
    </row>
    <row r="462" customHeight="1" spans="2:20">
      <c r="B462" s="156" t="s">
        <v>25</v>
      </c>
      <c r="C462" s="157">
        <v>1</v>
      </c>
      <c r="D462" s="158" t="str">
        <f>VLOOKUP(C462,DMSP!$A$1:$C$39,2,0)</f>
        <v>1.TOBA XANH</v>
      </c>
      <c r="E462" s="159" t="str">
        <f>VLOOKUP(C462,DMSP!$A$1:$C$39,3,0)</f>
        <v>TOBA XANH</v>
      </c>
      <c r="F462" s="160">
        <f t="shared" si="48"/>
        <v>0</v>
      </c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2">
        <f t="shared" si="47"/>
        <v>0</v>
      </c>
      <c r="T462" s="163">
        <f>S499</f>
        <v>18</v>
      </c>
    </row>
    <row r="463" customHeight="1" spans="2:20">
      <c r="B463" s="166"/>
      <c r="C463" s="164">
        <f t="shared" ref="C463:C526" si="50">C462+1</f>
        <v>2</v>
      </c>
      <c r="D463" s="158" t="str">
        <f>VLOOKUP(C463,DMSP!$A$1:$C$39,2,0)</f>
        <v>2.HC</v>
      </c>
      <c r="E463" s="159" t="str">
        <f>VLOOKUP(C463,DMSP!$A$1:$C$39,3,0)</f>
        <v>HC BOOSTER</v>
      </c>
      <c r="F463" s="160">
        <f t="shared" si="48"/>
        <v>0</v>
      </c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2">
        <f t="shared" ref="S463:S500" si="51">SUM(G463:R463)</f>
        <v>0</v>
      </c>
      <c r="T463" s="167"/>
    </row>
    <row r="464" customHeight="1" spans="2:20">
      <c r="B464" s="166"/>
      <c r="C464" s="164">
        <f t="shared" si="50"/>
        <v>3</v>
      </c>
      <c r="D464" s="158" t="str">
        <f>VLOOKUP(C464,DMSP!$A$1:$C$39,2,0)</f>
        <v>2.HC</v>
      </c>
      <c r="E464" s="159" t="str">
        <f>VLOOKUP(C464,DMSP!$A$1:$C$39,3,0)</f>
        <v>HC KING-ROOT</v>
      </c>
      <c r="F464" s="160">
        <f t="shared" si="48"/>
        <v>0</v>
      </c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2">
        <f t="shared" si="51"/>
        <v>0</v>
      </c>
      <c r="T464" s="167"/>
    </row>
    <row r="465" customHeight="1" spans="2:20">
      <c r="B465" s="166"/>
      <c r="C465" s="164">
        <f t="shared" si="50"/>
        <v>4</v>
      </c>
      <c r="D465" s="158" t="str">
        <f>VLOOKUP(C465,DMSP!$A$1:$C$39,2,0)</f>
        <v>2.HC</v>
      </c>
      <c r="E465" s="159" t="str">
        <f>VLOOKUP(C465,DMSP!$A$1:$C$39,3,0)</f>
        <v>HAPPY FARM</v>
      </c>
      <c r="F465" s="160">
        <f t="shared" si="48"/>
        <v>0</v>
      </c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2">
        <f t="shared" si="51"/>
        <v>0</v>
      </c>
      <c r="T465" s="167"/>
    </row>
    <row r="466" customHeight="1" spans="2:20">
      <c r="B466" s="166"/>
      <c r="C466" s="164">
        <f t="shared" si="50"/>
        <v>5</v>
      </c>
      <c r="D466" s="158" t="str">
        <f>VLOOKUP(C466,DMSP!$A$1:$C$39,2,0)</f>
        <v>2.HC</v>
      </c>
      <c r="E466" s="159" t="str">
        <f>VLOOKUP(C466,DMSP!$A$1:$C$39,3,0)</f>
        <v>WOW</v>
      </c>
      <c r="F466" s="160">
        <f t="shared" si="48"/>
        <v>0</v>
      </c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2">
        <f t="shared" si="51"/>
        <v>0</v>
      </c>
      <c r="T466" s="167"/>
    </row>
    <row r="467" customHeight="1" spans="2:20">
      <c r="B467" s="166"/>
      <c r="C467" s="164">
        <f t="shared" si="50"/>
        <v>6</v>
      </c>
      <c r="D467" s="158" t="str">
        <f>VLOOKUP(C467,DMSP!$A$1:$C$39,2,0)</f>
        <v>3.SPRAY </v>
      </c>
      <c r="E467" s="159" t="str">
        <f>VLOOKUP(C467,DMSP!$A$1:$C$39,3,0)</f>
        <v>KELPIT</v>
      </c>
      <c r="F467" s="160">
        <f t="shared" si="48"/>
        <v>0</v>
      </c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2">
        <f t="shared" si="51"/>
        <v>0</v>
      </c>
      <c r="T467" s="167"/>
    </row>
    <row r="468" customHeight="1" spans="2:20">
      <c r="B468" s="166"/>
      <c r="C468" s="164">
        <f t="shared" si="50"/>
        <v>7</v>
      </c>
      <c r="D468" s="158" t="str">
        <f>VLOOKUP(C468,DMSP!$A$1:$C$39,2,0)</f>
        <v>3.SPRAY </v>
      </c>
      <c r="E468" s="159" t="str">
        <f>VLOOKUP(C468,DMSP!$A$1:$C$39,3,0)</f>
        <v>SI-K</v>
      </c>
      <c r="F468" s="160">
        <f t="shared" si="48"/>
        <v>0</v>
      </c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2">
        <f t="shared" si="51"/>
        <v>0</v>
      </c>
      <c r="T468" s="167"/>
    </row>
    <row r="469" customHeight="1" spans="2:20">
      <c r="B469" s="166"/>
      <c r="C469" s="164">
        <f t="shared" si="50"/>
        <v>8</v>
      </c>
      <c r="D469" s="158" t="str">
        <f>VLOOKUP(C469,DMSP!$A$1:$C$39,2,0)</f>
        <v>3.SPRAY </v>
      </c>
      <c r="E469" s="159" t="str">
        <f>VLOOKUP(C469,DMSP!$A$1:$C$39,3,0)</f>
        <v>SPRAY PHOS 620</v>
      </c>
      <c r="F469" s="160">
        <f t="shared" si="48"/>
        <v>0</v>
      </c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2">
        <f t="shared" si="51"/>
        <v>0</v>
      </c>
      <c r="T469" s="167"/>
    </row>
    <row r="470" customHeight="1" spans="2:20">
      <c r="B470" s="166"/>
      <c r="C470" s="164">
        <f t="shared" si="50"/>
        <v>9</v>
      </c>
      <c r="D470" s="158" t="str">
        <f>VLOOKUP(C470,DMSP!$A$1:$C$39,2,0)</f>
        <v>4.DƯỠNG RỄ</v>
      </c>
      <c r="E470" s="159" t="str">
        <f>VLOOKUP(C470,DMSP!$A$1:$C$39,3,0)</f>
        <v>CHITOSAN</v>
      </c>
      <c r="F470" s="160">
        <f t="shared" si="48"/>
        <v>0</v>
      </c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2">
        <f t="shared" si="51"/>
        <v>0</v>
      </c>
      <c r="T470" s="167"/>
    </row>
    <row r="471" customHeight="1" spans="2:20">
      <c r="B471" s="166"/>
      <c r="C471" s="164">
        <f t="shared" si="50"/>
        <v>10</v>
      </c>
      <c r="D471" s="158" t="str">
        <f>VLOOKUP(C471,DMSP!$A$1:$C$39,2,0)</f>
        <v>4.DƯỠNG RỄ</v>
      </c>
      <c r="E471" s="159" t="str">
        <f>VLOOKUP(C471,DMSP!$A$1:$C$39,3,0)</f>
        <v>ĐẠM CÁ</v>
      </c>
      <c r="F471" s="160">
        <f t="shared" si="48"/>
        <v>0</v>
      </c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2">
        <f t="shared" si="51"/>
        <v>0</v>
      </c>
      <c r="T471" s="167"/>
    </row>
    <row r="472" customHeight="1" spans="2:20">
      <c r="B472" s="166"/>
      <c r="C472" s="164">
        <f t="shared" si="50"/>
        <v>11</v>
      </c>
      <c r="D472" s="158" t="str">
        <f>VLOOKUP(C472,DMSP!$A$1:$C$39,2,0)</f>
        <v>4.DƯỠNG RỄ</v>
      </c>
      <c r="E472" s="159" t="str">
        <f>VLOOKUP(C472,DMSP!$A$1:$C$39,3,0)</f>
        <v>ĐẠM TÔM</v>
      </c>
      <c r="F472" s="160">
        <f t="shared" si="48"/>
        <v>0</v>
      </c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2">
        <f t="shared" si="51"/>
        <v>0</v>
      </c>
      <c r="T472" s="167"/>
    </row>
    <row r="473" customHeight="1" spans="2:20">
      <c r="B473" s="166"/>
      <c r="C473" s="164">
        <f t="shared" si="50"/>
        <v>12</v>
      </c>
      <c r="D473" s="158" t="str">
        <f>VLOOKUP(C473,DMSP!$A$1:$C$39,2,0)</f>
        <v>4.DƯỠNG RỄ</v>
      </c>
      <c r="E473" s="159" t="str">
        <f>VLOOKUP(C473,DMSP!$A$1:$C$39,3,0)</f>
        <v>SUPERMIC</v>
      </c>
      <c r="F473" s="160">
        <f t="shared" si="48"/>
        <v>18</v>
      </c>
      <c r="G473" s="161"/>
      <c r="H473" s="161"/>
      <c r="I473" s="161">
        <v>18</v>
      </c>
      <c r="J473" s="161"/>
      <c r="K473" s="161"/>
      <c r="L473" s="161"/>
      <c r="M473" s="161"/>
      <c r="N473" s="161"/>
      <c r="O473" s="161"/>
      <c r="P473" s="161"/>
      <c r="Q473" s="161"/>
      <c r="R473" s="161"/>
      <c r="S473" s="162">
        <f t="shared" si="51"/>
        <v>18</v>
      </c>
      <c r="T473" s="167"/>
    </row>
    <row r="474" customHeight="1" spans="2:20">
      <c r="B474" s="166"/>
      <c r="C474" s="164">
        <f t="shared" si="50"/>
        <v>13</v>
      </c>
      <c r="D474" s="158" t="str">
        <f>VLOOKUP(C474,DMSP!$A$1:$C$39,2,0)</f>
        <v>5.TRUYỀN THỐNG</v>
      </c>
      <c r="E474" s="159" t="str">
        <f>VLOOKUP(C474,DMSP!$A$1:$C$39,3,0)</f>
        <v>CABO</v>
      </c>
      <c r="F474" s="160">
        <f t="shared" si="48"/>
        <v>0</v>
      </c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2">
        <f t="shared" si="51"/>
        <v>0</v>
      </c>
      <c r="T474" s="167"/>
    </row>
    <row r="475" customHeight="1" spans="2:20">
      <c r="B475" s="166"/>
      <c r="C475" s="164">
        <f t="shared" si="50"/>
        <v>14</v>
      </c>
      <c r="D475" s="158" t="str">
        <f>VLOOKUP(C475,DMSP!$A$1:$C$39,2,0)</f>
        <v>5.TRUYỀN THỐNG</v>
      </c>
      <c r="E475" s="159" t="str">
        <f>VLOOKUP(C475,DMSP!$A$1:$C$39,3,0)</f>
        <v>F94</v>
      </c>
      <c r="F475" s="160">
        <f t="shared" si="48"/>
        <v>0</v>
      </c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2">
        <f t="shared" si="51"/>
        <v>0</v>
      </c>
      <c r="T475" s="167"/>
    </row>
    <row r="476" customHeight="1" spans="2:20">
      <c r="B476" s="166"/>
      <c r="C476" s="164">
        <f t="shared" si="50"/>
        <v>15</v>
      </c>
      <c r="D476" s="158" t="str">
        <f>VLOOKUP(C476,DMSP!$A$1:$C$39,2,0)</f>
        <v>5.TRUYỀN THỐNG</v>
      </c>
      <c r="E476" s="159" t="str">
        <f>VLOOKUP(C476,DMSP!$A$1:$C$39,3,0)</f>
        <v>F95</v>
      </c>
      <c r="F476" s="160">
        <f t="shared" si="48"/>
        <v>0</v>
      </c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2">
        <f t="shared" si="51"/>
        <v>0</v>
      </c>
      <c r="T476" s="167"/>
    </row>
    <row r="477" customHeight="1" spans="2:20">
      <c r="B477" s="166"/>
      <c r="C477" s="164">
        <f t="shared" si="50"/>
        <v>16</v>
      </c>
      <c r="D477" s="158" t="str">
        <f>VLOOKUP(C477,DMSP!$A$1:$C$39,2,0)</f>
        <v>5.TRUYỀN THỐNG</v>
      </c>
      <c r="E477" s="159" t="str">
        <f>VLOOKUP(C477,DMSP!$A$1:$C$39,3,0)</f>
        <v>THIOURE</v>
      </c>
      <c r="F477" s="160">
        <f t="shared" si="48"/>
        <v>0</v>
      </c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2">
        <f t="shared" si="51"/>
        <v>0</v>
      </c>
      <c r="T477" s="167"/>
    </row>
    <row r="478" customHeight="1" spans="2:20">
      <c r="B478" s="166"/>
      <c r="C478" s="164">
        <f t="shared" si="50"/>
        <v>17</v>
      </c>
      <c r="D478" s="158" t="str">
        <f>VLOOKUP(C478,DMSP!$A$1:$C$39,2,0)</f>
        <v>5.TRUYỀN THỐNG</v>
      </c>
      <c r="E478" s="159" t="str">
        <f>VLOOKUP(C478,DMSP!$A$1:$C$39,3,0)</f>
        <v>TOBA JUM</v>
      </c>
      <c r="F478" s="160">
        <f t="shared" si="48"/>
        <v>0</v>
      </c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2">
        <f t="shared" si="51"/>
        <v>0</v>
      </c>
      <c r="T478" s="167"/>
    </row>
    <row r="479" customHeight="1" spans="2:20">
      <c r="B479" s="166"/>
      <c r="C479" s="164">
        <f t="shared" si="50"/>
        <v>18</v>
      </c>
      <c r="D479" s="158" t="str">
        <f>VLOOKUP(C479,DMSP!$A$1:$C$39,2,0)</f>
        <v>5.TRUYỀN THỐNG</v>
      </c>
      <c r="E479" s="159" t="str">
        <f>VLOOKUP(C479,DMSP!$A$1:$C$39,3,0)</f>
        <v>TOBA NET</v>
      </c>
      <c r="F479" s="160">
        <f t="shared" si="48"/>
        <v>0</v>
      </c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2">
        <f t="shared" si="51"/>
        <v>0</v>
      </c>
      <c r="T479" s="167"/>
    </row>
    <row r="480" customHeight="1" spans="2:20">
      <c r="B480" s="166"/>
      <c r="C480" s="164">
        <f t="shared" si="50"/>
        <v>19</v>
      </c>
      <c r="D480" s="158" t="str">
        <f>VLOOKUP(C480,DMSP!$A$1:$C$39,2,0)</f>
        <v>6.BVTV</v>
      </c>
      <c r="E480" s="159" t="str">
        <f>VLOOKUP(C480,DMSP!$A$1:$C$39,3,0)</f>
        <v>ABAFAX 1.8</v>
      </c>
      <c r="F480" s="160">
        <f t="shared" si="48"/>
        <v>0</v>
      </c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2">
        <f t="shared" si="51"/>
        <v>0</v>
      </c>
      <c r="T480" s="167"/>
    </row>
    <row r="481" customHeight="1" spans="2:20">
      <c r="B481" s="166"/>
      <c r="C481" s="164">
        <f t="shared" si="50"/>
        <v>20</v>
      </c>
      <c r="D481" s="158" t="str">
        <f>VLOOKUP(C481,DMSP!$A$1:$C$39,2,0)</f>
        <v>6.BVTV</v>
      </c>
      <c r="E481" s="159" t="str">
        <f>VLOOKUP(C481,DMSP!$A$1:$C$39,3,0)</f>
        <v>ABAFAX 3.6</v>
      </c>
      <c r="F481" s="160">
        <f t="shared" si="48"/>
        <v>0</v>
      </c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2">
        <f t="shared" si="51"/>
        <v>0</v>
      </c>
      <c r="T481" s="167"/>
    </row>
    <row r="482" customHeight="1" spans="2:20">
      <c r="B482" s="166"/>
      <c r="C482" s="164">
        <f t="shared" si="50"/>
        <v>21</v>
      </c>
      <c r="D482" s="158" t="str">
        <f>VLOOKUP(C482,DMSP!$A$1:$C$39,2,0)</f>
        <v>6.BVTV</v>
      </c>
      <c r="E482" s="159" t="str">
        <f>VLOOKUP(C482,DMSP!$A$1:$C$39,3,0)</f>
        <v>AZET</v>
      </c>
      <c r="F482" s="160">
        <f t="shared" si="48"/>
        <v>0</v>
      </c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2">
        <f t="shared" si="51"/>
        <v>0</v>
      </c>
      <c r="T482" s="167"/>
    </row>
    <row r="483" customHeight="1" spans="2:20">
      <c r="B483" s="166"/>
      <c r="C483" s="164">
        <f t="shared" si="50"/>
        <v>22</v>
      </c>
      <c r="D483" s="158" t="str">
        <f>VLOOKUP(C483,DMSP!$A$1:$C$39,2,0)</f>
        <v>6.BVTV</v>
      </c>
      <c r="E483" s="159" t="str">
        <f>VLOOKUP(C483,DMSP!$A$1:$C$39,3,0)</f>
        <v>BACBA</v>
      </c>
      <c r="F483" s="160">
        <f t="shared" si="48"/>
        <v>0</v>
      </c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2">
        <f t="shared" si="51"/>
        <v>0</v>
      </c>
      <c r="T483" s="167"/>
    </row>
    <row r="484" customHeight="1" spans="2:20">
      <c r="B484" s="166"/>
      <c r="C484" s="164">
        <f t="shared" si="50"/>
        <v>23</v>
      </c>
      <c r="D484" s="158" t="str">
        <f>VLOOKUP(C484,DMSP!$A$1:$C$39,2,0)</f>
        <v>6.BVTV</v>
      </c>
      <c r="E484" s="159" t="str">
        <f>VLOOKUP(C484,DMSP!$A$1:$C$39,3,0)</f>
        <v>BIOROSAMIL</v>
      </c>
      <c r="F484" s="160">
        <f t="shared" si="48"/>
        <v>0</v>
      </c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2">
        <f t="shared" si="51"/>
        <v>0</v>
      </c>
      <c r="T484" s="167"/>
    </row>
    <row r="485" customHeight="1" spans="2:20">
      <c r="B485" s="166"/>
      <c r="C485" s="164">
        <f t="shared" si="50"/>
        <v>24</v>
      </c>
      <c r="D485" s="158" t="str">
        <f>VLOOKUP(C485,DMSP!$A$1:$C$39,2,0)</f>
        <v>6.BVTV</v>
      </c>
      <c r="E485" s="159" t="str">
        <f>VLOOKUP(C485,DMSP!$A$1:$C$39,3,0)</f>
        <v>COC 86</v>
      </c>
      <c r="F485" s="160">
        <f t="shared" si="48"/>
        <v>0</v>
      </c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2">
        <f t="shared" si="51"/>
        <v>0</v>
      </c>
      <c r="T485" s="167"/>
    </row>
    <row r="486" customHeight="1" spans="2:20">
      <c r="B486" s="166"/>
      <c r="C486" s="164">
        <f t="shared" si="50"/>
        <v>25</v>
      </c>
      <c r="D486" s="158" t="str">
        <f>VLOOKUP(C486,DMSP!$A$1:$C$39,2,0)</f>
        <v>6.BVTV</v>
      </c>
      <c r="E486" s="159" t="str">
        <f>VLOOKUP(C486,DMSP!$A$1:$C$39,3,0)</f>
        <v>HEXA 5</v>
      </c>
      <c r="F486" s="160">
        <f t="shared" si="48"/>
        <v>0</v>
      </c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2">
        <f t="shared" si="51"/>
        <v>0</v>
      </c>
      <c r="T486" s="167"/>
    </row>
    <row r="487" customHeight="1" spans="2:20">
      <c r="B487" s="166"/>
      <c r="C487" s="164">
        <f t="shared" si="50"/>
        <v>26</v>
      </c>
      <c r="D487" s="158" t="str">
        <f>VLOOKUP(C487,DMSP!$A$1:$C$39,2,0)</f>
        <v>6.BVTV</v>
      </c>
      <c r="E487" s="159" t="str">
        <f>VLOOKUP(C487,DMSP!$A$1:$C$39,3,0)</f>
        <v>TAMALA</v>
      </c>
      <c r="F487" s="160">
        <f t="shared" si="48"/>
        <v>0</v>
      </c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2">
        <f t="shared" si="51"/>
        <v>0</v>
      </c>
      <c r="T487" s="167"/>
    </row>
    <row r="488" customHeight="1" spans="2:20">
      <c r="B488" s="166"/>
      <c r="C488" s="164">
        <f t="shared" si="50"/>
        <v>27</v>
      </c>
      <c r="D488" s="158" t="str">
        <f>VLOOKUP(C488,DMSP!$A$1:$C$39,2,0)</f>
        <v>7.KHÁC</v>
      </c>
      <c r="E488" s="159" t="str">
        <f>VLOOKUP(C488,DMSP!$A$1:$C$39,3,0)</f>
        <v>KẼM VÀNG</v>
      </c>
      <c r="F488" s="160">
        <f t="shared" si="48"/>
        <v>0</v>
      </c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2">
        <f t="shared" si="51"/>
        <v>0</v>
      </c>
      <c r="T488" s="167"/>
    </row>
    <row r="489" customHeight="1" spans="2:20">
      <c r="B489" s="166"/>
      <c r="C489" s="164">
        <f t="shared" si="50"/>
        <v>28</v>
      </c>
      <c r="D489" s="158" t="str">
        <f>VLOOKUP(C489,DMSP!$A$1:$C$39,2,0)</f>
        <v>7.KHÁC</v>
      </c>
      <c r="E489" s="159" t="str">
        <f>VLOOKUP(C489,DMSP!$A$1:$C$39,3,0)</f>
        <v>KHÁC1</v>
      </c>
      <c r="F489" s="160">
        <f t="shared" si="48"/>
        <v>0</v>
      </c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2">
        <f t="shared" si="51"/>
        <v>0</v>
      </c>
      <c r="T489" s="167"/>
    </row>
    <row r="490" customHeight="1" spans="2:20">
      <c r="B490" s="166"/>
      <c r="C490" s="164">
        <f t="shared" si="50"/>
        <v>29</v>
      </c>
      <c r="D490" s="158" t="str">
        <f>VLOOKUP(C490,DMSP!$A$1:$C$39,2,0)</f>
        <v>7.KHÁC</v>
      </c>
      <c r="E490" s="169" t="s">
        <v>13</v>
      </c>
      <c r="F490" s="160">
        <f t="shared" si="48"/>
        <v>0</v>
      </c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2">
        <f t="shared" si="51"/>
        <v>0</v>
      </c>
      <c r="T490" s="167"/>
    </row>
    <row r="491" customHeight="1" spans="2:20">
      <c r="B491" s="166"/>
      <c r="C491" s="164">
        <f t="shared" si="50"/>
        <v>30</v>
      </c>
      <c r="D491" s="158" t="str">
        <f>VLOOKUP(C491,DMSP!$A$1:$C$39,2,0)</f>
        <v>7.KHÁC</v>
      </c>
      <c r="E491" s="159" t="str">
        <f>VLOOKUP(C491,DMSP!$A$1:$C$39,3,0)</f>
        <v>RỬA RONG RÊU</v>
      </c>
      <c r="F491" s="160">
        <f t="shared" si="48"/>
        <v>0</v>
      </c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2">
        <f t="shared" si="51"/>
        <v>0</v>
      </c>
      <c r="T491" s="167"/>
    </row>
    <row r="492" customHeight="1" spans="2:20">
      <c r="B492" s="166"/>
      <c r="C492" s="164">
        <f t="shared" si="50"/>
        <v>31</v>
      </c>
      <c r="D492" s="158" t="str">
        <f>VLOOKUP(C492,DMSP!$A$1:$C$39,2,0)</f>
        <v>7.KHÁC</v>
      </c>
      <c r="E492" s="159" t="str">
        <f>VLOOKUP(C492,DMSP!$A$1:$C$39,3,0)</f>
        <v>TB BO</v>
      </c>
      <c r="F492" s="160">
        <f t="shared" si="48"/>
        <v>0</v>
      </c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2">
        <f t="shared" si="51"/>
        <v>0</v>
      </c>
      <c r="T492" s="167"/>
    </row>
    <row r="493" customHeight="1" spans="2:20">
      <c r="B493" s="166"/>
      <c r="C493" s="164">
        <f t="shared" si="50"/>
        <v>32</v>
      </c>
      <c r="D493" s="158" t="str">
        <f>VLOOKUP(C493,DMSP!$A$1:$C$39,2,0)</f>
        <v>7.KHÁC</v>
      </c>
      <c r="E493" s="159" t="str">
        <f>VLOOKUP(C493,DMSP!$A$1:$C$39,3,0)</f>
        <v>TB FRUIT</v>
      </c>
      <c r="F493" s="160">
        <f t="shared" si="48"/>
        <v>0</v>
      </c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2">
        <f t="shared" si="51"/>
        <v>0</v>
      </c>
      <c r="T493" s="167"/>
    </row>
    <row r="494" customHeight="1" spans="2:20">
      <c r="B494" s="166"/>
      <c r="C494" s="164">
        <f t="shared" si="50"/>
        <v>33</v>
      </c>
      <c r="D494" s="158" t="str">
        <f>VLOOKUP(C494,DMSP!$A$1:$C$39,2,0)</f>
        <v>7.KHÁC</v>
      </c>
      <c r="E494" s="159" t="str">
        <f>VLOOKUP(C494,DMSP!$A$1:$C$39,3,0)</f>
        <v>TB PHOS</v>
      </c>
      <c r="F494" s="160">
        <f t="shared" si="48"/>
        <v>0</v>
      </c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2">
        <f t="shared" si="51"/>
        <v>0</v>
      </c>
      <c r="T494" s="167"/>
    </row>
    <row r="495" customHeight="1" spans="2:20">
      <c r="B495" s="166"/>
      <c r="C495" s="164">
        <f t="shared" si="50"/>
        <v>34</v>
      </c>
      <c r="D495" s="158" t="str">
        <f>VLOOKUP(C495,DMSP!$A$1:$C$39,2,0)</f>
        <v>7.KHÁC</v>
      </c>
      <c r="E495" s="159" t="str">
        <f>VLOOKUP(C495,DMSP!$A$1:$C$39,3,0)</f>
        <v>TOBA BÁM DÍNH</v>
      </c>
      <c r="F495" s="160">
        <f t="shared" si="48"/>
        <v>0</v>
      </c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2">
        <f t="shared" si="51"/>
        <v>0</v>
      </c>
      <c r="T495" s="167"/>
    </row>
    <row r="496" customHeight="1" spans="2:20">
      <c r="B496" s="166"/>
      <c r="C496" s="164">
        <f t="shared" si="50"/>
        <v>35</v>
      </c>
      <c r="D496" s="158" t="str">
        <f>VLOOKUP(C496,DMSP!$A$1:$C$39,2,0)</f>
        <v>7.KHÁC</v>
      </c>
      <c r="E496" s="159" t="str">
        <f>VLOOKUP(C496,DMSP!$A$1:$C$39,3,0)</f>
        <v>VỌT HOA NHÃN</v>
      </c>
      <c r="F496" s="160">
        <f t="shared" si="48"/>
        <v>0</v>
      </c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2">
        <f t="shared" si="51"/>
        <v>0</v>
      </c>
      <c r="T496" s="167"/>
    </row>
    <row r="497" customHeight="1" spans="2:20">
      <c r="B497" s="166"/>
      <c r="C497" s="164">
        <f t="shared" si="50"/>
        <v>36</v>
      </c>
      <c r="D497" s="158" t="str">
        <f>VLOOKUP(C497,DMSP!$A$1:$C$39,2,0)</f>
        <v>7.KHÁC</v>
      </c>
      <c r="E497" s="159" t="str">
        <f>VLOOKUP(C497,DMSP!$A$1:$C$39,3,0)</f>
        <v>VỌT HOA XOÀI</v>
      </c>
      <c r="F497" s="160">
        <f t="shared" si="48"/>
        <v>0</v>
      </c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2">
        <f t="shared" si="51"/>
        <v>0</v>
      </c>
      <c r="T497" s="167"/>
    </row>
    <row r="498" customHeight="1" spans="2:20">
      <c r="B498" s="166"/>
      <c r="C498" s="164">
        <f t="shared" si="50"/>
        <v>37</v>
      </c>
      <c r="D498" s="158" t="str">
        <f>VLOOKUP(C498,DMSP!$A$1:$C$39,2,0)</f>
        <v>7.KHÁC</v>
      </c>
      <c r="E498" s="159" t="str">
        <f>VLOOKUP(C498,DMSP!$A$1:$C$39,3,0)</f>
        <v>VỌT HOA XOÀI</v>
      </c>
      <c r="F498" s="160">
        <f t="shared" si="48"/>
        <v>0</v>
      </c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2">
        <f t="shared" si="51"/>
        <v>0</v>
      </c>
      <c r="T498" s="167"/>
    </row>
    <row r="499" customHeight="1" spans="2:20">
      <c r="B499" s="92"/>
      <c r="C499" s="170" t="str">
        <f t="shared" ref="C499" si="52">B462</f>
        <v>BA THƠ </v>
      </c>
      <c r="D499" s="171"/>
      <c r="E499" s="172" t="str">
        <f>"TOTAL "&amp;B462</f>
        <v>TOTAL BA THƠ </v>
      </c>
      <c r="F499" s="173">
        <f t="shared" si="48"/>
        <v>18</v>
      </c>
      <c r="G499" s="174">
        <f>SUM(G462:G498)</f>
        <v>0</v>
      </c>
      <c r="H499" s="174">
        <f t="shared" ref="H499:R499" si="53">SUM(H462:H498)</f>
        <v>0</v>
      </c>
      <c r="I499" s="174">
        <f t="shared" si="53"/>
        <v>18</v>
      </c>
      <c r="J499" s="174">
        <f t="shared" si="53"/>
        <v>0</v>
      </c>
      <c r="K499" s="174">
        <f t="shared" si="53"/>
        <v>0</v>
      </c>
      <c r="L499" s="174">
        <f t="shared" si="53"/>
        <v>0</v>
      </c>
      <c r="M499" s="174">
        <f t="shared" si="53"/>
        <v>0</v>
      </c>
      <c r="N499" s="174">
        <f t="shared" si="53"/>
        <v>0</v>
      </c>
      <c r="O499" s="174">
        <f t="shared" si="53"/>
        <v>0</v>
      </c>
      <c r="P499" s="174">
        <f t="shared" si="53"/>
        <v>0</v>
      </c>
      <c r="Q499" s="174">
        <f t="shared" si="53"/>
        <v>0</v>
      </c>
      <c r="R499" s="174">
        <f t="shared" si="53"/>
        <v>0</v>
      </c>
      <c r="S499" s="174">
        <f t="shared" si="51"/>
        <v>18</v>
      </c>
      <c r="T499" s="175"/>
    </row>
    <row r="500" customHeight="1" spans="2:20">
      <c r="B500" s="156" t="s">
        <v>26</v>
      </c>
      <c r="C500" s="157">
        <v>1</v>
      </c>
      <c r="D500" s="158" t="str">
        <f>VLOOKUP(C500,DMSP!$A$1:$C$39,2,0)</f>
        <v>1.TOBA XANH</v>
      </c>
      <c r="E500" s="159" t="str">
        <f>VLOOKUP(C500,DMSP!$A$1:$C$39,3,0)</f>
        <v>TOBA XANH</v>
      </c>
      <c r="F500" s="160">
        <f t="shared" si="48"/>
        <v>0</v>
      </c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2">
        <f t="shared" si="51"/>
        <v>0</v>
      </c>
      <c r="T500" s="163">
        <f>S537</f>
        <v>11</v>
      </c>
    </row>
    <row r="501" customHeight="1" spans="2:20">
      <c r="B501" s="166"/>
      <c r="C501" s="164">
        <f t="shared" si="50"/>
        <v>2</v>
      </c>
      <c r="D501" s="158" t="str">
        <f>VLOOKUP(C501,DMSP!$A$1:$C$39,2,0)</f>
        <v>2.HC</v>
      </c>
      <c r="E501" s="159" t="str">
        <f>VLOOKUP(C501,DMSP!$A$1:$C$39,3,0)</f>
        <v>HC BOOSTER</v>
      </c>
      <c r="F501" s="160">
        <f t="shared" si="48"/>
        <v>0</v>
      </c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2">
        <f t="shared" ref="S501:S538" si="54">SUM(G501:R501)</f>
        <v>0</v>
      </c>
      <c r="T501" s="167"/>
    </row>
    <row r="502" customHeight="1" spans="2:20">
      <c r="B502" s="166"/>
      <c r="C502" s="164">
        <f t="shared" si="50"/>
        <v>3</v>
      </c>
      <c r="D502" s="158" t="str">
        <f>VLOOKUP(C502,DMSP!$A$1:$C$39,2,0)</f>
        <v>2.HC</v>
      </c>
      <c r="E502" s="159" t="str">
        <f>VLOOKUP(C502,DMSP!$A$1:$C$39,3,0)</f>
        <v>HC KING-ROOT</v>
      </c>
      <c r="F502" s="160">
        <f t="shared" si="48"/>
        <v>0</v>
      </c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2">
        <f t="shared" si="54"/>
        <v>0</v>
      </c>
      <c r="T502" s="167"/>
    </row>
    <row r="503" customHeight="1" spans="2:20">
      <c r="B503" s="166"/>
      <c r="C503" s="164">
        <f t="shared" si="50"/>
        <v>4</v>
      </c>
      <c r="D503" s="158" t="str">
        <f>VLOOKUP(C503,DMSP!$A$1:$C$39,2,0)</f>
        <v>2.HC</v>
      </c>
      <c r="E503" s="159" t="str">
        <f>VLOOKUP(C503,DMSP!$A$1:$C$39,3,0)</f>
        <v>HAPPY FARM</v>
      </c>
      <c r="F503" s="160">
        <f t="shared" si="48"/>
        <v>0</v>
      </c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2">
        <f t="shared" si="54"/>
        <v>0</v>
      </c>
      <c r="T503" s="167"/>
    </row>
    <row r="504" customHeight="1" spans="2:20">
      <c r="B504" s="166"/>
      <c r="C504" s="164">
        <f t="shared" si="50"/>
        <v>5</v>
      </c>
      <c r="D504" s="158" t="str">
        <f>VLOOKUP(C504,DMSP!$A$1:$C$39,2,0)</f>
        <v>2.HC</v>
      </c>
      <c r="E504" s="159" t="str">
        <f>VLOOKUP(C504,DMSP!$A$1:$C$39,3,0)</f>
        <v>WOW</v>
      </c>
      <c r="F504" s="160">
        <f t="shared" si="48"/>
        <v>0</v>
      </c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2">
        <f t="shared" si="54"/>
        <v>0</v>
      </c>
      <c r="T504" s="167"/>
    </row>
    <row r="505" customHeight="1" spans="2:20">
      <c r="B505" s="166"/>
      <c r="C505" s="164">
        <f t="shared" si="50"/>
        <v>6</v>
      </c>
      <c r="D505" s="158" t="str">
        <f>VLOOKUP(C505,DMSP!$A$1:$C$39,2,0)</f>
        <v>3.SPRAY </v>
      </c>
      <c r="E505" s="159" t="str">
        <f>VLOOKUP(C505,DMSP!$A$1:$C$39,3,0)</f>
        <v>KELPIT</v>
      </c>
      <c r="F505" s="160">
        <f t="shared" si="48"/>
        <v>0</v>
      </c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2">
        <f t="shared" si="54"/>
        <v>0</v>
      </c>
      <c r="T505" s="167"/>
    </row>
    <row r="506" customHeight="1" spans="2:20">
      <c r="B506" s="166"/>
      <c r="C506" s="164">
        <f t="shared" si="50"/>
        <v>7</v>
      </c>
      <c r="D506" s="158" t="str">
        <f>VLOOKUP(C506,DMSP!$A$1:$C$39,2,0)</f>
        <v>3.SPRAY </v>
      </c>
      <c r="E506" s="159" t="str">
        <f>VLOOKUP(C506,DMSP!$A$1:$C$39,3,0)</f>
        <v>SI-K</v>
      </c>
      <c r="F506" s="160">
        <f t="shared" si="48"/>
        <v>0</v>
      </c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2">
        <f t="shared" si="54"/>
        <v>0</v>
      </c>
      <c r="T506" s="167"/>
    </row>
    <row r="507" customHeight="1" spans="2:20">
      <c r="B507" s="166"/>
      <c r="C507" s="164">
        <f t="shared" si="50"/>
        <v>8</v>
      </c>
      <c r="D507" s="158" t="str">
        <f>VLOOKUP(C507,DMSP!$A$1:$C$39,2,0)</f>
        <v>3.SPRAY </v>
      </c>
      <c r="E507" s="159" t="str">
        <f>VLOOKUP(C507,DMSP!$A$1:$C$39,3,0)</f>
        <v>SPRAY PHOS 620</v>
      </c>
      <c r="F507" s="160">
        <f t="shared" si="48"/>
        <v>0</v>
      </c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2">
        <f t="shared" si="54"/>
        <v>0</v>
      </c>
      <c r="T507" s="167"/>
    </row>
    <row r="508" customHeight="1" spans="2:20">
      <c r="B508" s="166"/>
      <c r="C508" s="164">
        <f t="shared" si="50"/>
        <v>9</v>
      </c>
      <c r="D508" s="158" t="str">
        <f>VLOOKUP(C508,DMSP!$A$1:$C$39,2,0)</f>
        <v>4.DƯỠNG RỄ</v>
      </c>
      <c r="E508" s="159" t="str">
        <f>VLOOKUP(C508,DMSP!$A$1:$C$39,3,0)</f>
        <v>CHITOSAN</v>
      </c>
      <c r="F508" s="160">
        <f t="shared" si="48"/>
        <v>0</v>
      </c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2">
        <f t="shared" si="54"/>
        <v>0</v>
      </c>
      <c r="T508" s="167"/>
    </row>
    <row r="509" customHeight="1" spans="2:20">
      <c r="B509" s="166"/>
      <c r="C509" s="164">
        <f t="shared" si="50"/>
        <v>10</v>
      </c>
      <c r="D509" s="158" t="str">
        <f>VLOOKUP(C509,DMSP!$A$1:$C$39,2,0)</f>
        <v>4.DƯỠNG RỄ</v>
      </c>
      <c r="E509" s="159" t="str">
        <f>VLOOKUP(C509,DMSP!$A$1:$C$39,3,0)</f>
        <v>ĐẠM CÁ</v>
      </c>
      <c r="F509" s="160">
        <f t="shared" si="48"/>
        <v>0</v>
      </c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2">
        <f t="shared" si="54"/>
        <v>0</v>
      </c>
      <c r="T509" s="167"/>
    </row>
    <row r="510" customHeight="1" spans="2:20">
      <c r="B510" s="166"/>
      <c r="C510" s="164">
        <f t="shared" si="50"/>
        <v>11</v>
      </c>
      <c r="D510" s="158" t="str">
        <f>VLOOKUP(C510,DMSP!$A$1:$C$39,2,0)</f>
        <v>4.DƯỠNG RỄ</v>
      </c>
      <c r="E510" s="159" t="str">
        <f>VLOOKUP(C510,DMSP!$A$1:$C$39,3,0)</f>
        <v>ĐẠM TÔM</v>
      </c>
      <c r="F510" s="160">
        <f t="shared" si="48"/>
        <v>0</v>
      </c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2">
        <f t="shared" si="54"/>
        <v>0</v>
      </c>
      <c r="T510" s="167"/>
    </row>
    <row r="511" customHeight="1" spans="2:20">
      <c r="B511" s="166"/>
      <c r="C511" s="164">
        <f t="shared" si="50"/>
        <v>12</v>
      </c>
      <c r="D511" s="158" t="str">
        <f>VLOOKUP(C511,DMSP!$A$1:$C$39,2,0)</f>
        <v>4.DƯỠNG RỄ</v>
      </c>
      <c r="E511" s="159" t="str">
        <f>VLOOKUP(C511,DMSP!$A$1:$C$39,3,0)</f>
        <v>SUPERMIC</v>
      </c>
      <c r="F511" s="160">
        <f t="shared" si="48"/>
        <v>0</v>
      </c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2">
        <f t="shared" si="54"/>
        <v>0</v>
      </c>
      <c r="T511" s="167"/>
    </row>
    <row r="512" customHeight="1" spans="2:20">
      <c r="B512" s="166"/>
      <c r="C512" s="164">
        <f t="shared" si="50"/>
        <v>13</v>
      </c>
      <c r="D512" s="158" t="str">
        <f>VLOOKUP(C512,DMSP!$A$1:$C$39,2,0)</f>
        <v>5.TRUYỀN THỐNG</v>
      </c>
      <c r="E512" s="159" t="str">
        <f>VLOOKUP(C512,DMSP!$A$1:$C$39,3,0)</f>
        <v>CABO</v>
      </c>
      <c r="F512" s="160">
        <f t="shared" si="48"/>
        <v>0</v>
      </c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2">
        <f t="shared" si="54"/>
        <v>0</v>
      </c>
      <c r="T512" s="167"/>
    </row>
    <row r="513" customHeight="1" spans="2:20">
      <c r="B513" s="166"/>
      <c r="C513" s="164">
        <f t="shared" si="50"/>
        <v>14</v>
      </c>
      <c r="D513" s="158" t="str">
        <f>VLOOKUP(C513,DMSP!$A$1:$C$39,2,0)</f>
        <v>5.TRUYỀN THỐNG</v>
      </c>
      <c r="E513" s="159" t="str">
        <f>VLOOKUP(C513,DMSP!$A$1:$C$39,3,0)</f>
        <v>F94</v>
      </c>
      <c r="F513" s="160">
        <f t="shared" si="48"/>
        <v>0</v>
      </c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2">
        <f t="shared" si="54"/>
        <v>0</v>
      </c>
      <c r="T513" s="167"/>
    </row>
    <row r="514" customHeight="1" spans="2:20">
      <c r="B514" s="166"/>
      <c r="C514" s="164">
        <f t="shared" si="50"/>
        <v>15</v>
      </c>
      <c r="D514" s="158" t="str">
        <f>VLOOKUP(C514,DMSP!$A$1:$C$39,2,0)</f>
        <v>5.TRUYỀN THỐNG</v>
      </c>
      <c r="E514" s="159" t="str">
        <f>VLOOKUP(C514,DMSP!$A$1:$C$39,3,0)</f>
        <v>F95</v>
      </c>
      <c r="F514" s="160">
        <f t="shared" si="48"/>
        <v>0</v>
      </c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2">
        <f t="shared" si="54"/>
        <v>0</v>
      </c>
      <c r="T514" s="167"/>
    </row>
    <row r="515" customHeight="1" spans="2:20">
      <c r="B515" s="166"/>
      <c r="C515" s="164">
        <f t="shared" si="50"/>
        <v>16</v>
      </c>
      <c r="D515" s="158" t="str">
        <f>VLOOKUP(C515,DMSP!$A$1:$C$39,2,0)</f>
        <v>5.TRUYỀN THỐNG</v>
      </c>
      <c r="E515" s="159" t="str">
        <f>VLOOKUP(C515,DMSP!$A$1:$C$39,3,0)</f>
        <v>THIOURE</v>
      </c>
      <c r="F515" s="160">
        <f t="shared" si="48"/>
        <v>0</v>
      </c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2">
        <f t="shared" si="54"/>
        <v>0</v>
      </c>
      <c r="T515" s="167"/>
    </row>
    <row r="516" customHeight="1" spans="2:20">
      <c r="B516" s="166"/>
      <c r="C516" s="164">
        <f t="shared" si="50"/>
        <v>17</v>
      </c>
      <c r="D516" s="158" t="str">
        <f>VLOOKUP(C516,DMSP!$A$1:$C$39,2,0)</f>
        <v>5.TRUYỀN THỐNG</v>
      </c>
      <c r="E516" s="159" t="str">
        <f>VLOOKUP(C516,DMSP!$A$1:$C$39,3,0)</f>
        <v>TOBA JUM</v>
      </c>
      <c r="F516" s="160">
        <f t="shared" si="48"/>
        <v>0</v>
      </c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2">
        <f t="shared" si="54"/>
        <v>0</v>
      </c>
      <c r="T516" s="167"/>
    </row>
    <row r="517" customHeight="1" spans="2:20">
      <c r="B517" s="166"/>
      <c r="C517" s="164">
        <f t="shared" si="50"/>
        <v>18</v>
      </c>
      <c r="D517" s="158" t="str">
        <f>VLOOKUP(C517,DMSP!$A$1:$C$39,2,0)</f>
        <v>5.TRUYỀN THỐNG</v>
      </c>
      <c r="E517" s="159" t="str">
        <f>VLOOKUP(C517,DMSP!$A$1:$C$39,3,0)</f>
        <v>TOBA NET</v>
      </c>
      <c r="F517" s="160">
        <f t="shared" si="48"/>
        <v>0</v>
      </c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2">
        <f t="shared" si="54"/>
        <v>0</v>
      </c>
      <c r="T517" s="167"/>
    </row>
    <row r="518" customHeight="1" spans="2:20">
      <c r="B518" s="166"/>
      <c r="C518" s="164">
        <f t="shared" si="50"/>
        <v>19</v>
      </c>
      <c r="D518" s="158" t="str">
        <f>VLOOKUP(C518,DMSP!$A$1:$C$39,2,0)</f>
        <v>6.BVTV</v>
      </c>
      <c r="E518" s="159" t="str">
        <f>VLOOKUP(C518,DMSP!$A$1:$C$39,3,0)</f>
        <v>ABAFAX 1.8</v>
      </c>
      <c r="F518" s="160">
        <f t="shared" si="48"/>
        <v>0</v>
      </c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2">
        <f t="shared" si="54"/>
        <v>0</v>
      </c>
      <c r="T518" s="167"/>
    </row>
    <row r="519" customHeight="1" spans="2:20">
      <c r="B519" s="166"/>
      <c r="C519" s="164">
        <f t="shared" si="50"/>
        <v>20</v>
      </c>
      <c r="D519" s="158" t="str">
        <f>VLOOKUP(C519,DMSP!$A$1:$C$39,2,0)</f>
        <v>6.BVTV</v>
      </c>
      <c r="E519" s="159" t="str">
        <f>VLOOKUP(C519,DMSP!$A$1:$C$39,3,0)</f>
        <v>ABAFAX 3.6</v>
      </c>
      <c r="F519" s="160">
        <f t="shared" ref="F519:F582" si="55">S519</f>
        <v>0</v>
      </c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2">
        <f t="shared" si="54"/>
        <v>0</v>
      </c>
      <c r="T519" s="167"/>
    </row>
    <row r="520" customHeight="1" spans="2:20">
      <c r="B520" s="166"/>
      <c r="C520" s="164">
        <f t="shared" si="50"/>
        <v>21</v>
      </c>
      <c r="D520" s="158" t="str">
        <f>VLOOKUP(C520,DMSP!$A$1:$C$39,2,0)</f>
        <v>6.BVTV</v>
      </c>
      <c r="E520" s="159" t="str">
        <f>VLOOKUP(C520,DMSP!$A$1:$C$39,3,0)</f>
        <v>AZET</v>
      </c>
      <c r="F520" s="160">
        <f t="shared" si="55"/>
        <v>0</v>
      </c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2">
        <f t="shared" si="54"/>
        <v>0</v>
      </c>
      <c r="T520" s="167"/>
    </row>
    <row r="521" customHeight="1" spans="2:20">
      <c r="B521" s="166"/>
      <c r="C521" s="164">
        <f t="shared" si="50"/>
        <v>22</v>
      </c>
      <c r="D521" s="158" t="str">
        <f>VLOOKUP(C521,DMSP!$A$1:$C$39,2,0)</f>
        <v>6.BVTV</v>
      </c>
      <c r="E521" s="159" t="str">
        <f>VLOOKUP(C521,DMSP!$A$1:$C$39,3,0)</f>
        <v>BACBA</v>
      </c>
      <c r="F521" s="160">
        <f t="shared" si="55"/>
        <v>0</v>
      </c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2">
        <f t="shared" si="54"/>
        <v>0</v>
      </c>
      <c r="T521" s="167"/>
    </row>
    <row r="522" customHeight="1" spans="2:20">
      <c r="B522" s="166"/>
      <c r="C522" s="164">
        <f t="shared" si="50"/>
        <v>23</v>
      </c>
      <c r="D522" s="158" t="str">
        <f>VLOOKUP(C522,DMSP!$A$1:$C$39,2,0)</f>
        <v>6.BVTV</v>
      </c>
      <c r="E522" s="159" t="str">
        <f>VLOOKUP(C522,DMSP!$A$1:$C$39,3,0)</f>
        <v>BIOROSAMIL</v>
      </c>
      <c r="F522" s="160">
        <f t="shared" si="55"/>
        <v>0</v>
      </c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2">
        <f t="shared" si="54"/>
        <v>0</v>
      </c>
      <c r="T522" s="167"/>
    </row>
    <row r="523" customHeight="1" spans="2:20">
      <c r="B523" s="166"/>
      <c r="C523" s="164">
        <f t="shared" si="50"/>
        <v>24</v>
      </c>
      <c r="D523" s="158" t="str">
        <f>VLOOKUP(C523,DMSP!$A$1:$C$39,2,0)</f>
        <v>6.BVTV</v>
      </c>
      <c r="E523" s="159" t="str">
        <f>VLOOKUP(C523,DMSP!$A$1:$C$39,3,0)</f>
        <v>COC 86</v>
      </c>
      <c r="F523" s="160">
        <f t="shared" si="55"/>
        <v>0</v>
      </c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2">
        <f t="shared" si="54"/>
        <v>0</v>
      </c>
      <c r="T523" s="167"/>
    </row>
    <row r="524" customHeight="1" spans="2:20">
      <c r="B524" s="166"/>
      <c r="C524" s="164">
        <f t="shared" si="50"/>
        <v>25</v>
      </c>
      <c r="D524" s="158" t="str">
        <f>VLOOKUP(C524,DMSP!$A$1:$C$39,2,0)</f>
        <v>6.BVTV</v>
      </c>
      <c r="E524" s="159" t="str">
        <f>VLOOKUP(C524,DMSP!$A$1:$C$39,3,0)</f>
        <v>HEXA 5</v>
      </c>
      <c r="F524" s="160">
        <f t="shared" si="55"/>
        <v>0</v>
      </c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2">
        <f t="shared" si="54"/>
        <v>0</v>
      </c>
      <c r="T524" s="167"/>
    </row>
    <row r="525" customHeight="1" spans="2:20">
      <c r="B525" s="166"/>
      <c r="C525" s="164">
        <f t="shared" si="50"/>
        <v>26</v>
      </c>
      <c r="D525" s="158" t="str">
        <f>VLOOKUP(C525,DMSP!$A$1:$C$39,2,0)</f>
        <v>6.BVTV</v>
      </c>
      <c r="E525" s="159" t="str">
        <f>VLOOKUP(C525,DMSP!$A$1:$C$39,3,0)</f>
        <v>TAMALA</v>
      </c>
      <c r="F525" s="160">
        <f t="shared" si="55"/>
        <v>0</v>
      </c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2">
        <f t="shared" si="54"/>
        <v>0</v>
      </c>
      <c r="T525" s="167"/>
    </row>
    <row r="526" customHeight="1" spans="2:20">
      <c r="B526" s="166"/>
      <c r="C526" s="164">
        <f t="shared" si="50"/>
        <v>27</v>
      </c>
      <c r="D526" s="158" t="str">
        <f>VLOOKUP(C526,DMSP!$A$1:$C$39,2,0)</f>
        <v>7.KHÁC</v>
      </c>
      <c r="E526" s="159" t="str">
        <f>VLOOKUP(C526,DMSP!$A$1:$C$39,3,0)</f>
        <v>KẼM VÀNG</v>
      </c>
      <c r="F526" s="160">
        <f t="shared" si="55"/>
        <v>0</v>
      </c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2">
        <f t="shared" si="54"/>
        <v>0</v>
      </c>
      <c r="T526" s="167"/>
    </row>
    <row r="527" customHeight="1" spans="2:20">
      <c r="B527" s="166"/>
      <c r="C527" s="164">
        <f t="shared" ref="C527:C536" si="56">C526+1</f>
        <v>28</v>
      </c>
      <c r="D527" s="158" t="str">
        <f>VLOOKUP(C527,DMSP!$A$1:$C$39,2,0)</f>
        <v>7.KHÁC</v>
      </c>
      <c r="E527" s="159" t="str">
        <f>VLOOKUP(C527,DMSP!$A$1:$C$39,3,0)</f>
        <v>KHÁC1</v>
      </c>
      <c r="F527" s="160">
        <f t="shared" si="55"/>
        <v>3</v>
      </c>
      <c r="G527" s="161"/>
      <c r="H527" s="161"/>
      <c r="I527" s="161"/>
      <c r="J527" s="161">
        <v>3</v>
      </c>
      <c r="K527" s="161"/>
      <c r="L527" s="161"/>
      <c r="M527" s="161"/>
      <c r="N527" s="161"/>
      <c r="O527" s="161"/>
      <c r="P527" s="161"/>
      <c r="Q527" s="161"/>
      <c r="R527" s="161"/>
      <c r="S527" s="162">
        <f t="shared" si="54"/>
        <v>3</v>
      </c>
      <c r="T527" s="167"/>
    </row>
    <row r="528" customHeight="1" spans="2:20">
      <c r="B528" s="166"/>
      <c r="C528" s="164">
        <f t="shared" si="56"/>
        <v>29</v>
      </c>
      <c r="D528" s="158" t="str">
        <f>VLOOKUP(C528,DMSP!$A$1:$C$39,2,0)</f>
        <v>7.KHÁC</v>
      </c>
      <c r="E528" s="169" t="s">
        <v>13</v>
      </c>
      <c r="F528" s="160">
        <f t="shared" si="55"/>
        <v>8</v>
      </c>
      <c r="G528" s="161"/>
      <c r="H528" s="161"/>
      <c r="I528" s="161"/>
      <c r="J528" s="161"/>
      <c r="K528" s="161"/>
      <c r="L528" s="161"/>
      <c r="M528" s="161"/>
      <c r="N528" s="161">
        <v>8</v>
      </c>
      <c r="O528" s="161"/>
      <c r="P528" s="161"/>
      <c r="Q528" s="161"/>
      <c r="R528" s="161"/>
      <c r="S528" s="162">
        <f t="shared" si="54"/>
        <v>8</v>
      </c>
      <c r="T528" s="167"/>
    </row>
    <row r="529" customHeight="1" spans="2:20">
      <c r="B529" s="166"/>
      <c r="C529" s="164">
        <f t="shared" si="56"/>
        <v>30</v>
      </c>
      <c r="D529" s="158" t="str">
        <f>VLOOKUP(C529,DMSP!$A$1:$C$39,2,0)</f>
        <v>7.KHÁC</v>
      </c>
      <c r="E529" s="159" t="str">
        <f>VLOOKUP(C529,DMSP!$A$1:$C$39,3,0)</f>
        <v>RỬA RONG RÊU</v>
      </c>
      <c r="F529" s="160">
        <f t="shared" si="55"/>
        <v>0</v>
      </c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2">
        <f t="shared" si="54"/>
        <v>0</v>
      </c>
      <c r="T529" s="167"/>
    </row>
    <row r="530" customHeight="1" spans="2:20">
      <c r="B530" s="166"/>
      <c r="C530" s="164">
        <f t="shared" si="56"/>
        <v>31</v>
      </c>
      <c r="D530" s="158" t="str">
        <f>VLOOKUP(C530,DMSP!$A$1:$C$39,2,0)</f>
        <v>7.KHÁC</v>
      </c>
      <c r="E530" s="159" t="str">
        <f>VLOOKUP(C530,DMSP!$A$1:$C$39,3,0)</f>
        <v>TB BO</v>
      </c>
      <c r="F530" s="160">
        <f t="shared" si="55"/>
        <v>0</v>
      </c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2">
        <f t="shared" si="54"/>
        <v>0</v>
      </c>
      <c r="T530" s="167"/>
    </row>
    <row r="531" customHeight="1" spans="2:20">
      <c r="B531" s="166"/>
      <c r="C531" s="164">
        <f t="shared" si="56"/>
        <v>32</v>
      </c>
      <c r="D531" s="158" t="str">
        <f>VLOOKUP(C531,DMSP!$A$1:$C$39,2,0)</f>
        <v>7.KHÁC</v>
      </c>
      <c r="E531" s="159" t="str">
        <f>VLOOKUP(C531,DMSP!$A$1:$C$39,3,0)</f>
        <v>TB FRUIT</v>
      </c>
      <c r="F531" s="160">
        <f t="shared" si="55"/>
        <v>0</v>
      </c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2">
        <f t="shared" si="54"/>
        <v>0</v>
      </c>
      <c r="T531" s="167"/>
    </row>
    <row r="532" customHeight="1" spans="2:20">
      <c r="B532" s="166"/>
      <c r="C532" s="164">
        <f t="shared" si="56"/>
        <v>33</v>
      </c>
      <c r="D532" s="158" t="str">
        <f>VLOOKUP(C532,DMSP!$A$1:$C$39,2,0)</f>
        <v>7.KHÁC</v>
      </c>
      <c r="E532" s="159" t="str">
        <f>VLOOKUP(C532,DMSP!$A$1:$C$39,3,0)</f>
        <v>TB PHOS</v>
      </c>
      <c r="F532" s="160">
        <f t="shared" si="55"/>
        <v>0</v>
      </c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2">
        <f t="shared" si="54"/>
        <v>0</v>
      </c>
      <c r="T532" s="167"/>
    </row>
    <row r="533" customHeight="1" spans="2:20">
      <c r="B533" s="166"/>
      <c r="C533" s="164">
        <f t="shared" si="56"/>
        <v>34</v>
      </c>
      <c r="D533" s="158" t="str">
        <f>VLOOKUP(C533,DMSP!$A$1:$C$39,2,0)</f>
        <v>7.KHÁC</v>
      </c>
      <c r="E533" s="159" t="str">
        <f>VLOOKUP(C533,DMSP!$A$1:$C$39,3,0)</f>
        <v>TOBA BÁM DÍNH</v>
      </c>
      <c r="F533" s="160">
        <f t="shared" si="55"/>
        <v>0</v>
      </c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2">
        <f t="shared" si="54"/>
        <v>0</v>
      </c>
      <c r="T533" s="167"/>
    </row>
    <row r="534" customHeight="1" spans="2:20">
      <c r="B534" s="166"/>
      <c r="C534" s="164">
        <f t="shared" si="56"/>
        <v>35</v>
      </c>
      <c r="D534" s="158" t="str">
        <f>VLOOKUP(C534,DMSP!$A$1:$C$39,2,0)</f>
        <v>7.KHÁC</v>
      </c>
      <c r="E534" s="159" t="str">
        <f>VLOOKUP(C534,DMSP!$A$1:$C$39,3,0)</f>
        <v>VỌT HOA NHÃN</v>
      </c>
      <c r="F534" s="160">
        <f t="shared" si="55"/>
        <v>0</v>
      </c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2">
        <f t="shared" si="54"/>
        <v>0</v>
      </c>
      <c r="T534" s="167"/>
    </row>
    <row r="535" customHeight="1" spans="2:20">
      <c r="B535" s="166"/>
      <c r="C535" s="164">
        <f t="shared" si="56"/>
        <v>36</v>
      </c>
      <c r="D535" s="158" t="str">
        <f>VLOOKUP(C535,DMSP!$A$1:$C$39,2,0)</f>
        <v>7.KHÁC</v>
      </c>
      <c r="E535" s="159" t="str">
        <f>VLOOKUP(C535,DMSP!$A$1:$C$39,3,0)</f>
        <v>VỌT HOA XOÀI</v>
      </c>
      <c r="F535" s="160">
        <f t="shared" si="55"/>
        <v>0</v>
      </c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2">
        <f t="shared" si="54"/>
        <v>0</v>
      </c>
      <c r="T535" s="167"/>
    </row>
    <row r="536" customHeight="1" spans="2:20">
      <c r="B536" s="166"/>
      <c r="C536" s="164">
        <f t="shared" si="56"/>
        <v>37</v>
      </c>
      <c r="D536" s="158" t="str">
        <f>VLOOKUP(C536,DMSP!$A$1:$C$39,2,0)</f>
        <v>7.KHÁC</v>
      </c>
      <c r="E536" s="159" t="str">
        <f>VLOOKUP(C536,DMSP!$A$1:$C$39,3,0)</f>
        <v>VỌT HOA XOÀI</v>
      </c>
      <c r="F536" s="160">
        <f t="shared" si="55"/>
        <v>0</v>
      </c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2">
        <f t="shared" si="54"/>
        <v>0</v>
      </c>
      <c r="T536" s="167"/>
    </row>
    <row r="537" customHeight="1" spans="2:20">
      <c r="B537" s="92"/>
      <c r="C537" s="170" t="str">
        <f t="shared" ref="C537" si="57">B500</f>
        <v>GIÁO DẨN </v>
      </c>
      <c r="D537" s="171"/>
      <c r="E537" s="172" t="str">
        <f>"TOTAL "&amp;B500</f>
        <v>TOTAL GIÁO DẨN </v>
      </c>
      <c r="F537" s="173">
        <f t="shared" si="55"/>
        <v>11</v>
      </c>
      <c r="G537" s="174">
        <f>SUM(G500:G536)</f>
        <v>0</v>
      </c>
      <c r="H537" s="174">
        <f t="shared" ref="H537:R537" si="58">SUM(H500:H536)</f>
        <v>0</v>
      </c>
      <c r="I537" s="174">
        <f t="shared" si="58"/>
        <v>0</v>
      </c>
      <c r="J537" s="174">
        <f t="shared" si="58"/>
        <v>3</v>
      </c>
      <c r="K537" s="174">
        <f t="shared" si="58"/>
        <v>0</v>
      </c>
      <c r="L537" s="174">
        <f t="shared" si="58"/>
        <v>0</v>
      </c>
      <c r="M537" s="174">
        <f t="shared" si="58"/>
        <v>0</v>
      </c>
      <c r="N537" s="174">
        <f t="shared" si="58"/>
        <v>8</v>
      </c>
      <c r="O537" s="174">
        <f t="shared" si="58"/>
        <v>0</v>
      </c>
      <c r="P537" s="174">
        <f t="shared" si="58"/>
        <v>0</v>
      </c>
      <c r="Q537" s="174">
        <f t="shared" si="58"/>
        <v>0</v>
      </c>
      <c r="R537" s="174">
        <f t="shared" si="58"/>
        <v>0</v>
      </c>
      <c r="S537" s="174">
        <f t="shared" si="54"/>
        <v>11</v>
      </c>
      <c r="T537" s="175"/>
    </row>
    <row r="538" customHeight="1" spans="2:20">
      <c r="B538" s="156" t="s">
        <v>27</v>
      </c>
      <c r="C538" s="157">
        <v>1</v>
      </c>
      <c r="D538" s="158" t="str">
        <f>VLOOKUP(C538,DMSP!$A$1:$C$39,2,0)</f>
        <v>1.TOBA XANH</v>
      </c>
      <c r="E538" s="159" t="str">
        <f>VLOOKUP(C538,DMSP!$A$1:$C$39,3,0)</f>
        <v>TOBA XANH</v>
      </c>
      <c r="F538" s="160">
        <f t="shared" si="55"/>
        <v>0</v>
      </c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2">
        <f t="shared" si="54"/>
        <v>0</v>
      </c>
      <c r="T538" s="163">
        <f>S575</f>
        <v>34</v>
      </c>
    </row>
    <row r="539" customHeight="1" spans="2:20">
      <c r="B539" s="166"/>
      <c r="C539" s="164">
        <f t="shared" ref="C539:C574" si="59">C538+1</f>
        <v>2</v>
      </c>
      <c r="D539" s="158" t="str">
        <f>VLOOKUP(C539,DMSP!$A$1:$C$39,2,0)</f>
        <v>2.HC</v>
      </c>
      <c r="E539" s="159" t="str">
        <f>VLOOKUP(C539,DMSP!$A$1:$C$39,3,0)</f>
        <v>HC BOOSTER</v>
      </c>
      <c r="F539" s="160">
        <f t="shared" si="55"/>
        <v>0</v>
      </c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2">
        <f t="shared" ref="S539:S576" si="60">SUM(G539:R539)</f>
        <v>0</v>
      </c>
      <c r="T539" s="167"/>
    </row>
    <row r="540" customHeight="1" spans="2:20">
      <c r="B540" s="166"/>
      <c r="C540" s="164">
        <f t="shared" si="59"/>
        <v>3</v>
      </c>
      <c r="D540" s="158" t="str">
        <f>VLOOKUP(C540,DMSP!$A$1:$C$39,2,0)</f>
        <v>2.HC</v>
      </c>
      <c r="E540" s="159" t="str">
        <f>VLOOKUP(C540,DMSP!$A$1:$C$39,3,0)</f>
        <v>HC KING-ROOT</v>
      </c>
      <c r="F540" s="160">
        <f t="shared" si="55"/>
        <v>0</v>
      </c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2">
        <f t="shared" si="60"/>
        <v>0</v>
      </c>
      <c r="T540" s="167"/>
    </row>
    <row r="541" customHeight="1" spans="2:20">
      <c r="B541" s="166"/>
      <c r="C541" s="164">
        <f t="shared" si="59"/>
        <v>4</v>
      </c>
      <c r="D541" s="158" t="str">
        <f>VLOOKUP(C541,DMSP!$A$1:$C$39,2,0)</f>
        <v>2.HC</v>
      </c>
      <c r="E541" s="159" t="str">
        <f>VLOOKUP(C541,DMSP!$A$1:$C$39,3,0)</f>
        <v>HAPPY FARM</v>
      </c>
      <c r="F541" s="160">
        <f t="shared" si="55"/>
        <v>0</v>
      </c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2">
        <f t="shared" si="60"/>
        <v>0</v>
      </c>
      <c r="T541" s="167"/>
    </row>
    <row r="542" customHeight="1" spans="2:20">
      <c r="B542" s="166"/>
      <c r="C542" s="164">
        <f t="shared" si="59"/>
        <v>5</v>
      </c>
      <c r="D542" s="158" t="str">
        <f>VLOOKUP(C542,DMSP!$A$1:$C$39,2,0)</f>
        <v>2.HC</v>
      </c>
      <c r="E542" s="159" t="str">
        <f>VLOOKUP(C542,DMSP!$A$1:$C$39,3,0)</f>
        <v>WOW</v>
      </c>
      <c r="F542" s="160">
        <f t="shared" si="55"/>
        <v>0</v>
      </c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2">
        <f t="shared" si="60"/>
        <v>0</v>
      </c>
      <c r="T542" s="167"/>
    </row>
    <row r="543" customHeight="1" spans="2:20">
      <c r="B543" s="166"/>
      <c r="C543" s="164">
        <f t="shared" si="59"/>
        <v>6</v>
      </c>
      <c r="D543" s="158" t="str">
        <f>VLOOKUP(C543,DMSP!$A$1:$C$39,2,0)</f>
        <v>3.SPRAY </v>
      </c>
      <c r="E543" s="159" t="str">
        <f>VLOOKUP(C543,DMSP!$A$1:$C$39,3,0)</f>
        <v>KELPIT</v>
      </c>
      <c r="F543" s="160">
        <f t="shared" si="55"/>
        <v>0</v>
      </c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2">
        <f t="shared" si="60"/>
        <v>0</v>
      </c>
      <c r="T543" s="167"/>
    </row>
    <row r="544" customHeight="1" spans="2:20">
      <c r="B544" s="166"/>
      <c r="C544" s="164">
        <f t="shared" si="59"/>
        <v>7</v>
      </c>
      <c r="D544" s="158" t="str">
        <f>VLOOKUP(C544,DMSP!$A$1:$C$39,2,0)</f>
        <v>3.SPRAY </v>
      </c>
      <c r="E544" s="159" t="str">
        <f>VLOOKUP(C544,DMSP!$A$1:$C$39,3,0)</f>
        <v>SI-K</v>
      </c>
      <c r="F544" s="160">
        <f t="shared" si="55"/>
        <v>0</v>
      </c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2">
        <f t="shared" si="60"/>
        <v>0</v>
      </c>
      <c r="T544" s="167"/>
    </row>
    <row r="545" customHeight="1" spans="2:20">
      <c r="B545" s="166"/>
      <c r="C545" s="164">
        <f t="shared" si="59"/>
        <v>8</v>
      </c>
      <c r="D545" s="158" t="str">
        <f>VLOOKUP(C545,DMSP!$A$1:$C$39,2,0)</f>
        <v>3.SPRAY </v>
      </c>
      <c r="E545" s="159" t="str">
        <f>VLOOKUP(C545,DMSP!$A$1:$C$39,3,0)</f>
        <v>SPRAY PHOS 620</v>
      </c>
      <c r="F545" s="160">
        <f t="shared" si="55"/>
        <v>0</v>
      </c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2">
        <f t="shared" si="60"/>
        <v>0</v>
      </c>
      <c r="T545" s="167"/>
    </row>
    <row r="546" customHeight="1" spans="2:20">
      <c r="B546" s="166"/>
      <c r="C546" s="164">
        <f t="shared" si="59"/>
        <v>9</v>
      </c>
      <c r="D546" s="158" t="str">
        <f>VLOOKUP(C546,DMSP!$A$1:$C$39,2,0)</f>
        <v>4.DƯỠNG RỄ</v>
      </c>
      <c r="E546" s="159" t="str">
        <f>VLOOKUP(C546,DMSP!$A$1:$C$39,3,0)</f>
        <v>CHITOSAN</v>
      </c>
      <c r="F546" s="160">
        <f t="shared" si="55"/>
        <v>0</v>
      </c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2">
        <f t="shared" si="60"/>
        <v>0</v>
      </c>
      <c r="T546" s="167"/>
    </row>
    <row r="547" customHeight="1" spans="2:20">
      <c r="B547" s="166"/>
      <c r="C547" s="164">
        <f t="shared" si="59"/>
        <v>10</v>
      </c>
      <c r="D547" s="158" t="str">
        <f>VLOOKUP(C547,DMSP!$A$1:$C$39,2,0)</f>
        <v>4.DƯỠNG RỄ</v>
      </c>
      <c r="E547" s="159" t="str">
        <f>VLOOKUP(C547,DMSP!$A$1:$C$39,3,0)</f>
        <v>ĐẠM CÁ</v>
      </c>
      <c r="F547" s="160">
        <f t="shared" si="55"/>
        <v>0</v>
      </c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2">
        <f t="shared" si="60"/>
        <v>0</v>
      </c>
      <c r="T547" s="167"/>
    </row>
    <row r="548" customHeight="1" spans="2:20">
      <c r="B548" s="166"/>
      <c r="C548" s="164">
        <f t="shared" si="59"/>
        <v>11</v>
      </c>
      <c r="D548" s="158" t="str">
        <f>VLOOKUP(C548,DMSP!$A$1:$C$39,2,0)</f>
        <v>4.DƯỠNG RỄ</v>
      </c>
      <c r="E548" s="159" t="str">
        <f>VLOOKUP(C548,DMSP!$A$1:$C$39,3,0)</f>
        <v>ĐẠM TÔM</v>
      </c>
      <c r="F548" s="160">
        <f t="shared" si="55"/>
        <v>0</v>
      </c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2">
        <f t="shared" si="60"/>
        <v>0</v>
      </c>
      <c r="T548" s="167"/>
    </row>
    <row r="549" customHeight="1" spans="2:20">
      <c r="B549" s="166"/>
      <c r="C549" s="164">
        <f t="shared" si="59"/>
        <v>12</v>
      </c>
      <c r="D549" s="158" t="str">
        <f>VLOOKUP(C549,DMSP!$A$1:$C$39,2,0)</f>
        <v>4.DƯỠNG RỄ</v>
      </c>
      <c r="E549" s="159" t="str">
        <f>VLOOKUP(C549,DMSP!$A$1:$C$39,3,0)</f>
        <v>SUPERMIC</v>
      </c>
      <c r="F549" s="160">
        <f t="shared" si="55"/>
        <v>17</v>
      </c>
      <c r="G549" s="161"/>
      <c r="H549" s="161"/>
      <c r="I549" s="161"/>
      <c r="J549" s="161">
        <v>17</v>
      </c>
      <c r="K549" s="161"/>
      <c r="L549" s="161"/>
      <c r="M549" s="161"/>
      <c r="N549" s="161"/>
      <c r="O549" s="161"/>
      <c r="P549" s="161"/>
      <c r="Q549" s="161"/>
      <c r="R549" s="161"/>
      <c r="S549" s="162">
        <f t="shared" si="60"/>
        <v>17</v>
      </c>
      <c r="T549" s="167"/>
    </row>
    <row r="550" customHeight="1" spans="2:20">
      <c r="B550" s="166"/>
      <c r="C550" s="164">
        <f t="shared" si="59"/>
        <v>13</v>
      </c>
      <c r="D550" s="158" t="str">
        <f>VLOOKUP(C550,DMSP!$A$1:$C$39,2,0)</f>
        <v>5.TRUYỀN THỐNG</v>
      </c>
      <c r="E550" s="159" t="str">
        <f>VLOOKUP(C550,DMSP!$A$1:$C$39,3,0)</f>
        <v>CABO</v>
      </c>
      <c r="F550" s="160">
        <f t="shared" si="55"/>
        <v>0</v>
      </c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2">
        <f t="shared" si="60"/>
        <v>0</v>
      </c>
      <c r="T550" s="167"/>
    </row>
    <row r="551" customHeight="1" spans="2:20">
      <c r="B551" s="166"/>
      <c r="C551" s="164">
        <f t="shared" si="59"/>
        <v>14</v>
      </c>
      <c r="D551" s="158" t="str">
        <f>VLOOKUP(C551,DMSP!$A$1:$C$39,2,0)</f>
        <v>5.TRUYỀN THỐNG</v>
      </c>
      <c r="E551" s="159" t="str">
        <f>VLOOKUP(C551,DMSP!$A$1:$C$39,3,0)</f>
        <v>F94</v>
      </c>
      <c r="F551" s="160">
        <f t="shared" si="55"/>
        <v>17</v>
      </c>
      <c r="G551" s="161"/>
      <c r="H551" s="161"/>
      <c r="I551" s="161"/>
      <c r="J551" s="161"/>
      <c r="K551" s="161"/>
      <c r="L551" s="161">
        <v>17</v>
      </c>
      <c r="M551" s="161"/>
      <c r="N551" s="161"/>
      <c r="O551" s="161"/>
      <c r="P551" s="161"/>
      <c r="Q551" s="161"/>
      <c r="R551" s="161"/>
      <c r="S551" s="162">
        <f t="shared" si="60"/>
        <v>17</v>
      </c>
      <c r="T551" s="167"/>
    </row>
    <row r="552" customHeight="1" spans="2:20">
      <c r="B552" s="166"/>
      <c r="C552" s="164">
        <f t="shared" si="59"/>
        <v>15</v>
      </c>
      <c r="D552" s="158" t="str">
        <f>VLOOKUP(C552,DMSP!$A$1:$C$39,2,0)</f>
        <v>5.TRUYỀN THỐNG</v>
      </c>
      <c r="E552" s="159" t="str">
        <f>VLOOKUP(C552,DMSP!$A$1:$C$39,3,0)</f>
        <v>F95</v>
      </c>
      <c r="F552" s="160">
        <f t="shared" si="55"/>
        <v>0</v>
      </c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2">
        <f t="shared" si="60"/>
        <v>0</v>
      </c>
      <c r="T552" s="167"/>
    </row>
    <row r="553" customHeight="1" spans="2:20">
      <c r="B553" s="166"/>
      <c r="C553" s="164">
        <f t="shared" si="59"/>
        <v>16</v>
      </c>
      <c r="D553" s="158" t="str">
        <f>VLOOKUP(C553,DMSP!$A$1:$C$39,2,0)</f>
        <v>5.TRUYỀN THỐNG</v>
      </c>
      <c r="E553" s="159" t="str">
        <f>VLOOKUP(C553,DMSP!$A$1:$C$39,3,0)</f>
        <v>THIOURE</v>
      </c>
      <c r="F553" s="160">
        <f t="shared" si="55"/>
        <v>0</v>
      </c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2">
        <f t="shared" si="60"/>
        <v>0</v>
      </c>
      <c r="T553" s="167"/>
    </row>
    <row r="554" customHeight="1" spans="2:20">
      <c r="B554" s="166"/>
      <c r="C554" s="164">
        <f t="shared" si="59"/>
        <v>17</v>
      </c>
      <c r="D554" s="158" t="str">
        <f>VLOOKUP(C554,DMSP!$A$1:$C$39,2,0)</f>
        <v>5.TRUYỀN THỐNG</v>
      </c>
      <c r="E554" s="159" t="str">
        <f>VLOOKUP(C554,DMSP!$A$1:$C$39,3,0)</f>
        <v>TOBA JUM</v>
      </c>
      <c r="F554" s="160">
        <f t="shared" si="55"/>
        <v>0</v>
      </c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2">
        <f t="shared" si="60"/>
        <v>0</v>
      </c>
      <c r="T554" s="167"/>
    </row>
    <row r="555" customHeight="1" spans="2:20">
      <c r="B555" s="166"/>
      <c r="C555" s="164">
        <f t="shared" si="59"/>
        <v>18</v>
      </c>
      <c r="D555" s="158" t="str">
        <f>VLOOKUP(C555,DMSP!$A$1:$C$39,2,0)</f>
        <v>5.TRUYỀN THỐNG</v>
      </c>
      <c r="E555" s="159" t="str">
        <f>VLOOKUP(C555,DMSP!$A$1:$C$39,3,0)</f>
        <v>TOBA NET</v>
      </c>
      <c r="F555" s="160">
        <f t="shared" si="55"/>
        <v>0</v>
      </c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2">
        <f t="shared" si="60"/>
        <v>0</v>
      </c>
      <c r="T555" s="167"/>
    </row>
    <row r="556" customHeight="1" spans="2:20">
      <c r="B556" s="166"/>
      <c r="C556" s="164">
        <f t="shared" si="59"/>
        <v>19</v>
      </c>
      <c r="D556" s="158" t="str">
        <f>VLOOKUP(C556,DMSP!$A$1:$C$39,2,0)</f>
        <v>6.BVTV</v>
      </c>
      <c r="E556" s="159" t="str">
        <f>VLOOKUP(C556,DMSP!$A$1:$C$39,3,0)</f>
        <v>ABAFAX 1.8</v>
      </c>
      <c r="F556" s="160">
        <f t="shared" si="55"/>
        <v>0</v>
      </c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2">
        <f t="shared" si="60"/>
        <v>0</v>
      </c>
      <c r="T556" s="167"/>
    </row>
    <row r="557" customHeight="1" spans="2:20">
      <c r="B557" s="166"/>
      <c r="C557" s="164">
        <f t="shared" si="59"/>
        <v>20</v>
      </c>
      <c r="D557" s="158" t="str">
        <f>VLOOKUP(C557,DMSP!$A$1:$C$39,2,0)</f>
        <v>6.BVTV</v>
      </c>
      <c r="E557" s="159" t="str">
        <f>VLOOKUP(C557,DMSP!$A$1:$C$39,3,0)</f>
        <v>ABAFAX 3.6</v>
      </c>
      <c r="F557" s="160">
        <f t="shared" si="55"/>
        <v>0</v>
      </c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2">
        <f t="shared" si="60"/>
        <v>0</v>
      </c>
      <c r="T557" s="167"/>
    </row>
    <row r="558" customHeight="1" spans="2:20">
      <c r="B558" s="166"/>
      <c r="C558" s="164">
        <f t="shared" si="59"/>
        <v>21</v>
      </c>
      <c r="D558" s="158" t="str">
        <f>VLOOKUP(C558,DMSP!$A$1:$C$39,2,0)</f>
        <v>6.BVTV</v>
      </c>
      <c r="E558" s="159" t="str">
        <f>VLOOKUP(C558,DMSP!$A$1:$C$39,3,0)</f>
        <v>AZET</v>
      </c>
      <c r="F558" s="160">
        <f t="shared" si="55"/>
        <v>0</v>
      </c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2">
        <f t="shared" si="60"/>
        <v>0</v>
      </c>
      <c r="T558" s="167"/>
    </row>
    <row r="559" customHeight="1" spans="2:20">
      <c r="B559" s="166"/>
      <c r="C559" s="164">
        <f t="shared" si="59"/>
        <v>22</v>
      </c>
      <c r="D559" s="158" t="str">
        <f>VLOOKUP(C559,DMSP!$A$1:$C$39,2,0)</f>
        <v>6.BVTV</v>
      </c>
      <c r="E559" s="159" t="str">
        <f>VLOOKUP(C559,DMSP!$A$1:$C$39,3,0)</f>
        <v>BACBA</v>
      </c>
      <c r="F559" s="160">
        <f t="shared" si="55"/>
        <v>0</v>
      </c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2">
        <f t="shared" si="60"/>
        <v>0</v>
      </c>
      <c r="T559" s="167"/>
    </row>
    <row r="560" customHeight="1" spans="2:20">
      <c r="B560" s="166"/>
      <c r="C560" s="164">
        <f t="shared" si="59"/>
        <v>23</v>
      </c>
      <c r="D560" s="158" t="str">
        <f>VLOOKUP(C560,DMSP!$A$1:$C$39,2,0)</f>
        <v>6.BVTV</v>
      </c>
      <c r="E560" s="159" t="str">
        <f>VLOOKUP(C560,DMSP!$A$1:$C$39,3,0)</f>
        <v>BIOROSAMIL</v>
      </c>
      <c r="F560" s="160">
        <f t="shared" si="55"/>
        <v>0</v>
      </c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2">
        <f t="shared" si="60"/>
        <v>0</v>
      </c>
      <c r="T560" s="167"/>
    </row>
    <row r="561" customHeight="1" spans="2:20">
      <c r="B561" s="166"/>
      <c r="C561" s="164">
        <f t="shared" si="59"/>
        <v>24</v>
      </c>
      <c r="D561" s="158" t="str">
        <f>VLOOKUP(C561,DMSP!$A$1:$C$39,2,0)</f>
        <v>6.BVTV</v>
      </c>
      <c r="E561" s="159" t="str">
        <f>VLOOKUP(C561,DMSP!$A$1:$C$39,3,0)</f>
        <v>COC 86</v>
      </c>
      <c r="F561" s="160">
        <f t="shared" si="55"/>
        <v>0</v>
      </c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2">
        <f t="shared" si="60"/>
        <v>0</v>
      </c>
      <c r="T561" s="167"/>
    </row>
    <row r="562" customHeight="1" spans="2:20">
      <c r="B562" s="166"/>
      <c r="C562" s="164">
        <f t="shared" si="59"/>
        <v>25</v>
      </c>
      <c r="D562" s="158" t="str">
        <f>VLOOKUP(C562,DMSP!$A$1:$C$39,2,0)</f>
        <v>6.BVTV</v>
      </c>
      <c r="E562" s="159" t="str">
        <f>VLOOKUP(C562,DMSP!$A$1:$C$39,3,0)</f>
        <v>HEXA 5</v>
      </c>
      <c r="F562" s="160">
        <f t="shared" si="55"/>
        <v>0</v>
      </c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2">
        <f t="shared" si="60"/>
        <v>0</v>
      </c>
      <c r="T562" s="167"/>
    </row>
    <row r="563" customHeight="1" spans="2:20">
      <c r="B563" s="166"/>
      <c r="C563" s="164">
        <f t="shared" si="59"/>
        <v>26</v>
      </c>
      <c r="D563" s="158" t="str">
        <f>VLOOKUP(C563,DMSP!$A$1:$C$39,2,0)</f>
        <v>6.BVTV</v>
      </c>
      <c r="E563" s="159" t="str">
        <f>VLOOKUP(C563,DMSP!$A$1:$C$39,3,0)</f>
        <v>TAMALA</v>
      </c>
      <c r="F563" s="160">
        <f t="shared" si="55"/>
        <v>0</v>
      </c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2">
        <f t="shared" si="60"/>
        <v>0</v>
      </c>
      <c r="T563" s="167"/>
    </row>
    <row r="564" customHeight="1" spans="2:20">
      <c r="B564" s="166"/>
      <c r="C564" s="164">
        <f t="shared" si="59"/>
        <v>27</v>
      </c>
      <c r="D564" s="158" t="str">
        <f>VLOOKUP(C564,DMSP!$A$1:$C$39,2,0)</f>
        <v>7.KHÁC</v>
      </c>
      <c r="E564" s="159" t="str">
        <f>VLOOKUP(C564,DMSP!$A$1:$C$39,3,0)</f>
        <v>KẼM VÀNG</v>
      </c>
      <c r="F564" s="160">
        <f t="shared" si="55"/>
        <v>0</v>
      </c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2">
        <f t="shared" si="60"/>
        <v>0</v>
      </c>
      <c r="T564" s="167"/>
    </row>
    <row r="565" customHeight="1" spans="2:20">
      <c r="B565" s="166"/>
      <c r="C565" s="164">
        <f t="shared" si="59"/>
        <v>28</v>
      </c>
      <c r="D565" s="158" t="str">
        <f>VLOOKUP(C565,DMSP!$A$1:$C$39,2,0)</f>
        <v>7.KHÁC</v>
      </c>
      <c r="E565" s="159" t="str">
        <f>VLOOKUP(C565,DMSP!$A$1:$C$39,3,0)</f>
        <v>KHÁC1</v>
      </c>
      <c r="F565" s="160">
        <f t="shared" si="55"/>
        <v>0</v>
      </c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2">
        <f t="shared" si="60"/>
        <v>0</v>
      </c>
      <c r="T565" s="167"/>
    </row>
    <row r="566" customHeight="1" spans="2:20">
      <c r="B566" s="166"/>
      <c r="C566" s="164">
        <f t="shared" si="59"/>
        <v>29</v>
      </c>
      <c r="D566" s="158" t="str">
        <f>VLOOKUP(C566,DMSP!$A$1:$C$39,2,0)</f>
        <v>7.KHÁC</v>
      </c>
      <c r="E566" s="169" t="s">
        <v>13</v>
      </c>
      <c r="F566" s="160">
        <f t="shared" si="55"/>
        <v>0</v>
      </c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2">
        <f t="shared" si="60"/>
        <v>0</v>
      </c>
      <c r="T566" s="167"/>
    </row>
    <row r="567" customHeight="1" spans="2:20">
      <c r="B567" s="166"/>
      <c r="C567" s="164">
        <f t="shared" si="59"/>
        <v>30</v>
      </c>
      <c r="D567" s="158" t="str">
        <f>VLOOKUP(C567,DMSP!$A$1:$C$39,2,0)</f>
        <v>7.KHÁC</v>
      </c>
      <c r="E567" s="159" t="str">
        <f>VLOOKUP(C567,DMSP!$A$1:$C$39,3,0)</f>
        <v>RỬA RONG RÊU</v>
      </c>
      <c r="F567" s="160">
        <f t="shared" si="55"/>
        <v>0</v>
      </c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2">
        <f t="shared" si="60"/>
        <v>0</v>
      </c>
      <c r="T567" s="167"/>
    </row>
    <row r="568" customHeight="1" spans="2:20">
      <c r="B568" s="166"/>
      <c r="C568" s="164">
        <f t="shared" si="59"/>
        <v>31</v>
      </c>
      <c r="D568" s="158" t="str">
        <f>VLOOKUP(C568,DMSP!$A$1:$C$39,2,0)</f>
        <v>7.KHÁC</v>
      </c>
      <c r="E568" s="159" t="str">
        <f>VLOOKUP(C568,DMSP!$A$1:$C$39,3,0)</f>
        <v>TB BO</v>
      </c>
      <c r="F568" s="160">
        <f t="shared" si="55"/>
        <v>0</v>
      </c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2">
        <f t="shared" si="60"/>
        <v>0</v>
      </c>
      <c r="T568" s="167"/>
    </row>
    <row r="569" customHeight="1" spans="2:20">
      <c r="B569" s="166"/>
      <c r="C569" s="164">
        <f t="shared" si="59"/>
        <v>32</v>
      </c>
      <c r="D569" s="158" t="str">
        <f>VLOOKUP(C569,DMSP!$A$1:$C$39,2,0)</f>
        <v>7.KHÁC</v>
      </c>
      <c r="E569" s="159" t="str">
        <f>VLOOKUP(C569,DMSP!$A$1:$C$39,3,0)</f>
        <v>TB FRUIT</v>
      </c>
      <c r="F569" s="160">
        <f t="shared" si="55"/>
        <v>0</v>
      </c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2">
        <f t="shared" si="60"/>
        <v>0</v>
      </c>
      <c r="T569" s="167"/>
    </row>
    <row r="570" customHeight="1" spans="2:20">
      <c r="B570" s="166"/>
      <c r="C570" s="164">
        <f t="shared" si="59"/>
        <v>33</v>
      </c>
      <c r="D570" s="158" t="str">
        <f>VLOOKUP(C570,DMSP!$A$1:$C$39,2,0)</f>
        <v>7.KHÁC</v>
      </c>
      <c r="E570" s="159" t="str">
        <f>VLOOKUP(C570,DMSP!$A$1:$C$39,3,0)</f>
        <v>TB PHOS</v>
      </c>
      <c r="F570" s="160">
        <f t="shared" si="55"/>
        <v>0</v>
      </c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2">
        <f t="shared" si="60"/>
        <v>0</v>
      </c>
      <c r="T570" s="167"/>
    </row>
    <row r="571" customHeight="1" spans="2:20">
      <c r="B571" s="166"/>
      <c r="C571" s="164">
        <f t="shared" si="59"/>
        <v>34</v>
      </c>
      <c r="D571" s="158" t="str">
        <f>VLOOKUP(C571,DMSP!$A$1:$C$39,2,0)</f>
        <v>7.KHÁC</v>
      </c>
      <c r="E571" s="159" t="str">
        <f>VLOOKUP(C571,DMSP!$A$1:$C$39,3,0)</f>
        <v>TOBA BÁM DÍNH</v>
      </c>
      <c r="F571" s="160">
        <f t="shared" si="55"/>
        <v>0</v>
      </c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2">
        <f t="shared" si="60"/>
        <v>0</v>
      </c>
      <c r="T571" s="167"/>
    </row>
    <row r="572" customHeight="1" spans="2:20">
      <c r="B572" s="166"/>
      <c r="C572" s="164">
        <f t="shared" si="59"/>
        <v>35</v>
      </c>
      <c r="D572" s="158" t="str">
        <f>VLOOKUP(C572,DMSP!$A$1:$C$39,2,0)</f>
        <v>7.KHÁC</v>
      </c>
      <c r="E572" s="159" t="str">
        <f>VLOOKUP(C572,DMSP!$A$1:$C$39,3,0)</f>
        <v>VỌT HOA NHÃN</v>
      </c>
      <c r="F572" s="160">
        <f t="shared" si="55"/>
        <v>0</v>
      </c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2">
        <f t="shared" si="60"/>
        <v>0</v>
      </c>
      <c r="T572" s="167"/>
    </row>
    <row r="573" customHeight="1" spans="2:20">
      <c r="B573" s="166"/>
      <c r="C573" s="164">
        <f t="shared" si="59"/>
        <v>36</v>
      </c>
      <c r="D573" s="158" t="str">
        <f>VLOOKUP(C573,DMSP!$A$1:$C$39,2,0)</f>
        <v>7.KHÁC</v>
      </c>
      <c r="E573" s="159" t="str">
        <f>VLOOKUP(C573,DMSP!$A$1:$C$39,3,0)</f>
        <v>VỌT HOA XOÀI</v>
      </c>
      <c r="F573" s="160">
        <f t="shared" si="55"/>
        <v>0</v>
      </c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2">
        <f t="shared" si="60"/>
        <v>0</v>
      </c>
      <c r="T573" s="167"/>
    </row>
    <row r="574" customHeight="1" spans="2:20">
      <c r="B574" s="166"/>
      <c r="C574" s="164">
        <f t="shared" si="59"/>
        <v>37</v>
      </c>
      <c r="D574" s="158" t="str">
        <f>VLOOKUP(C574,DMSP!$A$1:$C$39,2,0)</f>
        <v>7.KHÁC</v>
      </c>
      <c r="E574" s="159" t="str">
        <f>VLOOKUP(C574,DMSP!$A$1:$C$39,3,0)</f>
        <v>VỌT HOA XOÀI</v>
      </c>
      <c r="F574" s="160">
        <f t="shared" si="55"/>
        <v>0</v>
      </c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2">
        <f t="shared" si="60"/>
        <v>0</v>
      </c>
      <c r="T574" s="167"/>
    </row>
    <row r="575" customHeight="1" spans="2:20">
      <c r="B575" s="92"/>
      <c r="C575" s="170" t="str">
        <f>B538</f>
        <v>TƯ HỪNG </v>
      </c>
      <c r="D575" s="171"/>
      <c r="E575" s="172" t="str">
        <f>"TOTAL "&amp;B538</f>
        <v>TOTAL TƯ HỪNG </v>
      </c>
      <c r="F575" s="173">
        <f t="shared" si="55"/>
        <v>34</v>
      </c>
      <c r="G575" s="174">
        <f>SUM(G538:G574)</f>
        <v>0</v>
      </c>
      <c r="H575" s="174">
        <f t="shared" ref="H575:R575" si="61">SUM(H538:H574)</f>
        <v>0</v>
      </c>
      <c r="I575" s="174">
        <f t="shared" si="61"/>
        <v>0</v>
      </c>
      <c r="J575" s="174">
        <f t="shared" si="61"/>
        <v>17</v>
      </c>
      <c r="K575" s="174">
        <f t="shared" si="61"/>
        <v>0</v>
      </c>
      <c r="L575" s="174">
        <f t="shared" si="61"/>
        <v>17</v>
      </c>
      <c r="M575" s="174">
        <f t="shared" si="61"/>
        <v>0</v>
      </c>
      <c r="N575" s="174">
        <f t="shared" si="61"/>
        <v>0</v>
      </c>
      <c r="O575" s="174">
        <f t="shared" si="61"/>
        <v>0</v>
      </c>
      <c r="P575" s="174">
        <f t="shared" si="61"/>
        <v>0</v>
      </c>
      <c r="Q575" s="174">
        <f t="shared" si="61"/>
        <v>0</v>
      </c>
      <c r="R575" s="174">
        <f t="shared" si="61"/>
        <v>0</v>
      </c>
      <c r="S575" s="174">
        <f t="shared" si="60"/>
        <v>34</v>
      </c>
      <c r="T575" s="175"/>
    </row>
    <row r="576" customHeight="1" spans="2:20">
      <c r="B576" s="156" t="s">
        <v>28</v>
      </c>
      <c r="C576" s="157">
        <v>1</v>
      </c>
      <c r="D576" s="158" t="str">
        <f>VLOOKUP(C576,DMSP!$A$1:$C$39,2,0)</f>
        <v>1.TOBA XANH</v>
      </c>
      <c r="E576" s="159" t="str">
        <f>VLOOKUP(C576,DMSP!$A$1:$C$39,3,0)</f>
        <v>TOBA XANH</v>
      </c>
      <c r="F576" s="160">
        <f t="shared" si="55"/>
        <v>0</v>
      </c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2">
        <f t="shared" si="60"/>
        <v>0</v>
      </c>
      <c r="T576" s="163">
        <f>S613</f>
        <v>24</v>
      </c>
    </row>
    <row r="577" customHeight="1" spans="2:20">
      <c r="B577" s="166"/>
      <c r="C577" s="164">
        <f t="shared" ref="C577:C612" si="62">C576+1</f>
        <v>2</v>
      </c>
      <c r="D577" s="158" t="str">
        <f>VLOOKUP(C577,DMSP!$A$1:$C$39,2,0)</f>
        <v>2.HC</v>
      </c>
      <c r="E577" s="159" t="str">
        <f>VLOOKUP(C577,DMSP!$A$1:$C$39,3,0)</f>
        <v>HC BOOSTER</v>
      </c>
      <c r="F577" s="160">
        <f t="shared" si="55"/>
        <v>0</v>
      </c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2">
        <f t="shared" ref="S577:S614" si="63">SUM(G577:R577)</f>
        <v>0</v>
      </c>
      <c r="T577" s="167"/>
    </row>
    <row r="578" customHeight="1" spans="2:20">
      <c r="B578" s="166"/>
      <c r="C578" s="164">
        <f t="shared" si="62"/>
        <v>3</v>
      </c>
      <c r="D578" s="158" t="str">
        <f>VLOOKUP(C578,DMSP!$A$1:$C$39,2,0)</f>
        <v>2.HC</v>
      </c>
      <c r="E578" s="159" t="str">
        <f>VLOOKUP(C578,DMSP!$A$1:$C$39,3,0)</f>
        <v>HC KING-ROOT</v>
      </c>
      <c r="F578" s="160">
        <f t="shared" si="55"/>
        <v>0</v>
      </c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2">
        <f t="shared" si="63"/>
        <v>0</v>
      </c>
      <c r="T578" s="167"/>
    </row>
    <row r="579" customHeight="1" spans="2:20">
      <c r="B579" s="166"/>
      <c r="C579" s="164">
        <f t="shared" si="62"/>
        <v>4</v>
      </c>
      <c r="D579" s="158" t="str">
        <f>VLOOKUP(C579,DMSP!$A$1:$C$39,2,0)</f>
        <v>2.HC</v>
      </c>
      <c r="E579" s="159" t="str">
        <f>VLOOKUP(C579,DMSP!$A$1:$C$39,3,0)</f>
        <v>HAPPY FARM</v>
      </c>
      <c r="F579" s="160">
        <f t="shared" si="55"/>
        <v>0</v>
      </c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2">
        <f t="shared" si="63"/>
        <v>0</v>
      </c>
      <c r="T579" s="167"/>
    </row>
    <row r="580" customHeight="1" spans="2:20">
      <c r="B580" s="166"/>
      <c r="C580" s="164">
        <f t="shared" si="62"/>
        <v>5</v>
      </c>
      <c r="D580" s="158" t="str">
        <f>VLOOKUP(C580,DMSP!$A$1:$C$39,2,0)</f>
        <v>2.HC</v>
      </c>
      <c r="E580" s="159" t="str">
        <f>VLOOKUP(C580,DMSP!$A$1:$C$39,3,0)</f>
        <v>WOW</v>
      </c>
      <c r="F580" s="160">
        <f t="shared" si="55"/>
        <v>0</v>
      </c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2">
        <f t="shared" si="63"/>
        <v>0</v>
      </c>
      <c r="T580" s="167"/>
    </row>
    <row r="581" customHeight="1" spans="2:20">
      <c r="B581" s="166"/>
      <c r="C581" s="164">
        <f t="shared" si="62"/>
        <v>6</v>
      </c>
      <c r="D581" s="158" t="str">
        <f>VLOOKUP(C581,DMSP!$A$1:$C$39,2,0)</f>
        <v>3.SPRAY </v>
      </c>
      <c r="E581" s="159" t="str">
        <f>VLOOKUP(C581,DMSP!$A$1:$C$39,3,0)</f>
        <v>KELPIT</v>
      </c>
      <c r="F581" s="160">
        <f t="shared" si="55"/>
        <v>0</v>
      </c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2">
        <f t="shared" si="63"/>
        <v>0</v>
      </c>
      <c r="T581" s="167"/>
    </row>
    <row r="582" customHeight="1" spans="2:20">
      <c r="B582" s="166"/>
      <c r="C582" s="164">
        <f t="shared" si="62"/>
        <v>7</v>
      </c>
      <c r="D582" s="158" t="str">
        <f>VLOOKUP(C582,DMSP!$A$1:$C$39,2,0)</f>
        <v>3.SPRAY </v>
      </c>
      <c r="E582" s="159" t="str">
        <f>VLOOKUP(C582,DMSP!$A$1:$C$39,3,0)</f>
        <v>SI-K</v>
      </c>
      <c r="F582" s="160">
        <f t="shared" si="55"/>
        <v>5</v>
      </c>
      <c r="G582" s="161"/>
      <c r="H582" s="161"/>
      <c r="I582" s="161"/>
      <c r="J582" s="161"/>
      <c r="K582" s="161"/>
      <c r="L582" s="161"/>
      <c r="M582" s="161">
        <v>5</v>
      </c>
      <c r="N582" s="161"/>
      <c r="O582" s="161"/>
      <c r="P582" s="161"/>
      <c r="Q582" s="161"/>
      <c r="R582" s="161"/>
      <c r="S582" s="162">
        <f t="shared" si="63"/>
        <v>5</v>
      </c>
      <c r="T582" s="167"/>
    </row>
    <row r="583" customHeight="1" spans="2:20">
      <c r="B583" s="166"/>
      <c r="C583" s="164">
        <f t="shared" si="62"/>
        <v>8</v>
      </c>
      <c r="D583" s="158" t="str">
        <f>VLOOKUP(C583,DMSP!$A$1:$C$39,2,0)</f>
        <v>3.SPRAY </v>
      </c>
      <c r="E583" s="159" t="str">
        <f>VLOOKUP(C583,DMSP!$A$1:$C$39,3,0)</f>
        <v>SPRAY PHOS 620</v>
      </c>
      <c r="F583" s="160">
        <f t="shared" ref="F583:F646" si="64">S583</f>
        <v>0</v>
      </c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2">
        <f t="shared" si="63"/>
        <v>0</v>
      </c>
      <c r="T583" s="167"/>
    </row>
    <row r="584" customHeight="1" spans="2:20">
      <c r="B584" s="166"/>
      <c r="C584" s="164">
        <f t="shared" si="62"/>
        <v>9</v>
      </c>
      <c r="D584" s="158" t="str">
        <f>VLOOKUP(C584,DMSP!$A$1:$C$39,2,0)</f>
        <v>4.DƯỠNG RỄ</v>
      </c>
      <c r="E584" s="159" t="str">
        <f>VLOOKUP(C584,DMSP!$A$1:$C$39,3,0)</f>
        <v>CHITOSAN</v>
      </c>
      <c r="F584" s="160">
        <f t="shared" si="64"/>
        <v>0</v>
      </c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2">
        <f t="shared" si="63"/>
        <v>0</v>
      </c>
      <c r="T584" s="167"/>
    </row>
    <row r="585" customHeight="1" spans="2:20">
      <c r="B585" s="166"/>
      <c r="C585" s="164">
        <f t="shared" si="62"/>
        <v>10</v>
      </c>
      <c r="D585" s="158" t="str">
        <f>VLOOKUP(C585,DMSP!$A$1:$C$39,2,0)</f>
        <v>4.DƯỠNG RỄ</v>
      </c>
      <c r="E585" s="159" t="str">
        <f>VLOOKUP(C585,DMSP!$A$1:$C$39,3,0)</f>
        <v>ĐẠM CÁ</v>
      </c>
      <c r="F585" s="160">
        <f t="shared" si="64"/>
        <v>0</v>
      </c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2">
        <f t="shared" si="63"/>
        <v>0</v>
      </c>
      <c r="T585" s="167"/>
    </row>
    <row r="586" customHeight="1" spans="2:20">
      <c r="B586" s="166"/>
      <c r="C586" s="164">
        <f t="shared" si="62"/>
        <v>11</v>
      </c>
      <c r="D586" s="158" t="str">
        <f>VLOOKUP(C586,DMSP!$A$1:$C$39,2,0)</f>
        <v>4.DƯỠNG RỄ</v>
      </c>
      <c r="E586" s="159" t="str">
        <f>VLOOKUP(C586,DMSP!$A$1:$C$39,3,0)</f>
        <v>ĐẠM TÔM</v>
      </c>
      <c r="F586" s="160">
        <f t="shared" si="64"/>
        <v>0</v>
      </c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2">
        <f t="shared" si="63"/>
        <v>0</v>
      </c>
      <c r="T586" s="167"/>
    </row>
    <row r="587" customHeight="1" spans="2:20">
      <c r="B587" s="166"/>
      <c r="C587" s="164">
        <f t="shared" si="62"/>
        <v>12</v>
      </c>
      <c r="D587" s="158" t="str">
        <f>VLOOKUP(C587,DMSP!$A$1:$C$39,2,0)</f>
        <v>4.DƯỠNG RỄ</v>
      </c>
      <c r="E587" s="159" t="str">
        <f>VLOOKUP(C587,DMSP!$A$1:$C$39,3,0)</f>
        <v>SUPERMIC</v>
      </c>
      <c r="F587" s="160">
        <f t="shared" si="64"/>
        <v>0</v>
      </c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2">
        <f t="shared" si="63"/>
        <v>0</v>
      </c>
      <c r="T587" s="167"/>
    </row>
    <row r="588" customHeight="1" spans="2:20">
      <c r="B588" s="166"/>
      <c r="C588" s="164">
        <f t="shared" si="62"/>
        <v>13</v>
      </c>
      <c r="D588" s="158" t="str">
        <f>VLOOKUP(C588,DMSP!$A$1:$C$39,2,0)</f>
        <v>5.TRUYỀN THỐNG</v>
      </c>
      <c r="E588" s="159" t="str">
        <f>VLOOKUP(C588,DMSP!$A$1:$C$39,3,0)</f>
        <v>CABO</v>
      </c>
      <c r="F588" s="160">
        <f t="shared" si="64"/>
        <v>0</v>
      </c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2">
        <f t="shared" si="63"/>
        <v>0</v>
      </c>
      <c r="T588" s="167"/>
    </row>
    <row r="589" customHeight="1" spans="2:20">
      <c r="B589" s="166"/>
      <c r="C589" s="164">
        <f t="shared" si="62"/>
        <v>14</v>
      </c>
      <c r="D589" s="158" t="str">
        <f>VLOOKUP(C589,DMSP!$A$1:$C$39,2,0)</f>
        <v>5.TRUYỀN THỐNG</v>
      </c>
      <c r="E589" s="159" t="str">
        <f>VLOOKUP(C589,DMSP!$A$1:$C$39,3,0)</f>
        <v>F94</v>
      </c>
      <c r="F589" s="160">
        <f t="shared" si="64"/>
        <v>0</v>
      </c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2">
        <f t="shared" si="63"/>
        <v>0</v>
      </c>
      <c r="T589" s="167"/>
    </row>
    <row r="590" customHeight="1" spans="2:20">
      <c r="B590" s="166"/>
      <c r="C590" s="164">
        <f t="shared" si="62"/>
        <v>15</v>
      </c>
      <c r="D590" s="158" t="str">
        <f>VLOOKUP(C590,DMSP!$A$1:$C$39,2,0)</f>
        <v>5.TRUYỀN THỐNG</v>
      </c>
      <c r="E590" s="159" t="str">
        <f>VLOOKUP(C590,DMSP!$A$1:$C$39,3,0)</f>
        <v>F95</v>
      </c>
      <c r="F590" s="160">
        <f t="shared" si="64"/>
        <v>0</v>
      </c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2">
        <f t="shared" si="63"/>
        <v>0</v>
      </c>
      <c r="T590" s="167"/>
    </row>
    <row r="591" customHeight="1" spans="2:20">
      <c r="B591" s="166"/>
      <c r="C591" s="164">
        <f t="shared" si="62"/>
        <v>16</v>
      </c>
      <c r="D591" s="158" t="str">
        <f>VLOOKUP(C591,DMSP!$A$1:$C$39,2,0)</f>
        <v>5.TRUYỀN THỐNG</v>
      </c>
      <c r="E591" s="159" t="str">
        <f>VLOOKUP(C591,DMSP!$A$1:$C$39,3,0)</f>
        <v>THIOURE</v>
      </c>
      <c r="F591" s="160">
        <f t="shared" si="64"/>
        <v>0</v>
      </c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2">
        <f t="shared" si="63"/>
        <v>0</v>
      </c>
      <c r="T591" s="167"/>
    </row>
    <row r="592" customHeight="1" spans="2:20">
      <c r="B592" s="166"/>
      <c r="C592" s="164">
        <f t="shared" si="62"/>
        <v>17</v>
      </c>
      <c r="D592" s="158" t="str">
        <f>VLOOKUP(C592,DMSP!$A$1:$C$39,2,0)</f>
        <v>5.TRUYỀN THỐNG</v>
      </c>
      <c r="E592" s="159" t="str">
        <f>VLOOKUP(C592,DMSP!$A$1:$C$39,3,0)</f>
        <v>TOBA JUM</v>
      </c>
      <c r="F592" s="160">
        <f t="shared" si="64"/>
        <v>0</v>
      </c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2">
        <f t="shared" si="63"/>
        <v>0</v>
      </c>
      <c r="T592" s="167"/>
    </row>
    <row r="593" customHeight="1" spans="2:20">
      <c r="B593" s="166"/>
      <c r="C593" s="164">
        <f t="shared" si="62"/>
        <v>18</v>
      </c>
      <c r="D593" s="158" t="str">
        <f>VLOOKUP(C593,DMSP!$A$1:$C$39,2,0)</f>
        <v>5.TRUYỀN THỐNG</v>
      </c>
      <c r="E593" s="159" t="str">
        <f>VLOOKUP(C593,DMSP!$A$1:$C$39,3,0)</f>
        <v>TOBA NET</v>
      </c>
      <c r="F593" s="160">
        <f t="shared" si="64"/>
        <v>0</v>
      </c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2">
        <f t="shared" si="63"/>
        <v>0</v>
      </c>
      <c r="T593" s="167"/>
    </row>
    <row r="594" customHeight="1" spans="2:20">
      <c r="B594" s="166"/>
      <c r="C594" s="164">
        <f t="shared" si="62"/>
        <v>19</v>
      </c>
      <c r="D594" s="158" t="str">
        <f>VLOOKUP(C594,DMSP!$A$1:$C$39,2,0)</f>
        <v>6.BVTV</v>
      </c>
      <c r="E594" s="159" t="str">
        <f>VLOOKUP(C594,DMSP!$A$1:$C$39,3,0)</f>
        <v>ABAFAX 1.8</v>
      </c>
      <c r="F594" s="160">
        <f t="shared" si="64"/>
        <v>0</v>
      </c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2">
        <f t="shared" si="63"/>
        <v>0</v>
      </c>
      <c r="T594" s="167"/>
    </row>
    <row r="595" customHeight="1" spans="2:20">
      <c r="B595" s="166"/>
      <c r="C595" s="164">
        <f t="shared" si="62"/>
        <v>20</v>
      </c>
      <c r="D595" s="158" t="str">
        <f>VLOOKUP(C595,DMSP!$A$1:$C$39,2,0)</f>
        <v>6.BVTV</v>
      </c>
      <c r="E595" s="159" t="str">
        <f>VLOOKUP(C595,DMSP!$A$1:$C$39,3,0)</f>
        <v>ABAFAX 3.6</v>
      </c>
      <c r="F595" s="160">
        <f t="shared" si="64"/>
        <v>0</v>
      </c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2">
        <f t="shared" si="63"/>
        <v>0</v>
      </c>
      <c r="T595" s="167"/>
    </row>
    <row r="596" customHeight="1" spans="2:20">
      <c r="B596" s="166"/>
      <c r="C596" s="164">
        <f t="shared" si="62"/>
        <v>21</v>
      </c>
      <c r="D596" s="158" t="str">
        <f>VLOOKUP(C596,DMSP!$A$1:$C$39,2,0)</f>
        <v>6.BVTV</v>
      </c>
      <c r="E596" s="159" t="str">
        <f>VLOOKUP(C596,DMSP!$A$1:$C$39,3,0)</f>
        <v>AZET</v>
      </c>
      <c r="F596" s="160">
        <f t="shared" si="64"/>
        <v>0</v>
      </c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2">
        <f t="shared" si="63"/>
        <v>0</v>
      </c>
      <c r="T596" s="167"/>
    </row>
    <row r="597" customHeight="1" spans="2:20">
      <c r="B597" s="166"/>
      <c r="C597" s="164">
        <f t="shared" si="62"/>
        <v>22</v>
      </c>
      <c r="D597" s="158" t="str">
        <f>VLOOKUP(C597,DMSP!$A$1:$C$39,2,0)</f>
        <v>6.BVTV</v>
      </c>
      <c r="E597" s="159" t="str">
        <f>VLOOKUP(C597,DMSP!$A$1:$C$39,3,0)</f>
        <v>BACBA</v>
      </c>
      <c r="F597" s="160">
        <f t="shared" si="64"/>
        <v>0</v>
      </c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2">
        <f t="shared" si="63"/>
        <v>0</v>
      </c>
      <c r="T597" s="167"/>
    </row>
    <row r="598" customHeight="1" spans="2:20">
      <c r="B598" s="166"/>
      <c r="C598" s="164">
        <f t="shared" si="62"/>
        <v>23</v>
      </c>
      <c r="D598" s="158" t="str">
        <f>VLOOKUP(C598,DMSP!$A$1:$C$39,2,0)</f>
        <v>6.BVTV</v>
      </c>
      <c r="E598" s="159" t="str">
        <f>VLOOKUP(C598,DMSP!$A$1:$C$39,3,0)</f>
        <v>BIOROSAMIL</v>
      </c>
      <c r="F598" s="160">
        <f t="shared" si="64"/>
        <v>0</v>
      </c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2">
        <f t="shared" si="63"/>
        <v>0</v>
      </c>
      <c r="T598" s="167"/>
    </row>
    <row r="599" customHeight="1" spans="2:20">
      <c r="B599" s="166"/>
      <c r="C599" s="164">
        <f t="shared" si="62"/>
        <v>24</v>
      </c>
      <c r="D599" s="158" t="str">
        <f>VLOOKUP(C599,DMSP!$A$1:$C$39,2,0)</f>
        <v>6.BVTV</v>
      </c>
      <c r="E599" s="159" t="str">
        <f>VLOOKUP(C599,DMSP!$A$1:$C$39,3,0)</f>
        <v>COC 86</v>
      </c>
      <c r="F599" s="160">
        <f t="shared" si="64"/>
        <v>0</v>
      </c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2">
        <f t="shared" si="63"/>
        <v>0</v>
      </c>
      <c r="T599" s="167"/>
    </row>
    <row r="600" customHeight="1" spans="2:20">
      <c r="B600" s="166"/>
      <c r="C600" s="164">
        <f t="shared" si="62"/>
        <v>25</v>
      </c>
      <c r="D600" s="158" t="str">
        <f>VLOOKUP(C600,DMSP!$A$1:$C$39,2,0)</f>
        <v>6.BVTV</v>
      </c>
      <c r="E600" s="159" t="str">
        <f>VLOOKUP(C600,DMSP!$A$1:$C$39,3,0)</f>
        <v>HEXA 5</v>
      </c>
      <c r="F600" s="160">
        <f t="shared" si="64"/>
        <v>0</v>
      </c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2">
        <f t="shared" si="63"/>
        <v>0</v>
      </c>
      <c r="T600" s="167"/>
    </row>
    <row r="601" customHeight="1" spans="2:20">
      <c r="B601" s="166"/>
      <c r="C601" s="164">
        <f t="shared" si="62"/>
        <v>26</v>
      </c>
      <c r="D601" s="158" t="str">
        <f>VLOOKUP(C601,DMSP!$A$1:$C$39,2,0)</f>
        <v>6.BVTV</v>
      </c>
      <c r="E601" s="159" t="str">
        <f>VLOOKUP(C601,DMSP!$A$1:$C$39,3,0)</f>
        <v>TAMALA</v>
      </c>
      <c r="F601" s="160">
        <f t="shared" si="64"/>
        <v>0</v>
      </c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2">
        <f t="shared" si="63"/>
        <v>0</v>
      </c>
      <c r="T601" s="167"/>
    </row>
    <row r="602" customHeight="1" spans="2:20">
      <c r="B602" s="166"/>
      <c r="C602" s="164">
        <f t="shared" si="62"/>
        <v>27</v>
      </c>
      <c r="D602" s="158" t="str">
        <f>VLOOKUP(C602,DMSP!$A$1:$C$39,2,0)</f>
        <v>7.KHÁC</v>
      </c>
      <c r="E602" s="159" t="str">
        <f>VLOOKUP(C602,DMSP!$A$1:$C$39,3,0)</f>
        <v>KẼM VÀNG</v>
      </c>
      <c r="F602" s="160">
        <f t="shared" si="64"/>
        <v>0</v>
      </c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2">
        <f t="shared" si="63"/>
        <v>0</v>
      </c>
      <c r="T602" s="167"/>
    </row>
    <row r="603" customHeight="1" spans="2:20">
      <c r="B603" s="166"/>
      <c r="C603" s="164">
        <f t="shared" si="62"/>
        <v>28</v>
      </c>
      <c r="D603" s="158" t="str">
        <f>VLOOKUP(C603,DMSP!$A$1:$C$39,2,0)</f>
        <v>7.KHÁC</v>
      </c>
      <c r="E603" s="159" t="str">
        <f>VLOOKUP(C603,DMSP!$A$1:$C$39,3,0)</f>
        <v>KHÁC1</v>
      </c>
      <c r="F603" s="160">
        <f t="shared" si="64"/>
        <v>0</v>
      </c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2">
        <f t="shared" si="63"/>
        <v>0</v>
      </c>
      <c r="T603" s="167"/>
    </row>
    <row r="604" customHeight="1" spans="2:20">
      <c r="B604" s="166"/>
      <c r="C604" s="164">
        <f t="shared" si="62"/>
        <v>29</v>
      </c>
      <c r="D604" s="158" t="str">
        <f>VLOOKUP(C604,DMSP!$A$1:$C$39,2,0)</f>
        <v>7.KHÁC</v>
      </c>
      <c r="E604" s="169" t="s">
        <v>13</v>
      </c>
      <c r="F604" s="160">
        <f t="shared" si="64"/>
        <v>19</v>
      </c>
      <c r="G604" s="161"/>
      <c r="H604" s="161"/>
      <c r="I604" s="161"/>
      <c r="J604" s="161"/>
      <c r="K604" s="161"/>
      <c r="L604" s="161"/>
      <c r="M604" s="161">
        <v>19</v>
      </c>
      <c r="N604" s="161"/>
      <c r="O604" s="161"/>
      <c r="P604" s="161"/>
      <c r="Q604" s="161"/>
      <c r="R604" s="161"/>
      <c r="S604" s="162">
        <f t="shared" si="63"/>
        <v>19</v>
      </c>
      <c r="T604" s="167"/>
    </row>
    <row r="605" customHeight="1" spans="2:20">
      <c r="B605" s="166"/>
      <c r="C605" s="164">
        <f t="shared" si="62"/>
        <v>30</v>
      </c>
      <c r="D605" s="158" t="str">
        <f>VLOOKUP(C605,DMSP!$A$1:$C$39,2,0)</f>
        <v>7.KHÁC</v>
      </c>
      <c r="E605" s="159" t="str">
        <f>VLOOKUP(C605,DMSP!$A$1:$C$39,3,0)</f>
        <v>RỬA RONG RÊU</v>
      </c>
      <c r="F605" s="160">
        <f t="shared" si="64"/>
        <v>0</v>
      </c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2">
        <f t="shared" si="63"/>
        <v>0</v>
      </c>
      <c r="T605" s="167"/>
    </row>
    <row r="606" customHeight="1" spans="2:20">
      <c r="B606" s="166"/>
      <c r="C606" s="164">
        <f t="shared" si="62"/>
        <v>31</v>
      </c>
      <c r="D606" s="158" t="str">
        <f>VLOOKUP(C606,DMSP!$A$1:$C$39,2,0)</f>
        <v>7.KHÁC</v>
      </c>
      <c r="E606" s="159" t="str">
        <f>VLOOKUP(C606,DMSP!$A$1:$C$39,3,0)</f>
        <v>TB BO</v>
      </c>
      <c r="F606" s="160">
        <f t="shared" si="64"/>
        <v>0</v>
      </c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2">
        <f t="shared" si="63"/>
        <v>0</v>
      </c>
      <c r="T606" s="167"/>
    </row>
    <row r="607" customHeight="1" spans="2:20">
      <c r="B607" s="166"/>
      <c r="C607" s="164">
        <f t="shared" si="62"/>
        <v>32</v>
      </c>
      <c r="D607" s="158" t="str">
        <f>VLOOKUP(C607,DMSP!$A$1:$C$39,2,0)</f>
        <v>7.KHÁC</v>
      </c>
      <c r="E607" s="159" t="str">
        <f>VLOOKUP(C607,DMSP!$A$1:$C$39,3,0)</f>
        <v>TB FRUIT</v>
      </c>
      <c r="F607" s="160">
        <f t="shared" si="64"/>
        <v>0</v>
      </c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2">
        <f t="shared" si="63"/>
        <v>0</v>
      </c>
      <c r="T607" s="167"/>
    </row>
    <row r="608" customHeight="1" spans="2:20">
      <c r="B608" s="166"/>
      <c r="C608" s="164">
        <f t="shared" si="62"/>
        <v>33</v>
      </c>
      <c r="D608" s="158" t="str">
        <f>VLOOKUP(C608,DMSP!$A$1:$C$39,2,0)</f>
        <v>7.KHÁC</v>
      </c>
      <c r="E608" s="159" t="str">
        <f>VLOOKUP(C608,DMSP!$A$1:$C$39,3,0)</f>
        <v>TB PHOS</v>
      </c>
      <c r="F608" s="160">
        <f t="shared" si="64"/>
        <v>0</v>
      </c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2">
        <f t="shared" si="63"/>
        <v>0</v>
      </c>
      <c r="T608" s="167"/>
    </row>
    <row r="609" customHeight="1" spans="2:20">
      <c r="B609" s="166"/>
      <c r="C609" s="164">
        <f t="shared" si="62"/>
        <v>34</v>
      </c>
      <c r="D609" s="158" t="str">
        <f>VLOOKUP(C609,DMSP!$A$1:$C$39,2,0)</f>
        <v>7.KHÁC</v>
      </c>
      <c r="E609" s="159" t="str">
        <f>VLOOKUP(C609,DMSP!$A$1:$C$39,3,0)</f>
        <v>TOBA BÁM DÍNH</v>
      </c>
      <c r="F609" s="160">
        <f t="shared" si="64"/>
        <v>0</v>
      </c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2">
        <f t="shared" si="63"/>
        <v>0</v>
      </c>
      <c r="T609" s="167"/>
    </row>
    <row r="610" customHeight="1" spans="2:20">
      <c r="B610" s="166"/>
      <c r="C610" s="164">
        <f t="shared" si="62"/>
        <v>35</v>
      </c>
      <c r="D610" s="158" t="str">
        <f>VLOOKUP(C610,DMSP!$A$1:$C$39,2,0)</f>
        <v>7.KHÁC</v>
      </c>
      <c r="E610" s="159" t="str">
        <f>VLOOKUP(C610,DMSP!$A$1:$C$39,3,0)</f>
        <v>VỌT HOA NHÃN</v>
      </c>
      <c r="F610" s="160">
        <f t="shared" si="64"/>
        <v>0</v>
      </c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2">
        <f t="shared" si="63"/>
        <v>0</v>
      </c>
      <c r="T610" s="167"/>
    </row>
    <row r="611" customHeight="1" spans="2:20">
      <c r="B611" s="166"/>
      <c r="C611" s="164">
        <f t="shared" si="62"/>
        <v>36</v>
      </c>
      <c r="D611" s="158" t="str">
        <f>VLOOKUP(C611,DMSP!$A$1:$C$39,2,0)</f>
        <v>7.KHÁC</v>
      </c>
      <c r="E611" s="159" t="str">
        <f>VLOOKUP(C611,DMSP!$A$1:$C$39,3,0)</f>
        <v>VỌT HOA XOÀI</v>
      </c>
      <c r="F611" s="160">
        <f t="shared" si="64"/>
        <v>0</v>
      </c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2">
        <f t="shared" si="63"/>
        <v>0</v>
      </c>
      <c r="T611" s="167"/>
    </row>
    <row r="612" customHeight="1" spans="2:20">
      <c r="B612" s="166"/>
      <c r="C612" s="164">
        <f t="shared" si="62"/>
        <v>37</v>
      </c>
      <c r="D612" s="158" t="str">
        <f>VLOOKUP(C612,DMSP!$A$1:$C$39,2,0)</f>
        <v>7.KHÁC</v>
      </c>
      <c r="E612" s="159" t="str">
        <f>VLOOKUP(C612,DMSP!$A$1:$C$39,3,0)</f>
        <v>VỌT HOA XOÀI</v>
      </c>
      <c r="F612" s="160">
        <f t="shared" si="64"/>
        <v>0</v>
      </c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2">
        <f t="shared" si="63"/>
        <v>0</v>
      </c>
      <c r="T612" s="167"/>
    </row>
    <row r="613" customHeight="1" spans="2:20">
      <c r="B613" s="92"/>
      <c r="C613" s="170" t="str">
        <f>B576</f>
        <v>HOÀNG PHÁT </v>
      </c>
      <c r="D613" s="171"/>
      <c r="E613" s="172" t="str">
        <f>"TOTAL "&amp;B576</f>
        <v>TOTAL HOÀNG PHÁT </v>
      </c>
      <c r="F613" s="173">
        <f t="shared" si="64"/>
        <v>24</v>
      </c>
      <c r="G613" s="174">
        <f>SUM(G576:G612)</f>
        <v>0</v>
      </c>
      <c r="H613" s="174">
        <f t="shared" ref="H613:R613" si="65">SUM(H576:H612)</f>
        <v>0</v>
      </c>
      <c r="I613" s="174">
        <f t="shared" si="65"/>
        <v>0</v>
      </c>
      <c r="J613" s="174">
        <f t="shared" si="65"/>
        <v>0</v>
      </c>
      <c r="K613" s="174">
        <f t="shared" si="65"/>
        <v>0</v>
      </c>
      <c r="L613" s="174">
        <f t="shared" si="65"/>
        <v>0</v>
      </c>
      <c r="M613" s="174">
        <f t="shared" si="65"/>
        <v>24</v>
      </c>
      <c r="N613" s="174">
        <f t="shared" si="65"/>
        <v>0</v>
      </c>
      <c r="O613" s="174">
        <f t="shared" si="65"/>
        <v>0</v>
      </c>
      <c r="P613" s="174">
        <f t="shared" si="65"/>
        <v>0</v>
      </c>
      <c r="Q613" s="174">
        <f t="shared" si="65"/>
        <v>0</v>
      </c>
      <c r="R613" s="174">
        <f t="shared" si="65"/>
        <v>0</v>
      </c>
      <c r="S613" s="174">
        <f t="shared" si="63"/>
        <v>24</v>
      </c>
      <c r="T613" s="175"/>
    </row>
    <row r="614" customHeight="1" spans="2:20">
      <c r="B614" s="156" t="s">
        <v>29</v>
      </c>
      <c r="C614" s="157">
        <v>1</v>
      </c>
      <c r="D614" s="158" t="str">
        <f>VLOOKUP(C614,DMSP!$A$1:$C$39,2,0)</f>
        <v>1.TOBA XANH</v>
      </c>
      <c r="E614" s="159" t="str">
        <f>VLOOKUP(C614,DMSP!$A$1:$C$39,3,0)</f>
        <v>TOBA XANH</v>
      </c>
      <c r="F614" s="160">
        <f t="shared" si="64"/>
        <v>0</v>
      </c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2">
        <f t="shared" si="63"/>
        <v>0</v>
      </c>
      <c r="T614" s="163">
        <f>S651</f>
        <v>51</v>
      </c>
    </row>
    <row r="615" customHeight="1" spans="2:20">
      <c r="B615" s="166"/>
      <c r="C615" s="164">
        <f t="shared" ref="C615:C650" si="66">C614+1</f>
        <v>2</v>
      </c>
      <c r="D615" s="158" t="str">
        <f>VLOOKUP(C615,DMSP!$A$1:$C$39,2,0)</f>
        <v>2.HC</v>
      </c>
      <c r="E615" s="159" t="str">
        <f>VLOOKUP(C615,DMSP!$A$1:$C$39,3,0)</f>
        <v>HC BOOSTER</v>
      </c>
      <c r="F615" s="160">
        <f t="shared" si="64"/>
        <v>0</v>
      </c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2">
        <f t="shared" ref="S615:S652" si="67">SUM(G615:R615)</f>
        <v>0</v>
      </c>
      <c r="T615" s="167"/>
    </row>
    <row r="616" customHeight="1" spans="2:20">
      <c r="B616" s="166"/>
      <c r="C616" s="164">
        <f t="shared" si="66"/>
        <v>3</v>
      </c>
      <c r="D616" s="158" t="str">
        <f>VLOOKUP(C616,DMSP!$A$1:$C$39,2,0)</f>
        <v>2.HC</v>
      </c>
      <c r="E616" s="159" t="str">
        <f>VLOOKUP(C616,DMSP!$A$1:$C$39,3,0)</f>
        <v>HC KING-ROOT</v>
      </c>
      <c r="F616" s="160">
        <f t="shared" si="64"/>
        <v>0</v>
      </c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2">
        <f t="shared" si="67"/>
        <v>0</v>
      </c>
      <c r="T616" s="167"/>
    </row>
    <row r="617" customHeight="1" spans="2:20">
      <c r="B617" s="166"/>
      <c r="C617" s="164">
        <f t="shared" si="66"/>
        <v>4</v>
      </c>
      <c r="D617" s="158" t="str">
        <f>VLOOKUP(C617,DMSP!$A$1:$C$39,2,0)</f>
        <v>2.HC</v>
      </c>
      <c r="E617" s="159" t="str">
        <f>VLOOKUP(C617,DMSP!$A$1:$C$39,3,0)</f>
        <v>HAPPY FARM</v>
      </c>
      <c r="F617" s="160">
        <f t="shared" si="64"/>
        <v>0</v>
      </c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2">
        <f t="shared" si="67"/>
        <v>0</v>
      </c>
      <c r="T617" s="167"/>
    </row>
    <row r="618" customHeight="1" spans="2:20">
      <c r="B618" s="166"/>
      <c r="C618" s="164">
        <f t="shared" si="66"/>
        <v>5</v>
      </c>
      <c r="D618" s="158" t="str">
        <f>VLOOKUP(C618,DMSP!$A$1:$C$39,2,0)</f>
        <v>2.HC</v>
      </c>
      <c r="E618" s="159" t="str">
        <f>VLOOKUP(C618,DMSP!$A$1:$C$39,3,0)</f>
        <v>WOW</v>
      </c>
      <c r="F618" s="160">
        <f t="shared" si="64"/>
        <v>0</v>
      </c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2">
        <f t="shared" si="67"/>
        <v>0</v>
      </c>
      <c r="T618" s="167"/>
    </row>
    <row r="619" customHeight="1" spans="2:20">
      <c r="B619" s="166"/>
      <c r="C619" s="164">
        <f t="shared" si="66"/>
        <v>6</v>
      </c>
      <c r="D619" s="158" t="str">
        <f>VLOOKUP(C619,DMSP!$A$1:$C$39,2,0)</f>
        <v>3.SPRAY </v>
      </c>
      <c r="E619" s="159" t="str">
        <f>VLOOKUP(C619,DMSP!$A$1:$C$39,3,0)</f>
        <v>KELPIT</v>
      </c>
      <c r="F619" s="160">
        <f t="shared" si="64"/>
        <v>0</v>
      </c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2">
        <f t="shared" si="67"/>
        <v>0</v>
      </c>
      <c r="T619" s="167"/>
    </row>
    <row r="620" customHeight="1" spans="2:20">
      <c r="B620" s="166"/>
      <c r="C620" s="164">
        <f t="shared" si="66"/>
        <v>7</v>
      </c>
      <c r="D620" s="158" t="str">
        <f>VLOOKUP(C620,DMSP!$A$1:$C$39,2,0)</f>
        <v>3.SPRAY </v>
      </c>
      <c r="E620" s="159" t="str">
        <f>VLOOKUP(C620,DMSP!$A$1:$C$39,3,0)</f>
        <v>SI-K</v>
      </c>
      <c r="F620" s="160">
        <f t="shared" si="64"/>
        <v>5</v>
      </c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>
        <v>5</v>
      </c>
      <c r="R620" s="161"/>
      <c r="S620" s="162">
        <f t="shared" si="67"/>
        <v>5</v>
      </c>
      <c r="T620" s="167"/>
    </row>
    <row r="621" customHeight="1" spans="2:20">
      <c r="B621" s="166"/>
      <c r="C621" s="164">
        <f t="shared" si="66"/>
        <v>8</v>
      </c>
      <c r="D621" s="158" t="str">
        <f>VLOOKUP(C621,DMSP!$A$1:$C$39,2,0)</f>
        <v>3.SPRAY </v>
      </c>
      <c r="E621" s="159" t="str">
        <f>VLOOKUP(C621,DMSP!$A$1:$C$39,3,0)</f>
        <v>SPRAY PHOS 620</v>
      </c>
      <c r="F621" s="160">
        <f t="shared" si="64"/>
        <v>0</v>
      </c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2">
        <f t="shared" si="67"/>
        <v>0</v>
      </c>
      <c r="T621" s="167"/>
    </row>
    <row r="622" customHeight="1" spans="2:20">
      <c r="B622" s="166"/>
      <c r="C622" s="164">
        <f t="shared" si="66"/>
        <v>9</v>
      </c>
      <c r="D622" s="158" t="str">
        <f>VLOOKUP(C622,DMSP!$A$1:$C$39,2,0)</f>
        <v>4.DƯỠNG RỄ</v>
      </c>
      <c r="E622" s="159" t="str">
        <f>VLOOKUP(C622,DMSP!$A$1:$C$39,3,0)</f>
        <v>CHITOSAN</v>
      </c>
      <c r="F622" s="160">
        <f t="shared" si="64"/>
        <v>0</v>
      </c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2">
        <f t="shared" si="67"/>
        <v>0</v>
      </c>
      <c r="T622" s="167"/>
    </row>
    <row r="623" customHeight="1" spans="2:20">
      <c r="B623" s="166"/>
      <c r="C623" s="164">
        <f t="shared" si="66"/>
        <v>10</v>
      </c>
      <c r="D623" s="158" t="str">
        <f>VLOOKUP(C623,DMSP!$A$1:$C$39,2,0)</f>
        <v>4.DƯỠNG RỄ</v>
      </c>
      <c r="E623" s="159" t="str">
        <f>VLOOKUP(C623,DMSP!$A$1:$C$39,3,0)</f>
        <v>ĐẠM CÁ</v>
      </c>
      <c r="F623" s="160">
        <f t="shared" si="64"/>
        <v>0</v>
      </c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2">
        <f t="shared" si="67"/>
        <v>0</v>
      </c>
      <c r="T623" s="167"/>
    </row>
    <row r="624" customHeight="1" spans="2:20">
      <c r="B624" s="166"/>
      <c r="C624" s="164">
        <f t="shared" si="66"/>
        <v>11</v>
      </c>
      <c r="D624" s="158" t="str">
        <f>VLOOKUP(C624,DMSP!$A$1:$C$39,2,0)</f>
        <v>4.DƯỠNG RỄ</v>
      </c>
      <c r="E624" s="159" t="str">
        <f>VLOOKUP(C624,DMSP!$A$1:$C$39,3,0)</f>
        <v>ĐẠM TÔM</v>
      </c>
      <c r="F624" s="160">
        <f t="shared" si="64"/>
        <v>0</v>
      </c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2">
        <f t="shared" si="67"/>
        <v>0</v>
      </c>
      <c r="T624" s="167"/>
    </row>
    <row r="625" customHeight="1" spans="2:20">
      <c r="B625" s="166"/>
      <c r="C625" s="164">
        <f t="shared" si="66"/>
        <v>12</v>
      </c>
      <c r="D625" s="158" t="str">
        <f>VLOOKUP(C625,DMSP!$A$1:$C$39,2,0)</f>
        <v>4.DƯỠNG RỄ</v>
      </c>
      <c r="E625" s="159" t="str">
        <f>VLOOKUP(C625,DMSP!$A$1:$C$39,3,0)</f>
        <v>SUPERMIC</v>
      </c>
      <c r="F625" s="160">
        <f t="shared" si="64"/>
        <v>0</v>
      </c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2">
        <f t="shared" si="67"/>
        <v>0</v>
      </c>
      <c r="T625" s="167"/>
    </row>
    <row r="626" customHeight="1" spans="2:20">
      <c r="B626" s="166"/>
      <c r="C626" s="164">
        <f t="shared" si="66"/>
        <v>13</v>
      </c>
      <c r="D626" s="158" t="str">
        <f>VLOOKUP(C626,DMSP!$A$1:$C$39,2,0)</f>
        <v>5.TRUYỀN THỐNG</v>
      </c>
      <c r="E626" s="159" t="str">
        <f>VLOOKUP(C626,DMSP!$A$1:$C$39,3,0)</f>
        <v>CABO</v>
      </c>
      <c r="F626" s="160">
        <f t="shared" si="64"/>
        <v>0</v>
      </c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2">
        <f t="shared" si="67"/>
        <v>0</v>
      </c>
      <c r="T626" s="167"/>
    </row>
    <row r="627" customHeight="1" spans="2:20">
      <c r="B627" s="166"/>
      <c r="C627" s="164">
        <f t="shared" si="66"/>
        <v>14</v>
      </c>
      <c r="D627" s="158" t="str">
        <f>VLOOKUP(C627,DMSP!$A$1:$C$39,2,0)</f>
        <v>5.TRUYỀN THỐNG</v>
      </c>
      <c r="E627" s="159" t="str">
        <f>VLOOKUP(C627,DMSP!$A$1:$C$39,3,0)</f>
        <v>F94</v>
      </c>
      <c r="F627" s="160">
        <f t="shared" si="64"/>
        <v>0</v>
      </c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2">
        <f t="shared" si="67"/>
        <v>0</v>
      </c>
      <c r="T627" s="167"/>
    </row>
    <row r="628" customHeight="1" spans="2:20">
      <c r="B628" s="166"/>
      <c r="C628" s="164">
        <f t="shared" si="66"/>
        <v>15</v>
      </c>
      <c r="D628" s="158" t="str">
        <f>VLOOKUP(C628,DMSP!$A$1:$C$39,2,0)</f>
        <v>5.TRUYỀN THỐNG</v>
      </c>
      <c r="E628" s="159" t="str">
        <f>VLOOKUP(C628,DMSP!$A$1:$C$39,3,0)</f>
        <v>F95</v>
      </c>
      <c r="F628" s="160">
        <f t="shared" si="64"/>
        <v>42</v>
      </c>
      <c r="G628" s="161"/>
      <c r="H628" s="161"/>
      <c r="I628" s="161"/>
      <c r="J628" s="161"/>
      <c r="K628" s="161"/>
      <c r="L628" s="161"/>
      <c r="M628" s="161">
        <v>21</v>
      </c>
      <c r="N628" s="161"/>
      <c r="O628" s="161"/>
      <c r="P628" s="161"/>
      <c r="Q628" s="161">
        <v>21</v>
      </c>
      <c r="R628" s="161"/>
      <c r="S628" s="162">
        <f t="shared" si="67"/>
        <v>42</v>
      </c>
      <c r="T628" s="167"/>
    </row>
    <row r="629" customHeight="1" spans="2:20">
      <c r="B629" s="166"/>
      <c r="C629" s="164">
        <f t="shared" si="66"/>
        <v>16</v>
      </c>
      <c r="D629" s="158" t="str">
        <f>VLOOKUP(C629,DMSP!$A$1:$C$39,2,0)</f>
        <v>5.TRUYỀN THỐNG</v>
      </c>
      <c r="E629" s="159" t="str">
        <f>VLOOKUP(C629,DMSP!$A$1:$C$39,3,0)</f>
        <v>THIOURE</v>
      </c>
      <c r="F629" s="160">
        <f t="shared" si="64"/>
        <v>0</v>
      </c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2">
        <f t="shared" si="67"/>
        <v>0</v>
      </c>
      <c r="T629" s="167"/>
    </row>
    <row r="630" customHeight="1" spans="2:20">
      <c r="B630" s="166"/>
      <c r="C630" s="164">
        <f t="shared" si="66"/>
        <v>17</v>
      </c>
      <c r="D630" s="158" t="str">
        <f>VLOOKUP(C630,DMSP!$A$1:$C$39,2,0)</f>
        <v>5.TRUYỀN THỐNG</v>
      </c>
      <c r="E630" s="159" t="str">
        <f>VLOOKUP(C630,DMSP!$A$1:$C$39,3,0)</f>
        <v>TOBA JUM</v>
      </c>
      <c r="F630" s="160">
        <f t="shared" si="64"/>
        <v>0</v>
      </c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2">
        <f t="shared" si="67"/>
        <v>0</v>
      </c>
      <c r="T630" s="167"/>
    </row>
    <row r="631" customHeight="1" spans="2:20">
      <c r="B631" s="166"/>
      <c r="C631" s="164">
        <f t="shared" si="66"/>
        <v>18</v>
      </c>
      <c r="D631" s="158" t="str">
        <f>VLOOKUP(C631,DMSP!$A$1:$C$39,2,0)</f>
        <v>5.TRUYỀN THỐNG</v>
      </c>
      <c r="E631" s="159" t="str">
        <f>VLOOKUP(C631,DMSP!$A$1:$C$39,3,0)</f>
        <v>TOBA NET</v>
      </c>
      <c r="F631" s="160">
        <f t="shared" si="64"/>
        <v>0</v>
      </c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2">
        <f t="shared" si="67"/>
        <v>0</v>
      </c>
      <c r="T631" s="167"/>
    </row>
    <row r="632" customHeight="1" spans="2:20">
      <c r="B632" s="166"/>
      <c r="C632" s="164">
        <f t="shared" si="66"/>
        <v>19</v>
      </c>
      <c r="D632" s="158" t="str">
        <f>VLOOKUP(C632,DMSP!$A$1:$C$39,2,0)</f>
        <v>6.BVTV</v>
      </c>
      <c r="E632" s="159" t="str">
        <f>VLOOKUP(C632,DMSP!$A$1:$C$39,3,0)</f>
        <v>ABAFAX 1.8</v>
      </c>
      <c r="F632" s="160">
        <f t="shared" si="64"/>
        <v>0</v>
      </c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2">
        <f t="shared" si="67"/>
        <v>0</v>
      </c>
      <c r="T632" s="167"/>
    </row>
    <row r="633" customHeight="1" spans="2:20">
      <c r="B633" s="166"/>
      <c r="C633" s="164">
        <f t="shared" si="66"/>
        <v>20</v>
      </c>
      <c r="D633" s="158" t="str">
        <f>VLOOKUP(C633,DMSP!$A$1:$C$39,2,0)</f>
        <v>6.BVTV</v>
      </c>
      <c r="E633" s="159" t="str">
        <f>VLOOKUP(C633,DMSP!$A$1:$C$39,3,0)</f>
        <v>ABAFAX 3.6</v>
      </c>
      <c r="F633" s="160">
        <f t="shared" si="64"/>
        <v>0</v>
      </c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2">
        <f t="shared" si="67"/>
        <v>0</v>
      </c>
      <c r="T633" s="167"/>
    </row>
    <row r="634" customHeight="1" spans="2:20">
      <c r="B634" s="166"/>
      <c r="C634" s="164">
        <f t="shared" si="66"/>
        <v>21</v>
      </c>
      <c r="D634" s="158" t="str">
        <f>VLOOKUP(C634,DMSP!$A$1:$C$39,2,0)</f>
        <v>6.BVTV</v>
      </c>
      <c r="E634" s="159" t="str">
        <f>VLOOKUP(C634,DMSP!$A$1:$C$39,3,0)</f>
        <v>AZET</v>
      </c>
      <c r="F634" s="160">
        <f t="shared" si="64"/>
        <v>0</v>
      </c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2">
        <f t="shared" si="67"/>
        <v>0</v>
      </c>
      <c r="T634" s="167"/>
    </row>
    <row r="635" customHeight="1" spans="2:20">
      <c r="B635" s="166"/>
      <c r="C635" s="164">
        <f t="shared" si="66"/>
        <v>22</v>
      </c>
      <c r="D635" s="158" t="str">
        <f>VLOOKUP(C635,DMSP!$A$1:$C$39,2,0)</f>
        <v>6.BVTV</v>
      </c>
      <c r="E635" s="159" t="str">
        <f>VLOOKUP(C635,DMSP!$A$1:$C$39,3,0)</f>
        <v>BACBA</v>
      </c>
      <c r="F635" s="160">
        <f t="shared" si="64"/>
        <v>0</v>
      </c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2">
        <f t="shared" si="67"/>
        <v>0</v>
      </c>
      <c r="T635" s="167"/>
    </row>
    <row r="636" customHeight="1" spans="2:20">
      <c r="B636" s="166"/>
      <c r="C636" s="164">
        <f t="shared" si="66"/>
        <v>23</v>
      </c>
      <c r="D636" s="158" t="str">
        <f>VLOOKUP(C636,DMSP!$A$1:$C$39,2,0)</f>
        <v>6.BVTV</v>
      </c>
      <c r="E636" s="159" t="str">
        <f>VLOOKUP(C636,DMSP!$A$1:$C$39,3,0)</f>
        <v>BIOROSAMIL</v>
      </c>
      <c r="F636" s="160">
        <f t="shared" si="64"/>
        <v>0</v>
      </c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2">
        <f t="shared" si="67"/>
        <v>0</v>
      </c>
      <c r="T636" s="167"/>
    </row>
    <row r="637" customHeight="1" spans="2:20">
      <c r="B637" s="166"/>
      <c r="C637" s="164">
        <f t="shared" si="66"/>
        <v>24</v>
      </c>
      <c r="D637" s="158" t="str">
        <f>VLOOKUP(C637,DMSP!$A$1:$C$39,2,0)</f>
        <v>6.BVTV</v>
      </c>
      <c r="E637" s="159" t="str">
        <f>VLOOKUP(C637,DMSP!$A$1:$C$39,3,0)</f>
        <v>COC 86</v>
      </c>
      <c r="F637" s="160">
        <f t="shared" si="64"/>
        <v>0</v>
      </c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2">
        <f t="shared" si="67"/>
        <v>0</v>
      </c>
      <c r="T637" s="167"/>
    </row>
    <row r="638" customHeight="1" spans="2:20">
      <c r="B638" s="166"/>
      <c r="C638" s="164">
        <f t="shared" si="66"/>
        <v>25</v>
      </c>
      <c r="D638" s="158" t="str">
        <f>VLOOKUP(C638,DMSP!$A$1:$C$39,2,0)</f>
        <v>6.BVTV</v>
      </c>
      <c r="E638" s="159" t="str">
        <f>VLOOKUP(C638,DMSP!$A$1:$C$39,3,0)</f>
        <v>HEXA 5</v>
      </c>
      <c r="F638" s="160">
        <f t="shared" si="64"/>
        <v>0</v>
      </c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2">
        <f t="shared" si="67"/>
        <v>0</v>
      </c>
      <c r="T638" s="167"/>
    </row>
    <row r="639" customHeight="1" spans="2:20">
      <c r="B639" s="166"/>
      <c r="C639" s="164">
        <f t="shared" si="66"/>
        <v>26</v>
      </c>
      <c r="D639" s="158" t="str">
        <f>VLOOKUP(C639,DMSP!$A$1:$C$39,2,0)</f>
        <v>6.BVTV</v>
      </c>
      <c r="E639" s="159" t="str">
        <f>VLOOKUP(C639,DMSP!$A$1:$C$39,3,0)</f>
        <v>TAMALA</v>
      </c>
      <c r="F639" s="160">
        <f t="shared" si="64"/>
        <v>0</v>
      </c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2">
        <f t="shared" si="67"/>
        <v>0</v>
      </c>
      <c r="T639" s="167"/>
    </row>
    <row r="640" customHeight="1" spans="2:20">
      <c r="B640" s="166"/>
      <c r="C640" s="164">
        <f t="shared" si="66"/>
        <v>27</v>
      </c>
      <c r="D640" s="158" t="str">
        <f>VLOOKUP(C640,DMSP!$A$1:$C$39,2,0)</f>
        <v>7.KHÁC</v>
      </c>
      <c r="E640" s="159" t="str">
        <f>VLOOKUP(C640,DMSP!$A$1:$C$39,3,0)</f>
        <v>KẼM VÀNG</v>
      </c>
      <c r="F640" s="160">
        <f t="shared" si="64"/>
        <v>0</v>
      </c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2">
        <f t="shared" si="67"/>
        <v>0</v>
      </c>
      <c r="T640" s="167"/>
    </row>
    <row r="641" customHeight="1" spans="2:20">
      <c r="B641" s="166"/>
      <c r="C641" s="164">
        <f t="shared" si="66"/>
        <v>28</v>
      </c>
      <c r="D641" s="158" t="str">
        <f>VLOOKUP(C641,DMSP!$A$1:$C$39,2,0)</f>
        <v>7.KHÁC</v>
      </c>
      <c r="E641" s="159" t="str">
        <f>VLOOKUP(C641,DMSP!$A$1:$C$39,3,0)</f>
        <v>KHÁC1</v>
      </c>
      <c r="F641" s="160">
        <f t="shared" si="64"/>
        <v>0</v>
      </c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2">
        <f t="shared" si="67"/>
        <v>0</v>
      </c>
      <c r="T641" s="167"/>
    </row>
    <row r="642" customHeight="1" spans="2:20">
      <c r="B642" s="166"/>
      <c r="C642" s="164">
        <f t="shared" si="66"/>
        <v>29</v>
      </c>
      <c r="D642" s="158" t="str">
        <f>VLOOKUP(C642,DMSP!$A$1:$C$39,2,0)</f>
        <v>7.KHÁC</v>
      </c>
      <c r="E642" s="169" t="s">
        <v>13</v>
      </c>
      <c r="F642" s="160">
        <f t="shared" si="64"/>
        <v>0</v>
      </c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2">
        <f t="shared" si="67"/>
        <v>0</v>
      </c>
      <c r="T642" s="167"/>
    </row>
    <row r="643" customHeight="1" spans="2:20">
      <c r="B643" s="166"/>
      <c r="C643" s="164">
        <f t="shared" si="66"/>
        <v>30</v>
      </c>
      <c r="D643" s="158" t="str">
        <f>VLOOKUP(C643,DMSP!$A$1:$C$39,2,0)</f>
        <v>7.KHÁC</v>
      </c>
      <c r="E643" s="159" t="str">
        <f>VLOOKUP(C643,DMSP!$A$1:$C$39,3,0)</f>
        <v>RỬA RONG RÊU</v>
      </c>
      <c r="F643" s="160">
        <f t="shared" si="64"/>
        <v>4</v>
      </c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>
        <v>4</v>
      </c>
      <c r="R643" s="161"/>
      <c r="S643" s="162">
        <f t="shared" si="67"/>
        <v>4</v>
      </c>
      <c r="T643" s="167"/>
    </row>
    <row r="644" customHeight="1" spans="2:20">
      <c r="B644" s="166"/>
      <c r="C644" s="164">
        <f t="shared" si="66"/>
        <v>31</v>
      </c>
      <c r="D644" s="158" t="str">
        <f>VLOOKUP(C644,DMSP!$A$1:$C$39,2,0)</f>
        <v>7.KHÁC</v>
      </c>
      <c r="E644" s="159" t="str">
        <f>VLOOKUP(C644,DMSP!$A$1:$C$39,3,0)</f>
        <v>TB BO</v>
      </c>
      <c r="F644" s="160">
        <f t="shared" si="64"/>
        <v>0</v>
      </c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2">
        <f t="shared" si="67"/>
        <v>0</v>
      </c>
      <c r="T644" s="167"/>
    </row>
    <row r="645" customHeight="1" spans="2:20">
      <c r="B645" s="166"/>
      <c r="C645" s="164">
        <f t="shared" si="66"/>
        <v>32</v>
      </c>
      <c r="D645" s="158" t="str">
        <f>VLOOKUP(C645,DMSP!$A$1:$C$39,2,0)</f>
        <v>7.KHÁC</v>
      </c>
      <c r="E645" s="159" t="str">
        <f>VLOOKUP(C645,DMSP!$A$1:$C$39,3,0)</f>
        <v>TB FRUIT</v>
      </c>
      <c r="F645" s="160">
        <f t="shared" si="64"/>
        <v>0</v>
      </c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2">
        <f t="shared" si="67"/>
        <v>0</v>
      </c>
      <c r="T645" s="167"/>
    </row>
    <row r="646" customHeight="1" spans="2:20">
      <c r="B646" s="166"/>
      <c r="C646" s="164">
        <f t="shared" si="66"/>
        <v>33</v>
      </c>
      <c r="D646" s="158" t="str">
        <f>VLOOKUP(C646,DMSP!$A$1:$C$39,2,0)</f>
        <v>7.KHÁC</v>
      </c>
      <c r="E646" s="159" t="str">
        <f>VLOOKUP(C646,DMSP!$A$1:$C$39,3,0)</f>
        <v>TB PHOS</v>
      </c>
      <c r="F646" s="160">
        <f t="shared" si="64"/>
        <v>0</v>
      </c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2">
        <f t="shared" si="67"/>
        <v>0</v>
      </c>
      <c r="T646" s="167"/>
    </row>
    <row r="647" customHeight="1" spans="2:20">
      <c r="B647" s="166"/>
      <c r="C647" s="164">
        <f t="shared" si="66"/>
        <v>34</v>
      </c>
      <c r="D647" s="158" t="str">
        <f>VLOOKUP(C647,DMSP!$A$1:$C$39,2,0)</f>
        <v>7.KHÁC</v>
      </c>
      <c r="E647" s="159" t="str">
        <f>VLOOKUP(C647,DMSP!$A$1:$C$39,3,0)</f>
        <v>TOBA BÁM DÍNH</v>
      </c>
      <c r="F647" s="160">
        <f t="shared" ref="F647:F710" si="68">S647</f>
        <v>0</v>
      </c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2">
        <f t="shared" si="67"/>
        <v>0</v>
      </c>
      <c r="T647" s="167"/>
    </row>
    <row r="648" customHeight="1" spans="2:20">
      <c r="B648" s="166"/>
      <c r="C648" s="164">
        <f t="shared" si="66"/>
        <v>35</v>
      </c>
      <c r="D648" s="158" t="str">
        <f>VLOOKUP(C648,DMSP!$A$1:$C$39,2,0)</f>
        <v>7.KHÁC</v>
      </c>
      <c r="E648" s="159" t="str">
        <f>VLOOKUP(C648,DMSP!$A$1:$C$39,3,0)</f>
        <v>VỌT HOA NHÃN</v>
      </c>
      <c r="F648" s="160">
        <f t="shared" si="68"/>
        <v>0</v>
      </c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2">
        <f t="shared" si="67"/>
        <v>0</v>
      </c>
      <c r="T648" s="167"/>
    </row>
    <row r="649" customHeight="1" spans="2:20">
      <c r="B649" s="166"/>
      <c r="C649" s="164">
        <f t="shared" si="66"/>
        <v>36</v>
      </c>
      <c r="D649" s="158" t="str">
        <f>VLOOKUP(C649,DMSP!$A$1:$C$39,2,0)</f>
        <v>7.KHÁC</v>
      </c>
      <c r="E649" s="159" t="str">
        <f>VLOOKUP(C649,DMSP!$A$1:$C$39,3,0)</f>
        <v>VỌT HOA XOÀI</v>
      </c>
      <c r="F649" s="160">
        <f t="shared" si="68"/>
        <v>0</v>
      </c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2">
        <f t="shared" si="67"/>
        <v>0</v>
      </c>
      <c r="T649" s="167"/>
    </row>
    <row r="650" customHeight="1" spans="2:20">
      <c r="B650" s="166"/>
      <c r="C650" s="164">
        <f t="shared" si="66"/>
        <v>37</v>
      </c>
      <c r="D650" s="158" t="str">
        <f>VLOOKUP(C650,DMSP!$A$1:$C$39,2,0)</f>
        <v>7.KHÁC</v>
      </c>
      <c r="E650" s="159" t="str">
        <f>VLOOKUP(C650,DMSP!$A$1:$C$39,3,0)</f>
        <v>VỌT HOA XOÀI</v>
      </c>
      <c r="F650" s="160">
        <f t="shared" si="68"/>
        <v>0</v>
      </c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2">
        <f t="shared" si="67"/>
        <v>0</v>
      </c>
      <c r="T650" s="167"/>
    </row>
    <row r="651" customHeight="1" spans="2:20">
      <c r="B651" s="92"/>
      <c r="C651" s="170" t="str">
        <f>B614</f>
        <v>PHƯỚC LỢI </v>
      </c>
      <c r="D651" s="171"/>
      <c r="E651" s="172" t="str">
        <f>"TOTAL "&amp;B614</f>
        <v>TOTAL PHƯỚC LỢI </v>
      </c>
      <c r="F651" s="173">
        <f t="shared" si="68"/>
        <v>51</v>
      </c>
      <c r="G651" s="174">
        <f>SUM(G614:G650)</f>
        <v>0</v>
      </c>
      <c r="H651" s="174">
        <f t="shared" ref="H651:R651" si="69">SUM(H614:H650)</f>
        <v>0</v>
      </c>
      <c r="I651" s="174">
        <f t="shared" si="69"/>
        <v>0</v>
      </c>
      <c r="J651" s="174">
        <f t="shared" si="69"/>
        <v>0</v>
      </c>
      <c r="K651" s="174">
        <f t="shared" si="69"/>
        <v>0</v>
      </c>
      <c r="L651" s="174">
        <f t="shared" si="69"/>
        <v>0</v>
      </c>
      <c r="M651" s="174">
        <f t="shared" si="69"/>
        <v>21</v>
      </c>
      <c r="N651" s="174">
        <f t="shared" si="69"/>
        <v>0</v>
      </c>
      <c r="O651" s="174">
        <f t="shared" si="69"/>
        <v>0</v>
      </c>
      <c r="P651" s="174">
        <f t="shared" si="69"/>
        <v>0</v>
      </c>
      <c r="Q651" s="174">
        <f t="shared" si="69"/>
        <v>30</v>
      </c>
      <c r="R651" s="174">
        <f t="shared" si="69"/>
        <v>0</v>
      </c>
      <c r="S651" s="174">
        <f t="shared" si="67"/>
        <v>51</v>
      </c>
      <c r="T651" s="175"/>
    </row>
    <row r="652" customHeight="1" spans="2:20">
      <c r="B652" s="156" t="s">
        <v>30</v>
      </c>
      <c r="C652" s="157">
        <v>1</v>
      </c>
      <c r="D652" s="158" t="str">
        <f>VLOOKUP(C652,DMSP!$A$1:$C$39,2,0)</f>
        <v>1.TOBA XANH</v>
      </c>
      <c r="E652" s="159" t="str">
        <f>VLOOKUP(C652,DMSP!$A$1:$C$39,3,0)</f>
        <v>TOBA XANH</v>
      </c>
      <c r="F652" s="160">
        <f t="shared" si="68"/>
        <v>0</v>
      </c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62">
        <f t="shared" si="67"/>
        <v>0</v>
      </c>
      <c r="T652" s="163">
        <f>S689</f>
        <v>168</v>
      </c>
    </row>
    <row r="653" customHeight="1" spans="2:20">
      <c r="B653" s="166"/>
      <c r="C653" s="164">
        <f t="shared" ref="C653:C688" si="70">C652+1</f>
        <v>2</v>
      </c>
      <c r="D653" s="158" t="str">
        <f>VLOOKUP(C653,DMSP!$A$1:$C$39,2,0)</f>
        <v>2.HC</v>
      </c>
      <c r="E653" s="159" t="str">
        <f>VLOOKUP(C653,DMSP!$A$1:$C$39,3,0)</f>
        <v>HC BOOSTER</v>
      </c>
      <c r="F653" s="160">
        <f t="shared" si="68"/>
        <v>0</v>
      </c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62">
        <f t="shared" ref="S653:S690" si="71">SUM(G653:R653)</f>
        <v>0</v>
      </c>
      <c r="T653" s="167"/>
    </row>
    <row r="654" customHeight="1" spans="2:20">
      <c r="B654" s="166"/>
      <c r="C654" s="164">
        <f t="shared" si="70"/>
        <v>3</v>
      </c>
      <c r="D654" s="158" t="str">
        <f>VLOOKUP(C654,DMSP!$A$1:$C$39,2,0)</f>
        <v>2.HC</v>
      </c>
      <c r="E654" s="159" t="str">
        <f>VLOOKUP(C654,DMSP!$A$1:$C$39,3,0)</f>
        <v>HC KING-ROOT</v>
      </c>
      <c r="F654" s="160">
        <f t="shared" si="68"/>
        <v>0</v>
      </c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62">
        <f t="shared" si="71"/>
        <v>0</v>
      </c>
      <c r="T654" s="167"/>
    </row>
    <row r="655" customHeight="1" spans="2:20">
      <c r="B655" s="166"/>
      <c r="C655" s="164">
        <f t="shared" si="70"/>
        <v>4</v>
      </c>
      <c r="D655" s="158" t="str">
        <f>VLOOKUP(C655,DMSP!$A$1:$C$39,2,0)</f>
        <v>2.HC</v>
      </c>
      <c r="E655" s="159" t="str">
        <f>VLOOKUP(C655,DMSP!$A$1:$C$39,3,0)</f>
        <v>HAPPY FARM</v>
      </c>
      <c r="F655" s="160">
        <f t="shared" si="68"/>
        <v>0</v>
      </c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62">
        <f t="shared" si="71"/>
        <v>0</v>
      </c>
      <c r="T655" s="167"/>
    </row>
    <row r="656" customHeight="1" spans="2:20">
      <c r="B656" s="166"/>
      <c r="C656" s="164">
        <f t="shared" si="70"/>
        <v>5</v>
      </c>
      <c r="D656" s="158" t="str">
        <f>VLOOKUP(C656,DMSP!$A$1:$C$39,2,0)</f>
        <v>2.HC</v>
      </c>
      <c r="E656" s="159" t="str">
        <f>VLOOKUP(C656,DMSP!$A$1:$C$39,3,0)</f>
        <v>WOW</v>
      </c>
      <c r="F656" s="160">
        <f t="shared" si="68"/>
        <v>0</v>
      </c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62">
        <f t="shared" si="71"/>
        <v>0</v>
      </c>
      <c r="T656" s="167"/>
    </row>
    <row r="657" customHeight="1" spans="2:20">
      <c r="B657" s="166"/>
      <c r="C657" s="164">
        <f t="shared" si="70"/>
        <v>6</v>
      </c>
      <c r="D657" s="158" t="str">
        <f>VLOOKUP(C657,DMSP!$A$1:$C$39,2,0)</f>
        <v>3.SPRAY </v>
      </c>
      <c r="E657" s="159" t="str">
        <f>VLOOKUP(C657,DMSP!$A$1:$C$39,3,0)</f>
        <v>KELPIT</v>
      </c>
      <c r="F657" s="160">
        <f t="shared" si="68"/>
        <v>0</v>
      </c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62">
        <f t="shared" si="71"/>
        <v>0</v>
      </c>
      <c r="T657" s="167"/>
    </row>
    <row r="658" customHeight="1" spans="2:20">
      <c r="B658" s="166"/>
      <c r="C658" s="164">
        <f t="shared" si="70"/>
        <v>7</v>
      </c>
      <c r="D658" s="158" t="str">
        <f>VLOOKUP(C658,DMSP!$A$1:$C$39,2,0)</f>
        <v>3.SPRAY </v>
      </c>
      <c r="E658" s="159" t="str">
        <f>VLOOKUP(C658,DMSP!$A$1:$C$39,3,0)</f>
        <v>SI-K</v>
      </c>
      <c r="F658" s="160">
        <f t="shared" si="68"/>
        <v>0</v>
      </c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62">
        <f t="shared" si="71"/>
        <v>0</v>
      </c>
      <c r="T658" s="167"/>
    </row>
    <row r="659" customHeight="1" spans="2:20">
      <c r="B659" s="166"/>
      <c r="C659" s="164">
        <f t="shared" si="70"/>
        <v>8</v>
      </c>
      <c r="D659" s="158" t="str">
        <f>VLOOKUP(C659,DMSP!$A$1:$C$39,2,0)</f>
        <v>3.SPRAY </v>
      </c>
      <c r="E659" s="159" t="str">
        <f>VLOOKUP(C659,DMSP!$A$1:$C$39,3,0)</f>
        <v>SPRAY PHOS 620</v>
      </c>
      <c r="F659" s="160">
        <f t="shared" si="68"/>
        <v>0</v>
      </c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62">
        <f t="shared" si="71"/>
        <v>0</v>
      </c>
      <c r="T659" s="167"/>
    </row>
    <row r="660" customHeight="1" spans="2:20">
      <c r="B660" s="166"/>
      <c r="C660" s="164">
        <f t="shared" si="70"/>
        <v>9</v>
      </c>
      <c r="D660" s="158" t="str">
        <f>VLOOKUP(C660,DMSP!$A$1:$C$39,2,0)</f>
        <v>4.DƯỠNG RỄ</v>
      </c>
      <c r="E660" s="159" t="str">
        <f>VLOOKUP(C660,DMSP!$A$1:$C$39,3,0)</f>
        <v>CHITOSAN</v>
      </c>
      <c r="F660" s="160">
        <f t="shared" si="68"/>
        <v>0</v>
      </c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62">
        <f t="shared" si="71"/>
        <v>0</v>
      </c>
      <c r="T660" s="167"/>
    </row>
    <row r="661" customHeight="1" spans="2:20">
      <c r="B661" s="166"/>
      <c r="C661" s="164">
        <f t="shared" si="70"/>
        <v>10</v>
      </c>
      <c r="D661" s="158" t="str">
        <f>VLOOKUP(C661,DMSP!$A$1:$C$39,2,0)</f>
        <v>4.DƯỠNG RỄ</v>
      </c>
      <c r="E661" s="159" t="str">
        <f>VLOOKUP(C661,DMSP!$A$1:$C$39,3,0)</f>
        <v>ĐẠM CÁ</v>
      </c>
      <c r="F661" s="160">
        <f t="shared" si="68"/>
        <v>0</v>
      </c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62">
        <f t="shared" si="71"/>
        <v>0</v>
      </c>
      <c r="T661" s="167"/>
    </row>
    <row r="662" customHeight="1" spans="2:20">
      <c r="B662" s="166"/>
      <c r="C662" s="164">
        <f t="shared" si="70"/>
        <v>11</v>
      </c>
      <c r="D662" s="158" t="str">
        <f>VLOOKUP(C662,DMSP!$A$1:$C$39,2,0)</f>
        <v>4.DƯỠNG RỄ</v>
      </c>
      <c r="E662" s="159" t="str">
        <f>VLOOKUP(C662,DMSP!$A$1:$C$39,3,0)</f>
        <v>ĐẠM TÔM</v>
      </c>
      <c r="F662" s="160">
        <f t="shared" si="68"/>
        <v>0</v>
      </c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62">
        <f t="shared" si="71"/>
        <v>0</v>
      </c>
      <c r="T662" s="167"/>
    </row>
    <row r="663" customHeight="1" spans="2:20">
      <c r="B663" s="166"/>
      <c r="C663" s="164">
        <f t="shared" si="70"/>
        <v>12</v>
      </c>
      <c r="D663" s="158" t="str">
        <f>VLOOKUP(C663,DMSP!$A$1:$C$39,2,0)</f>
        <v>4.DƯỠNG RỄ</v>
      </c>
      <c r="E663" s="159" t="str">
        <f>VLOOKUP(C663,DMSP!$A$1:$C$39,3,0)</f>
        <v>SUPERMIC</v>
      </c>
      <c r="F663" s="160">
        <f t="shared" si="68"/>
        <v>0</v>
      </c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62">
        <f t="shared" si="71"/>
        <v>0</v>
      </c>
      <c r="T663" s="167"/>
    </row>
    <row r="664" customHeight="1" spans="2:20">
      <c r="B664" s="166"/>
      <c r="C664" s="164">
        <f t="shared" si="70"/>
        <v>13</v>
      </c>
      <c r="D664" s="158" t="str">
        <f>VLOOKUP(C664,DMSP!$A$1:$C$39,2,0)</f>
        <v>5.TRUYỀN THỐNG</v>
      </c>
      <c r="E664" s="159" t="str">
        <f>VLOOKUP(C664,DMSP!$A$1:$C$39,3,0)</f>
        <v>CABO</v>
      </c>
      <c r="F664" s="160">
        <f t="shared" si="68"/>
        <v>0</v>
      </c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62">
        <f t="shared" si="71"/>
        <v>0</v>
      </c>
      <c r="T664" s="167"/>
    </row>
    <row r="665" customHeight="1" spans="2:20">
      <c r="B665" s="166"/>
      <c r="C665" s="164">
        <f t="shared" si="70"/>
        <v>14</v>
      </c>
      <c r="D665" s="158" t="str">
        <f>VLOOKUP(C665,DMSP!$A$1:$C$39,2,0)</f>
        <v>5.TRUYỀN THỐNG</v>
      </c>
      <c r="E665" s="159" t="str">
        <f>VLOOKUP(C665,DMSP!$A$1:$C$39,3,0)</f>
        <v>F94</v>
      </c>
      <c r="F665" s="160">
        <f t="shared" si="68"/>
        <v>0</v>
      </c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62">
        <f t="shared" si="71"/>
        <v>0</v>
      </c>
      <c r="T665" s="167"/>
    </row>
    <row r="666" customHeight="1" spans="2:20">
      <c r="B666" s="166"/>
      <c r="C666" s="164">
        <f t="shared" si="70"/>
        <v>15</v>
      </c>
      <c r="D666" s="158" t="str">
        <f>VLOOKUP(C666,DMSP!$A$1:$C$39,2,0)</f>
        <v>5.TRUYỀN THỐNG</v>
      </c>
      <c r="E666" s="159" t="str">
        <f>VLOOKUP(C666,DMSP!$A$1:$C$39,3,0)</f>
        <v>F95</v>
      </c>
      <c r="F666" s="160">
        <f t="shared" si="68"/>
        <v>168</v>
      </c>
      <c r="G666" s="176"/>
      <c r="H666" s="176"/>
      <c r="I666" s="176"/>
      <c r="J666" s="176"/>
      <c r="K666" s="176"/>
      <c r="L666" s="176"/>
      <c r="M666" s="176"/>
      <c r="N666" s="176">
        <v>84</v>
      </c>
      <c r="O666" s="176"/>
      <c r="P666" s="176"/>
      <c r="Q666" s="176"/>
      <c r="R666" s="176">
        <v>84</v>
      </c>
      <c r="S666" s="162">
        <f t="shared" si="71"/>
        <v>168</v>
      </c>
      <c r="T666" s="167"/>
    </row>
    <row r="667" customHeight="1" spans="2:20">
      <c r="B667" s="166"/>
      <c r="C667" s="164">
        <f t="shared" si="70"/>
        <v>16</v>
      </c>
      <c r="D667" s="158" t="str">
        <f>VLOOKUP(C667,DMSP!$A$1:$C$39,2,0)</f>
        <v>5.TRUYỀN THỐNG</v>
      </c>
      <c r="E667" s="159" t="str">
        <f>VLOOKUP(C667,DMSP!$A$1:$C$39,3,0)</f>
        <v>THIOURE</v>
      </c>
      <c r="F667" s="160">
        <f t="shared" si="68"/>
        <v>0</v>
      </c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62">
        <f t="shared" si="71"/>
        <v>0</v>
      </c>
      <c r="T667" s="167"/>
    </row>
    <row r="668" customHeight="1" spans="2:20">
      <c r="B668" s="166"/>
      <c r="C668" s="164">
        <f t="shared" si="70"/>
        <v>17</v>
      </c>
      <c r="D668" s="158" t="str">
        <f>VLOOKUP(C668,DMSP!$A$1:$C$39,2,0)</f>
        <v>5.TRUYỀN THỐNG</v>
      </c>
      <c r="E668" s="159" t="str">
        <f>VLOOKUP(C668,DMSP!$A$1:$C$39,3,0)</f>
        <v>TOBA JUM</v>
      </c>
      <c r="F668" s="160">
        <f t="shared" si="68"/>
        <v>0</v>
      </c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62">
        <f t="shared" si="71"/>
        <v>0</v>
      </c>
      <c r="T668" s="167"/>
    </row>
    <row r="669" customHeight="1" spans="2:20">
      <c r="B669" s="166"/>
      <c r="C669" s="164">
        <f t="shared" si="70"/>
        <v>18</v>
      </c>
      <c r="D669" s="158" t="str">
        <f>VLOOKUP(C669,DMSP!$A$1:$C$39,2,0)</f>
        <v>5.TRUYỀN THỐNG</v>
      </c>
      <c r="E669" s="159" t="str">
        <f>VLOOKUP(C669,DMSP!$A$1:$C$39,3,0)</f>
        <v>TOBA NET</v>
      </c>
      <c r="F669" s="160">
        <f t="shared" si="68"/>
        <v>0</v>
      </c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62">
        <f t="shared" si="71"/>
        <v>0</v>
      </c>
      <c r="T669" s="167"/>
    </row>
    <row r="670" customHeight="1" spans="2:20">
      <c r="B670" s="166"/>
      <c r="C670" s="164">
        <f t="shared" si="70"/>
        <v>19</v>
      </c>
      <c r="D670" s="158" t="str">
        <f>VLOOKUP(C670,DMSP!$A$1:$C$39,2,0)</f>
        <v>6.BVTV</v>
      </c>
      <c r="E670" s="159" t="str">
        <f>VLOOKUP(C670,DMSP!$A$1:$C$39,3,0)</f>
        <v>ABAFAX 1.8</v>
      </c>
      <c r="F670" s="160">
        <f t="shared" si="68"/>
        <v>0</v>
      </c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62">
        <f t="shared" si="71"/>
        <v>0</v>
      </c>
      <c r="T670" s="167"/>
    </row>
    <row r="671" customHeight="1" spans="2:20">
      <c r="B671" s="166"/>
      <c r="C671" s="164">
        <f t="shared" si="70"/>
        <v>20</v>
      </c>
      <c r="D671" s="158" t="str">
        <f>VLOOKUP(C671,DMSP!$A$1:$C$39,2,0)</f>
        <v>6.BVTV</v>
      </c>
      <c r="E671" s="159" t="str">
        <f>VLOOKUP(C671,DMSP!$A$1:$C$39,3,0)</f>
        <v>ABAFAX 3.6</v>
      </c>
      <c r="F671" s="160">
        <f t="shared" si="68"/>
        <v>0</v>
      </c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62">
        <f t="shared" si="71"/>
        <v>0</v>
      </c>
      <c r="T671" s="167"/>
    </row>
    <row r="672" customHeight="1" spans="2:20">
      <c r="B672" s="166"/>
      <c r="C672" s="164">
        <f t="shared" si="70"/>
        <v>21</v>
      </c>
      <c r="D672" s="158" t="str">
        <f>VLOOKUP(C672,DMSP!$A$1:$C$39,2,0)</f>
        <v>6.BVTV</v>
      </c>
      <c r="E672" s="159" t="str">
        <f>VLOOKUP(C672,DMSP!$A$1:$C$39,3,0)</f>
        <v>AZET</v>
      </c>
      <c r="F672" s="160">
        <f t="shared" si="68"/>
        <v>0</v>
      </c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62">
        <f t="shared" si="71"/>
        <v>0</v>
      </c>
      <c r="T672" s="167"/>
    </row>
    <row r="673" customHeight="1" spans="2:20">
      <c r="B673" s="166"/>
      <c r="C673" s="164">
        <f t="shared" si="70"/>
        <v>22</v>
      </c>
      <c r="D673" s="158" t="str">
        <f>VLOOKUP(C673,DMSP!$A$1:$C$39,2,0)</f>
        <v>6.BVTV</v>
      </c>
      <c r="E673" s="159" t="str">
        <f>VLOOKUP(C673,DMSP!$A$1:$C$39,3,0)</f>
        <v>BACBA</v>
      </c>
      <c r="F673" s="160">
        <f t="shared" si="68"/>
        <v>0</v>
      </c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62">
        <f t="shared" si="71"/>
        <v>0</v>
      </c>
      <c r="T673" s="167"/>
    </row>
    <row r="674" customHeight="1" spans="2:20">
      <c r="B674" s="166"/>
      <c r="C674" s="164">
        <f t="shared" si="70"/>
        <v>23</v>
      </c>
      <c r="D674" s="158" t="str">
        <f>VLOOKUP(C674,DMSP!$A$1:$C$39,2,0)</f>
        <v>6.BVTV</v>
      </c>
      <c r="E674" s="159" t="str">
        <f>VLOOKUP(C674,DMSP!$A$1:$C$39,3,0)</f>
        <v>BIOROSAMIL</v>
      </c>
      <c r="F674" s="160">
        <f t="shared" si="68"/>
        <v>0</v>
      </c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62">
        <f t="shared" si="71"/>
        <v>0</v>
      </c>
      <c r="T674" s="167"/>
    </row>
    <row r="675" customHeight="1" spans="2:20">
      <c r="B675" s="166"/>
      <c r="C675" s="164">
        <f t="shared" si="70"/>
        <v>24</v>
      </c>
      <c r="D675" s="158" t="str">
        <f>VLOOKUP(C675,DMSP!$A$1:$C$39,2,0)</f>
        <v>6.BVTV</v>
      </c>
      <c r="E675" s="159" t="str">
        <f>VLOOKUP(C675,DMSP!$A$1:$C$39,3,0)</f>
        <v>COC 86</v>
      </c>
      <c r="F675" s="160">
        <f t="shared" si="68"/>
        <v>0</v>
      </c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62">
        <f t="shared" si="71"/>
        <v>0</v>
      </c>
      <c r="T675" s="167"/>
    </row>
    <row r="676" customHeight="1" spans="2:20">
      <c r="B676" s="166"/>
      <c r="C676" s="164">
        <f t="shared" si="70"/>
        <v>25</v>
      </c>
      <c r="D676" s="158" t="str">
        <f>VLOOKUP(C676,DMSP!$A$1:$C$39,2,0)</f>
        <v>6.BVTV</v>
      </c>
      <c r="E676" s="159" t="str">
        <f>VLOOKUP(C676,DMSP!$A$1:$C$39,3,0)</f>
        <v>HEXA 5</v>
      </c>
      <c r="F676" s="160">
        <f t="shared" si="68"/>
        <v>0</v>
      </c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62">
        <f t="shared" si="71"/>
        <v>0</v>
      </c>
      <c r="T676" s="167"/>
    </row>
    <row r="677" customHeight="1" spans="2:20">
      <c r="B677" s="166"/>
      <c r="C677" s="164">
        <f t="shared" si="70"/>
        <v>26</v>
      </c>
      <c r="D677" s="158" t="str">
        <f>VLOOKUP(C677,DMSP!$A$1:$C$39,2,0)</f>
        <v>6.BVTV</v>
      </c>
      <c r="E677" s="159" t="str">
        <f>VLOOKUP(C677,DMSP!$A$1:$C$39,3,0)</f>
        <v>TAMALA</v>
      </c>
      <c r="F677" s="160">
        <f t="shared" si="68"/>
        <v>0</v>
      </c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62">
        <f t="shared" si="71"/>
        <v>0</v>
      </c>
      <c r="T677" s="167"/>
    </row>
    <row r="678" customHeight="1" spans="2:20">
      <c r="B678" s="166"/>
      <c r="C678" s="164">
        <f t="shared" si="70"/>
        <v>27</v>
      </c>
      <c r="D678" s="158" t="str">
        <f>VLOOKUP(C678,DMSP!$A$1:$C$39,2,0)</f>
        <v>7.KHÁC</v>
      </c>
      <c r="E678" s="159" t="str">
        <f>VLOOKUP(C678,DMSP!$A$1:$C$39,3,0)</f>
        <v>KẼM VÀNG</v>
      </c>
      <c r="F678" s="160">
        <f t="shared" si="68"/>
        <v>0</v>
      </c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62">
        <f t="shared" si="71"/>
        <v>0</v>
      </c>
      <c r="T678" s="167"/>
    </row>
    <row r="679" customHeight="1" spans="2:20">
      <c r="B679" s="166"/>
      <c r="C679" s="164">
        <f t="shared" si="70"/>
        <v>28</v>
      </c>
      <c r="D679" s="158" t="str">
        <f>VLOOKUP(C679,DMSP!$A$1:$C$39,2,0)</f>
        <v>7.KHÁC</v>
      </c>
      <c r="E679" s="159" t="str">
        <f>VLOOKUP(C679,DMSP!$A$1:$C$39,3,0)</f>
        <v>KHÁC1</v>
      </c>
      <c r="F679" s="160">
        <f t="shared" si="68"/>
        <v>0</v>
      </c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62">
        <f t="shared" si="71"/>
        <v>0</v>
      </c>
      <c r="T679" s="167"/>
    </row>
    <row r="680" customHeight="1" spans="2:20">
      <c r="B680" s="166"/>
      <c r="C680" s="164">
        <f t="shared" si="70"/>
        <v>29</v>
      </c>
      <c r="D680" s="158" t="str">
        <f>VLOOKUP(C680,DMSP!$A$1:$C$39,2,0)</f>
        <v>7.KHÁC</v>
      </c>
      <c r="E680" s="169" t="s">
        <v>13</v>
      </c>
      <c r="F680" s="160">
        <f t="shared" si="68"/>
        <v>0</v>
      </c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62">
        <f t="shared" si="71"/>
        <v>0</v>
      </c>
      <c r="T680" s="167"/>
    </row>
    <row r="681" customHeight="1" spans="2:20">
      <c r="B681" s="166"/>
      <c r="C681" s="164">
        <f t="shared" si="70"/>
        <v>30</v>
      </c>
      <c r="D681" s="158" t="str">
        <f>VLOOKUP(C681,DMSP!$A$1:$C$39,2,0)</f>
        <v>7.KHÁC</v>
      </c>
      <c r="E681" s="159" t="str">
        <f>VLOOKUP(C681,DMSP!$A$1:$C$39,3,0)</f>
        <v>RỬA RONG RÊU</v>
      </c>
      <c r="F681" s="160">
        <f t="shared" si="68"/>
        <v>0</v>
      </c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62">
        <f t="shared" si="71"/>
        <v>0</v>
      </c>
      <c r="T681" s="167"/>
    </row>
    <row r="682" customHeight="1" spans="2:20">
      <c r="B682" s="166"/>
      <c r="C682" s="164">
        <f t="shared" si="70"/>
        <v>31</v>
      </c>
      <c r="D682" s="158" t="str">
        <f>VLOOKUP(C682,DMSP!$A$1:$C$39,2,0)</f>
        <v>7.KHÁC</v>
      </c>
      <c r="E682" s="159" t="str">
        <f>VLOOKUP(C682,DMSP!$A$1:$C$39,3,0)</f>
        <v>TB BO</v>
      </c>
      <c r="F682" s="160">
        <f t="shared" si="68"/>
        <v>0</v>
      </c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62">
        <f t="shared" si="71"/>
        <v>0</v>
      </c>
      <c r="T682" s="167"/>
    </row>
    <row r="683" customHeight="1" spans="2:20">
      <c r="B683" s="166"/>
      <c r="C683" s="164">
        <f t="shared" si="70"/>
        <v>32</v>
      </c>
      <c r="D683" s="158" t="str">
        <f>VLOOKUP(C683,DMSP!$A$1:$C$39,2,0)</f>
        <v>7.KHÁC</v>
      </c>
      <c r="E683" s="159" t="str">
        <f>VLOOKUP(C683,DMSP!$A$1:$C$39,3,0)</f>
        <v>TB FRUIT</v>
      </c>
      <c r="F683" s="160">
        <f t="shared" si="68"/>
        <v>0</v>
      </c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62">
        <f t="shared" si="71"/>
        <v>0</v>
      </c>
      <c r="T683" s="167"/>
    </row>
    <row r="684" customHeight="1" spans="2:20">
      <c r="B684" s="166"/>
      <c r="C684" s="164">
        <f t="shared" si="70"/>
        <v>33</v>
      </c>
      <c r="D684" s="158" t="str">
        <f>VLOOKUP(C684,DMSP!$A$1:$C$39,2,0)</f>
        <v>7.KHÁC</v>
      </c>
      <c r="E684" s="159" t="str">
        <f>VLOOKUP(C684,DMSP!$A$1:$C$39,3,0)</f>
        <v>TB PHOS</v>
      </c>
      <c r="F684" s="160">
        <f t="shared" si="68"/>
        <v>0</v>
      </c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62">
        <f t="shared" si="71"/>
        <v>0</v>
      </c>
      <c r="T684" s="167"/>
    </row>
    <row r="685" customHeight="1" spans="2:20">
      <c r="B685" s="166"/>
      <c r="C685" s="164">
        <f t="shared" si="70"/>
        <v>34</v>
      </c>
      <c r="D685" s="158" t="str">
        <f>VLOOKUP(C685,DMSP!$A$1:$C$39,2,0)</f>
        <v>7.KHÁC</v>
      </c>
      <c r="E685" s="159" t="str">
        <f>VLOOKUP(C685,DMSP!$A$1:$C$39,3,0)</f>
        <v>TOBA BÁM DÍNH</v>
      </c>
      <c r="F685" s="160">
        <f t="shared" si="68"/>
        <v>0</v>
      </c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62">
        <f t="shared" si="71"/>
        <v>0</v>
      </c>
      <c r="T685" s="167"/>
    </row>
    <row r="686" customHeight="1" spans="2:20">
      <c r="B686" s="166"/>
      <c r="C686" s="164">
        <f t="shared" si="70"/>
        <v>35</v>
      </c>
      <c r="D686" s="158" t="str">
        <f>VLOOKUP(C686,DMSP!$A$1:$C$39,2,0)</f>
        <v>7.KHÁC</v>
      </c>
      <c r="E686" s="159" t="str">
        <f>VLOOKUP(C686,DMSP!$A$1:$C$39,3,0)</f>
        <v>VỌT HOA NHÃN</v>
      </c>
      <c r="F686" s="160">
        <f t="shared" si="68"/>
        <v>0</v>
      </c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62">
        <f t="shared" si="71"/>
        <v>0</v>
      </c>
      <c r="T686" s="167"/>
    </row>
    <row r="687" customHeight="1" spans="2:20">
      <c r="B687" s="166"/>
      <c r="C687" s="164">
        <f t="shared" si="70"/>
        <v>36</v>
      </c>
      <c r="D687" s="158" t="str">
        <f>VLOOKUP(C687,DMSP!$A$1:$C$39,2,0)</f>
        <v>7.KHÁC</v>
      </c>
      <c r="E687" s="159" t="str">
        <f>VLOOKUP(C687,DMSP!$A$1:$C$39,3,0)</f>
        <v>VỌT HOA XOÀI</v>
      </c>
      <c r="F687" s="160">
        <f t="shared" si="68"/>
        <v>0</v>
      </c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62">
        <f t="shared" si="71"/>
        <v>0</v>
      </c>
      <c r="T687" s="167"/>
    </row>
    <row r="688" customHeight="1" spans="2:20">
      <c r="B688" s="166"/>
      <c r="C688" s="164">
        <f t="shared" si="70"/>
        <v>37</v>
      </c>
      <c r="D688" s="158" t="str">
        <f>VLOOKUP(C688,DMSP!$A$1:$C$39,2,0)</f>
        <v>7.KHÁC</v>
      </c>
      <c r="E688" s="159" t="str">
        <f>VLOOKUP(C688,DMSP!$A$1:$C$39,3,0)</f>
        <v>VỌT HOA XOÀI</v>
      </c>
      <c r="F688" s="160">
        <f t="shared" si="68"/>
        <v>0</v>
      </c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62">
        <f t="shared" si="71"/>
        <v>0</v>
      </c>
      <c r="T688" s="167"/>
    </row>
    <row r="689" customHeight="1" spans="2:20">
      <c r="B689" s="92"/>
      <c r="C689" s="170" t="str">
        <f>B652</f>
        <v>NGHĨA THẮM </v>
      </c>
      <c r="D689" s="171"/>
      <c r="E689" s="172" t="str">
        <f>"TOTAL "&amp;B652</f>
        <v>TOTAL NGHĨA THẮM </v>
      </c>
      <c r="F689" s="173">
        <f t="shared" si="68"/>
        <v>168</v>
      </c>
      <c r="G689" s="174">
        <f>SUM(G652:G688)</f>
        <v>0</v>
      </c>
      <c r="H689" s="174">
        <f t="shared" ref="H689:R689" si="72">SUM(H652:H688)</f>
        <v>0</v>
      </c>
      <c r="I689" s="174">
        <f t="shared" si="72"/>
        <v>0</v>
      </c>
      <c r="J689" s="174">
        <f t="shared" si="72"/>
        <v>0</v>
      </c>
      <c r="K689" s="174">
        <f t="shared" si="72"/>
        <v>0</v>
      </c>
      <c r="L689" s="174">
        <f t="shared" si="72"/>
        <v>0</v>
      </c>
      <c r="M689" s="174">
        <f t="shared" si="72"/>
        <v>0</v>
      </c>
      <c r="N689" s="174">
        <f t="shared" si="72"/>
        <v>84</v>
      </c>
      <c r="O689" s="174">
        <f t="shared" si="72"/>
        <v>0</v>
      </c>
      <c r="P689" s="174">
        <f t="shared" si="72"/>
        <v>0</v>
      </c>
      <c r="Q689" s="174">
        <f t="shared" si="72"/>
        <v>0</v>
      </c>
      <c r="R689" s="174">
        <f t="shared" si="72"/>
        <v>84</v>
      </c>
      <c r="S689" s="174">
        <f t="shared" si="71"/>
        <v>168</v>
      </c>
      <c r="T689" s="175"/>
    </row>
    <row r="690" customHeight="1" spans="2:20">
      <c r="B690" s="156" t="s">
        <v>31</v>
      </c>
      <c r="C690" s="157">
        <v>1</v>
      </c>
      <c r="D690" s="158" t="str">
        <f>VLOOKUP(C690,DMSP!$A$1:$C$39,2,0)</f>
        <v>1.TOBA XANH</v>
      </c>
      <c r="E690" s="159" t="str">
        <f>VLOOKUP(C690,DMSP!$A$1:$C$39,3,0)</f>
        <v>TOBA XANH</v>
      </c>
      <c r="F690" s="160">
        <f t="shared" si="68"/>
        <v>0</v>
      </c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62">
        <f t="shared" si="71"/>
        <v>0</v>
      </c>
      <c r="T690" s="163">
        <f t="shared" ref="T690" si="73">S727</f>
        <v>5</v>
      </c>
    </row>
    <row r="691" customHeight="1" spans="2:20">
      <c r="B691" s="166"/>
      <c r="C691" s="164">
        <f t="shared" ref="C691:C726" si="74">C690+1</f>
        <v>2</v>
      </c>
      <c r="D691" s="158" t="str">
        <f>VLOOKUP(C691,DMSP!$A$1:$C$39,2,0)</f>
        <v>2.HC</v>
      </c>
      <c r="E691" s="159" t="str">
        <f>VLOOKUP(C691,DMSP!$A$1:$C$39,3,0)</f>
        <v>HC BOOSTER</v>
      </c>
      <c r="F691" s="160">
        <f t="shared" si="68"/>
        <v>0</v>
      </c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62">
        <f t="shared" ref="S691:S728" si="75">SUM(G691:R691)</f>
        <v>0</v>
      </c>
      <c r="T691" s="167"/>
    </row>
    <row r="692" customHeight="1" spans="2:20">
      <c r="B692" s="166"/>
      <c r="C692" s="164">
        <f t="shared" si="74"/>
        <v>3</v>
      </c>
      <c r="D692" s="158" t="str">
        <f>VLOOKUP(C692,DMSP!$A$1:$C$39,2,0)</f>
        <v>2.HC</v>
      </c>
      <c r="E692" s="159" t="str">
        <f>VLOOKUP(C692,DMSP!$A$1:$C$39,3,0)</f>
        <v>HC KING-ROOT</v>
      </c>
      <c r="F692" s="160">
        <f t="shared" si="68"/>
        <v>0</v>
      </c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62">
        <f t="shared" si="75"/>
        <v>0</v>
      </c>
      <c r="T692" s="167"/>
    </row>
    <row r="693" customHeight="1" spans="2:20">
      <c r="B693" s="166"/>
      <c r="C693" s="164">
        <f t="shared" si="74"/>
        <v>4</v>
      </c>
      <c r="D693" s="158" t="str">
        <f>VLOOKUP(C693,DMSP!$A$1:$C$39,2,0)</f>
        <v>2.HC</v>
      </c>
      <c r="E693" s="159" t="str">
        <f>VLOOKUP(C693,DMSP!$A$1:$C$39,3,0)</f>
        <v>HAPPY FARM</v>
      </c>
      <c r="F693" s="160">
        <f t="shared" si="68"/>
        <v>0</v>
      </c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62">
        <f t="shared" si="75"/>
        <v>0</v>
      </c>
      <c r="T693" s="167"/>
    </row>
    <row r="694" customHeight="1" spans="2:20">
      <c r="B694" s="166"/>
      <c r="C694" s="164">
        <f t="shared" si="74"/>
        <v>5</v>
      </c>
      <c r="D694" s="158" t="str">
        <f>VLOOKUP(C694,DMSP!$A$1:$C$39,2,0)</f>
        <v>2.HC</v>
      </c>
      <c r="E694" s="159" t="str">
        <f>VLOOKUP(C694,DMSP!$A$1:$C$39,3,0)</f>
        <v>WOW</v>
      </c>
      <c r="F694" s="160">
        <f t="shared" si="68"/>
        <v>0</v>
      </c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62">
        <f t="shared" si="75"/>
        <v>0</v>
      </c>
      <c r="T694" s="167"/>
    </row>
    <row r="695" customHeight="1" spans="2:20">
      <c r="B695" s="166"/>
      <c r="C695" s="164">
        <f t="shared" si="74"/>
        <v>6</v>
      </c>
      <c r="D695" s="158" t="str">
        <f>VLOOKUP(C695,DMSP!$A$1:$C$39,2,0)</f>
        <v>3.SPRAY </v>
      </c>
      <c r="E695" s="159" t="str">
        <f>VLOOKUP(C695,DMSP!$A$1:$C$39,3,0)</f>
        <v>KELPIT</v>
      </c>
      <c r="F695" s="160">
        <f t="shared" si="68"/>
        <v>0</v>
      </c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62">
        <f t="shared" si="75"/>
        <v>0</v>
      </c>
      <c r="T695" s="167"/>
    </row>
    <row r="696" customHeight="1" spans="2:20">
      <c r="B696" s="166"/>
      <c r="C696" s="164">
        <f t="shared" si="74"/>
        <v>7</v>
      </c>
      <c r="D696" s="158" t="str">
        <f>VLOOKUP(C696,DMSP!$A$1:$C$39,2,0)</f>
        <v>3.SPRAY </v>
      </c>
      <c r="E696" s="159" t="str">
        <f>VLOOKUP(C696,DMSP!$A$1:$C$39,3,0)</f>
        <v>SI-K</v>
      </c>
      <c r="F696" s="160">
        <f t="shared" si="68"/>
        <v>0</v>
      </c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62">
        <f t="shared" si="75"/>
        <v>0</v>
      </c>
      <c r="T696" s="167"/>
    </row>
    <row r="697" customHeight="1" spans="2:20">
      <c r="B697" s="166"/>
      <c r="C697" s="164">
        <f t="shared" si="74"/>
        <v>8</v>
      </c>
      <c r="D697" s="158" t="str">
        <f>VLOOKUP(C697,DMSP!$A$1:$C$39,2,0)</f>
        <v>3.SPRAY </v>
      </c>
      <c r="E697" s="159" t="str">
        <f>VLOOKUP(C697,DMSP!$A$1:$C$39,3,0)</f>
        <v>SPRAY PHOS 620</v>
      </c>
      <c r="F697" s="160">
        <f t="shared" si="68"/>
        <v>0</v>
      </c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62">
        <f t="shared" si="75"/>
        <v>0</v>
      </c>
      <c r="T697" s="167"/>
    </row>
    <row r="698" customHeight="1" spans="2:20">
      <c r="B698" s="166"/>
      <c r="C698" s="164">
        <f t="shared" si="74"/>
        <v>9</v>
      </c>
      <c r="D698" s="158" t="str">
        <f>VLOOKUP(C698,DMSP!$A$1:$C$39,2,0)</f>
        <v>4.DƯỠNG RỄ</v>
      </c>
      <c r="E698" s="159" t="str">
        <f>VLOOKUP(C698,DMSP!$A$1:$C$39,3,0)</f>
        <v>CHITOSAN</v>
      </c>
      <c r="F698" s="160">
        <f t="shared" si="68"/>
        <v>0</v>
      </c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62">
        <f t="shared" si="75"/>
        <v>0</v>
      </c>
      <c r="T698" s="167"/>
    </row>
    <row r="699" customHeight="1" spans="2:20">
      <c r="B699" s="166"/>
      <c r="C699" s="164">
        <f t="shared" si="74"/>
        <v>10</v>
      </c>
      <c r="D699" s="158" t="str">
        <f>VLOOKUP(C699,DMSP!$A$1:$C$39,2,0)</f>
        <v>4.DƯỠNG RỄ</v>
      </c>
      <c r="E699" s="159" t="str">
        <f>VLOOKUP(C699,DMSP!$A$1:$C$39,3,0)</f>
        <v>ĐẠM CÁ</v>
      </c>
      <c r="F699" s="160">
        <f t="shared" si="68"/>
        <v>0</v>
      </c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62">
        <f t="shared" si="75"/>
        <v>0</v>
      </c>
      <c r="T699" s="167"/>
    </row>
    <row r="700" customHeight="1" spans="2:20">
      <c r="B700" s="166"/>
      <c r="C700" s="164">
        <f t="shared" si="74"/>
        <v>11</v>
      </c>
      <c r="D700" s="158" t="str">
        <f>VLOOKUP(C700,DMSP!$A$1:$C$39,2,0)</f>
        <v>4.DƯỠNG RỄ</v>
      </c>
      <c r="E700" s="159" t="str">
        <f>VLOOKUP(C700,DMSP!$A$1:$C$39,3,0)</f>
        <v>ĐẠM TÔM</v>
      </c>
      <c r="F700" s="160">
        <f t="shared" si="68"/>
        <v>0</v>
      </c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62">
        <f t="shared" si="75"/>
        <v>0</v>
      </c>
      <c r="T700" s="167"/>
    </row>
    <row r="701" customHeight="1" spans="2:20">
      <c r="B701" s="166"/>
      <c r="C701" s="164">
        <f t="shared" si="74"/>
        <v>12</v>
      </c>
      <c r="D701" s="158" t="str">
        <f>VLOOKUP(C701,DMSP!$A$1:$C$39,2,0)</f>
        <v>4.DƯỠNG RỄ</v>
      </c>
      <c r="E701" s="159" t="str">
        <f>VLOOKUP(C701,DMSP!$A$1:$C$39,3,0)</f>
        <v>SUPERMIC</v>
      </c>
      <c r="F701" s="160">
        <f t="shared" si="68"/>
        <v>0</v>
      </c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62">
        <f t="shared" si="75"/>
        <v>0</v>
      </c>
      <c r="T701" s="167"/>
    </row>
    <row r="702" customHeight="1" spans="2:20">
      <c r="B702" s="166"/>
      <c r="C702" s="164">
        <f t="shared" si="74"/>
        <v>13</v>
      </c>
      <c r="D702" s="158" t="str">
        <f>VLOOKUP(C702,DMSP!$A$1:$C$39,2,0)</f>
        <v>5.TRUYỀN THỐNG</v>
      </c>
      <c r="E702" s="159" t="str">
        <f>VLOOKUP(C702,DMSP!$A$1:$C$39,3,0)</f>
        <v>CABO</v>
      </c>
      <c r="F702" s="160">
        <f t="shared" si="68"/>
        <v>0</v>
      </c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62">
        <f t="shared" si="75"/>
        <v>0</v>
      </c>
      <c r="T702" s="167"/>
    </row>
    <row r="703" customHeight="1" spans="2:20">
      <c r="B703" s="166"/>
      <c r="C703" s="164">
        <f t="shared" si="74"/>
        <v>14</v>
      </c>
      <c r="D703" s="158" t="str">
        <f>VLOOKUP(C703,DMSP!$A$1:$C$39,2,0)</f>
        <v>5.TRUYỀN THỐNG</v>
      </c>
      <c r="E703" s="159" t="str">
        <f>VLOOKUP(C703,DMSP!$A$1:$C$39,3,0)</f>
        <v>F94</v>
      </c>
      <c r="F703" s="160">
        <f t="shared" si="68"/>
        <v>0</v>
      </c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62">
        <f t="shared" si="75"/>
        <v>0</v>
      </c>
      <c r="T703" s="167"/>
    </row>
    <row r="704" customHeight="1" spans="2:20">
      <c r="B704" s="166"/>
      <c r="C704" s="164">
        <f t="shared" si="74"/>
        <v>15</v>
      </c>
      <c r="D704" s="158" t="str">
        <f>VLOOKUP(C704,DMSP!$A$1:$C$39,2,0)</f>
        <v>5.TRUYỀN THỐNG</v>
      </c>
      <c r="E704" s="159" t="str">
        <f>VLOOKUP(C704,DMSP!$A$1:$C$39,3,0)</f>
        <v>F95</v>
      </c>
      <c r="F704" s="160">
        <f t="shared" si="68"/>
        <v>0</v>
      </c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62">
        <f t="shared" si="75"/>
        <v>0</v>
      </c>
      <c r="T704" s="167"/>
    </row>
    <row r="705" customHeight="1" spans="2:20">
      <c r="B705" s="166"/>
      <c r="C705" s="164">
        <f t="shared" si="74"/>
        <v>16</v>
      </c>
      <c r="D705" s="158" t="str">
        <f>VLOOKUP(C705,DMSP!$A$1:$C$39,2,0)</f>
        <v>5.TRUYỀN THỐNG</v>
      </c>
      <c r="E705" s="159" t="str">
        <f>VLOOKUP(C705,DMSP!$A$1:$C$39,3,0)</f>
        <v>THIOURE</v>
      </c>
      <c r="F705" s="160">
        <f t="shared" si="68"/>
        <v>0</v>
      </c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62">
        <f t="shared" si="75"/>
        <v>0</v>
      </c>
      <c r="T705" s="167"/>
    </row>
    <row r="706" customHeight="1" spans="2:20">
      <c r="B706" s="166"/>
      <c r="C706" s="164">
        <f t="shared" si="74"/>
        <v>17</v>
      </c>
      <c r="D706" s="158" t="str">
        <f>VLOOKUP(C706,DMSP!$A$1:$C$39,2,0)</f>
        <v>5.TRUYỀN THỐNG</v>
      </c>
      <c r="E706" s="159" t="str">
        <f>VLOOKUP(C706,DMSP!$A$1:$C$39,3,0)</f>
        <v>TOBA JUM</v>
      </c>
      <c r="F706" s="160">
        <f t="shared" si="68"/>
        <v>0</v>
      </c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62">
        <f t="shared" si="75"/>
        <v>0</v>
      </c>
      <c r="T706" s="167"/>
    </row>
    <row r="707" customHeight="1" spans="2:20">
      <c r="B707" s="166"/>
      <c r="C707" s="164">
        <f t="shared" si="74"/>
        <v>18</v>
      </c>
      <c r="D707" s="158" t="str">
        <f>VLOOKUP(C707,DMSP!$A$1:$C$39,2,0)</f>
        <v>5.TRUYỀN THỐNG</v>
      </c>
      <c r="E707" s="159" t="str">
        <f>VLOOKUP(C707,DMSP!$A$1:$C$39,3,0)</f>
        <v>TOBA NET</v>
      </c>
      <c r="F707" s="160">
        <f t="shared" si="68"/>
        <v>0</v>
      </c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62">
        <f t="shared" si="75"/>
        <v>0</v>
      </c>
      <c r="T707" s="167"/>
    </row>
    <row r="708" customHeight="1" spans="2:20">
      <c r="B708" s="166"/>
      <c r="C708" s="164">
        <f t="shared" si="74"/>
        <v>19</v>
      </c>
      <c r="D708" s="158" t="str">
        <f>VLOOKUP(C708,DMSP!$A$1:$C$39,2,0)</f>
        <v>6.BVTV</v>
      </c>
      <c r="E708" s="159" t="str">
        <f>VLOOKUP(C708,DMSP!$A$1:$C$39,3,0)</f>
        <v>ABAFAX 1.8</v>
      </c>
      <c r="F708" s="160">
        <f t="shared" si="68"/>
        <v>0</v>
      </c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62">
        <f t="shared" si="75"/>
        <v>0</v>
      </c>
      <c r="T708" s="167"/>
    </row>
    <row r="709" customHeight="1" spans="2:20">
      <c r="B709" s="166"/>
      <c r="C709" s="164">
        <f t="shared" si="74"/>
        <v>20</v>
      </c>
      <c r="D709" s="158" t="str">
        <f>VLOOKUP(C709,DMSP!$A$1:$C$39,2,0)</f>
        <v>6.BVTV</v>
      </c>
      <c r="E709" s="159" t="str">
        <f>VLOOKUP(C709,DMSP!$A$1:$C$39,3,0)</f>
        <v>ABAFAX 3.6</v>
      </c>
      <c r="F709" s="160">
        <f t="shared" si="68"/>
        <v>0</v>
      </c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62">
        <f t="shared" si="75"/>
        <v>0</v>
      </c>
      <c r="T709" s="167"/>
    </row>
    <row r="710" customHeight="1" spans="2:20">
      <c r="B710" s="166"/>
      <c r="C710" s="164">
        <f t="shared" si="74"/>
        <v>21</v>
      </c>
      <c r="D710" s="158" t="str">
        <f>VLOOKUP(C710,DMSP!$A$1:$C$39,2,0)</f>
        <v>6.BVTV</v>
      </c>
      <c r="E710" s="159" t="str">
        <f>VLOOKUP(C710,DMSP!$A$1:$C$39,3,0)</f>
        <v>AZET</v>
      </c>
      <c r="F710" s="160">
        <f t="shared" si="68"/>
        <v>0</v>
      </c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62">
        <f t="shared" si="75"/>
        <v>0</v>
      </c>
      <c r="T710" s="167"/>
    </row>
    <row r="711" customHeight="1" spans="2:20">
      <c r="B711" s="166"/>
      <c r="C711" s="164">
        <f t="shared" si="74"/>
        <v>22</v>
      </c>
      <c r="D711" s="158" t="str">
        <f>VLOOKUP(C711,DMSP!$A$1:$C$39,2,0)</f>
        <v>6.BVTV</v>
      </c>
      <c r="E711" s="159" t="str">
        <f>VLOOKUP(C711,DMSP!$A$1:$C$39,3,0)</f>
        <v>BACBA</v>
      </c>
      <c r="F711" s="160">
        <f t="shared" ref="F711:F774" si="76">S711</f>
        <v>0</v>
      </c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62">
        <f t="shared" si="75"/>
        <v>0</v>
      </c>
      <c r="T711" s="167"/>
    </row>
    <row r="712" customHeight="1" spans="2:20">
      <c r="B712" s="166"/>
      <c r="C712" s="164">
        <f t="shared" si="74"/>
        <v>23</v>
      </c>
      <c r="D712" s="158" t="str">
        <f>VLOOKUP(C712,DMSP!$A$1:$C$39,2,0)</f>
        <v>6.BVTV</v>
      </c>
      <c r="E712" s="159" t="str">
        <f>VLOOKUP(C712,DMSP!$A$1:$C$39,3,0)</f>
        <v>BIOROSAMIL</v>
      </c>
      <c r="F712" s="160">
        <f t="shared" si="76"/>
        <v>5</v>
      </c>
      <c r="G712" s="176"/>
      <c r="H712" s="176"/>
      <c r="I712" s="176"/>
      <c r="J712" s="176"/>
      <c r="K712" s="176"/>
      <c r="L712" s="176"/>
      <c r="M712" s="176"/>
      <c r="N712" s="176"/>
      <c r="O712" s="176"/>
      <c r="P712" s="176">
        <v>5</v>
      </c>
      <c r="Q712" s="176"/>
      <c r="R712" s="176"/>
      <c r="S712" s="162">
        <f t="shared" si="75"/>
        <v>5</v>
      </c>
      <c r="T712" s="167"/>
    </row>
    <row r="713" customHeight="1" spans="2:20">
      <c r="B713" s="166"/>
      <c r="C713" s="164">
        <f t="shared" si="74"/>
        <v>24</v>
      </c>
      <c r="D713" s="158" t="str">
        <f>VLOOKUP(C713,DMSP!$A$1:$C$39,2,0)</f>
        <v>6.BVTV</v>
      </c>
      <c r="E713" s="159" t="str">
        <f>VLOOKUP(C713,DMSP!$A$1:$C$39,3,0)</f>
        <v>COC 86</v>
      </c>
      <c r="F713" s="160">
        <f t="shared" si="76"/>
        <v>0</v>
      </c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62">
        <f t="shared" si="75"/>
        <v>0</v>
      </c>
      <c r="T713" s="167"/>
    </row>
    <row r="714" customHeight="1" spans="2:20">
      <c r="B714" s="166"/>
      <c r="C714" s="164">
        <f t="shared" si="74"/>
        <v>25</v>
      </c>
      <c r="D714" s="158" t="str">
        <f>VLOOKUP(C714,DMSP!$A$1:$C$39,2,0)</f>
        <v>6.BVTV</v>
      </c>
      <c r="E714" s="159" t="str">
        <f>VLOOKUP(C714,DMSP!$A$1:$C$39,3,0)</f>
        <v>HEXA 5</v>
      </c>
      <c r="F714" s="160">
        <f t="shared" si="76"/>
        <v>0</v>
      </c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62">
        <f t="shared" si="75"/>
        <v>0</v>
      </c>
      <c r="T714" s="167"/>
    </row>
    <row r="715" customHeight="1" spans="2:20">
      <c r="B715" s="166"/>
      <c r="C715" s="164">
        <f t="shared" si="74"/>
        <v>26</v>
      </c>
      <c r="D715" s="158" t="str">
        <f>VLOOKUP(C715,DMSP!$A$1:$C$39,2,0)</f>
        <v>6.BVTV</v>
      </c>
      <c r="E715" s="159" t="str">
        <f>VLOOKUP(C715,DMSP!$A$1:$C$39,3,0)</f>
        <v>TAMALA</v>
      </c>
      <c r="F715" s="160">
        <f t="shared" si="76"/>
        <v>0</v>
      </c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62">
        <f t="shared" si="75"/>
        <v>0</v>
      </c>
      <c r="T715" s="167"/>
    </row>
    <row r="716" customHeight="1" spans="2:20">
      <c r="B716" s="166"/>
      <c r="C716" s="164">
        <f t="shared" si="74"/>
        <v>27</v>
      </c>
      <c r="D716" s="158" t="str">
        <f>VLOOKUP(C716,DMSP!$A$1:$C$39,2,0)</f>
        <v>7.KHÁC</v>
      </c>
      <c r="E716" s="159" t="str">
        <f>VLOOKUP(C716,DMSP!$A$1:$C$39,3,0)</f>
        <v>KẼM VÀNG</v>
      </c>
      <c r="F716" s="160">
        <f t="shared" si="76"/>
        <v>0</v>
      </c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62">
        <f t="shared" si="75"/>
        <v>0</v>
      </c>
      <c r="T716" s="167"/>
    </row>
    <row r="717" customHeight="1" spans="2:20">
      <c r="B717" s="166"/>
      <c r="C717" s="164">
        <f t="shared" si="74"/>
        <v>28</v>
      </c>
      <c r="D717" s="158" t="str">
        <f>VLOOKUP(C717,DMSP!$A$1:$C$39,2,0)</f>
        <v>7.KHÁC</v>
      </c>
      <c r="E717" s="159" t="str">
        <f>VLOOKUP(C717,DMSP!$A$1:$C$39,3,0)</f>
        <v>KHÁC1</v>
      </c>
      <c r="F717" s="160">
        <f t="shared" si="76"/>
        <v>0</v>
      </c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62">
        <f t="shared" si="75"/>
        <v>0</v>
      </c>
      <c r="T717" s="167"/>
    </row>
    <row r="718" customHeight="1" spans="2:20">
      <c r="B718" s="166"/>
      <c r="C718" s="164">
        <f t="shared" si="74"/>
        <v>29</v>
      </c>
      <c r="D718" s="158" t="str">
        <f>VLOOKUP(C718,DMSP!$A$1:$C$39,2,0)</f>
        <v>7.KHÁC</v>
      </c>
      <c r="E718" s="169" t="s">
        <v>13</v>
      </c>
      <c r="F718" s="160">
        <f t="shared" si="76"/>
        <v>0</v>
      </c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62">
        <f t="shared" si="75"/>
        <v>0</v>
      </c>
      <c r="T718" s="167"/>
    </row>
    <row r="719" customHeight="1" spans="2:20">
      <c r="B719" s="166"/>
      <c r="C719" s="164">
        <f t="shared" si="74"/>
        <v>30</v>
      </c>
      <c r="D719" s="158" t="str">
        <f>VLOOKUP(C719,DMSP!$A$1:$C$39,2,0)</f>
        <v>7.KHÁC</v>
      </c>
      <c r="E719" s="159" t="str">
        <f>VLOOKUP(C719,DMSP!$A$1:$C$39,3,0)</f>
        <v>RỬA RONG RÊU</v>
      </c>
      <c r="F719" s="160">
        <f t="shared" si="76"/>
        <v>0</v>
      </c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62">
        <f t="shared" si="75"/>
        <v>0</v>
      </c>
      <c r="T719" s="167"/>
    </row>
    <row r="720" customHeight="1" spans="2:20">
      <c r="B720" s="166"/>
      <c r="C720" s="164">
        <f t="shared" si="74"/>
        <v>31</v>
      </c>
      <c r="D720" s="158" t="str">
        <f>VLOOKUP(C720,DMSP!$A$1:$C$39,2,0)</f>
        <v>7.KHÁC</v>
      </c>
      <c r="E720" s="159" t="str">
        <f>VLOOKUP(C720,DMSP!$A$1:$C$39,3,0)</f>
        <v>TB BO</v>
      </c>
      <c r="F720" s="160">
        <f t="shared" si="76"/>
        <v>0</v>
      </c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62">
        <f t="shared" si="75"/>
        <v>0</v>
      </c>
      <c r="T720" s="167"/>
    </row>
    <row r="721" customHeight="1" spans="2:20">
      <c r="B721" s="166"/>
      <c r="C721" s="164">
        <f t="shared" si="74"/>
        <v>32</v>
      </c>
      <c r="D721" s="158" t="str">
        <f>VLOOKUP(C721,DMSP!$A$1:$C$39,2,0)</f>
        <v>7.KHÁC</v>
      </c>
      <c r="E721" s="159" t="str">
        <f>VLOOKUP(C721,DMSP!$A$1:$C$39,3,0)</f>
        <v>TB FRUIT</v>
      </c>
      <c r="F721" s="160">
        <f t="shared" si="76"/>
        <v>0</v>
      </c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62">
        <f t="shared" si="75"/>
        <v>0</v>
      </c>
      <c r="T721" s="167"/>
    </row>
    <row r="722" customHeight="1" spans="2:20">
      <c r="B722" s="166"/>
      <c r="C722" s="164">
        <f t="shared" si="74"/>
        <v>33</v>
      </c>
      <c r="D722" s="158" t="str">
        <f>VLOOKUP(C722,DMSP!$A$1:$C$39,2,0)</f>
        <v>7.KHÁC</v>
      </c>
      <c r="E722" s="159" t="str">
        <f>VLOOKUP(C722,DMSP!$A$1:$C$39,3,0)</f>
        <v>TB PHOS</v>
      </c>
      <c r="F722" s="160">
        <f t="shared" si="76"/>
        <v>0</v>
      </c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62">
        <f t="shared" si="75"/>
        <v>0</v>
      </c>
      <c r="T722" s="167"/>
    </row>
    <row r="723" customHeight="1" spans="2:20">
      <c r="B723" s="166"/>
      <c r="C723" s="164">
        <f t="shared" si="74"/>
        <v>34</v>
      </c>
      <c r="D723" s="158" t="str">
        <f>VLOOKUP(C723,DMSP!$A$1:$C$39,2,0)</f>
        <v>7.KHÁC</v>
      </c>
      <c r="E723" s="159" t="str">
        <f>VLOOKUP(C723,DMSP!$A$1:$C$39,3,0)</f>
        <v>TOBA BÁM DÍNH</v>
      </c>
      <c r="F723" s="160">
        <f t="shared" si="76"/>
        <v>0</v>
      </c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62">
        <f t="shared" si="75"/>
        <v>0</v>
      </c>
      <c r="T723" s="167"/>
    </row>
    <row r="724" customHeight="1" spans="2:20">
      <c r="B724" s="166"/>
      <c r="C724" s="164">
        <f t="shared" si="74"/>
        <v>35</v>
      </c>
      <c r="D724" s="158" t="str">
        <f>VLOOKUP(C724,DMSP!$A$1:$C$39,2,0)</f>
        <v>7.KHÁC</v>
      </c>
      <c r="E724" s="159" t="str">
        <f>VLOOKUP(C724,DMSP!$A$1:$C$39,3,0)</f>
        <v>VỌT HOA NHÃN</v>
      </c>
      <c r="F724" s="160">
        <f t="shared" si="76"/>
        <v>0</v>
      </c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62">
        <f t="shared" si="75"/>
        <v>0</v>
      </c>
      <c r="T724" s="167"/>
    </row>
    <row r="725" customHeight="1" spans="2:20">
      <c r="B725" s="166"/>
      <c r="C725" s="164">
        <f t="shared" si="74"/>
        <v>36</v>
      </c>
      <c r="D725" s="158" t="str">
        <f>VLOOKUP(C725,DMSP!$A$1:$C$39,2,0)</f>
        <v>7.KHÁC</v>
      </c>
      <c r="E725" s="159" t="str">
        <f>VLOOKUP(C725,DMSP!$A$1:$C$39,3,0)</f>
        <v>VỌT HOA XOÀI</v>
      </c>
      <c r="F725" s="160">
        <f t="shared" si="76"/>
        <v>0</v>
      </c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62">
        <f t="shared" si="75"/>
        <v>0</v>
      </c>
      <c r="T725" s="167"/>
    </row>
    <row r="726" customHeight="1" spans="2:20">
      <c r="B726" s="166"/>
      <c r="C726" s="164">
        <f t="shared" si="74"/>
        <v>37</v>
      </c>
      <c r="D726" s="158" t="str">
        <f>VLOOKUP(C726,DMSP!$A$1:$C$39,2,0)</f>
        <v>7.KHÁC</v>
      </c>
      <c r="E726" s="159" t="str">
        <f>VLOOKUP(C726,DMSP!$A$1:$C$39,3,0)</f>
        <v>VỌT HOA XOÀI</v>
      </c>
      <c r="F726" s="160">
        <f t="shared" si="76"/>
        <v>0</v>
      </c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62">
        <f t="shared" si="75"/>
        <v>0</v>
      </c>
      <c r="T726" s="167"/>
    </row>
    <row r="727" customHeight="1" spans="2:20">
      <c r="B727" s="92"/>
      <c r="C727" s="170" t="str">
        <f>B690</f>
        <v>THANH TUẤN </v>
      </c>
      <c r="D727" s="171"/>
      <c r="E727" s="172" t="str">
        <f>"TOTAL "&amp;B690</f>
        <v>TOTAL THANH TUẤN </v>
      </c>
      <c r="F727" s="173">
        <f t="shared" si="76"/>
        <v>5</v>
      </c>
      <c r="G727" s="174">
        <f>SUM(G690:G726)</f>
        <v>0</v>
      </c>
      <c r="H727" s="174">
        <f t="shared" ref="H727:R727" si="77">SUM(H690:H726)</f>
        <v>0</v>
      </c>
      <c r="I727" s="174">
        <f t="shared" si="77"/>
        <v>0</v>
      </c>
      <c r="J727" s="174">
        <f t="shared" si="77"/>
        <v>0</v>
      </c>
      <c r="K727" s="174">
        <f t="shared" si="77"/>
        <v>0</v>
      </c>
      <c r="L727" s="174">
        <f t="shared" si="77"/>
        <v>0</v>
      </c>
      <c r="M727" s="174">
        <f t="shared" si="77"/>
        <v>0</v>
      </c>
      <c r="N727" s="174">
        <f t="shared" si="77"/>
        <v>0</v>
      </c>
      <c r="O727" s="174">
        <f t="shared" si="77"/>
        <v>0</v>
      </c>
      <c r="P727" s="174">
        <f t="shared" si="77"/>
        <v>5</v>
      </c>
      <c r="Q727" s="174">
        <f t="shared" si="77"/>
        <v>0</v>
      </c>
      <c r="R727" s="174">
        <f t="shared" si="77"/>
        <v>0</v>
      </c>
      <c r="S727" s="174">
        <f t="shared" si="75"/>
        <v>5</v>
      </c>
      <c r="T727" s="175"/>
    </row>
    <row r="728" customHeight="1" spans="2:20">
      <c r="B728" s="156" t="s">
        <v>32</v>
      </c>
      <c r="C728" s="157">
        <v>1</v>
      </c>
      <c r="D728" s="158" t="str">
        <f>VLOOKUP(C728,DMSP!$A$1:$C$39,2,0)</f>
        <v>1.TOBA XANH</v>
      </c>
      <c r="E728" s="159" t="str">
        <f>VLOOKUP(C728,DMSP!$A$1:$C$39,3,0)</f>
        <v>TOBA XANH</v>
      </c>
      <c r="F728" s="160">
        <f t="shared" si="76"/>
        <v>0</v>
      </c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62">
        <f t="shared" si="75"/>
        <v>0</v>
      </c>
      <c r="T728" s="163">
        <f>S765</f>
        <v>57</v>
      </c>
    </row>
    <row r="729" customHeight="1" spans="2:20">
      <c r="B729" s="166"/>
      <c r="C729" s="164">
        <f t="shared" ref="C729:C792" si="78">C728+1</f>
        <v>2</v>
      </c>
      <c r="D729" s="158" t="str">
        <f>VLOOKUP(C729,DMSP!$A$1:$C$39,2,0)</f>
        <v>2.HC</v>
      </c>
      <c r="E729" s="159" t="str">
        <f>VLOOKUP(C729,DMSP!$A$1:$C$39,3,0)</f>
        <v>HC BOOSTER</v>
      </c>
      <c r="F729" s="160">
        <f t="shared" si="76"/>
        <v>0</v>
      </c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62">
        <f t="shared" ref="S729:S766" si="79">SUM(G729:R729)</f>
        <v>0</v>
      </c>
      <c r="T729" s="167"/>
    </row>
    <row r="730" customHeight="1" spans="2:20">
      <c r="B730" s="166"/>
      <c r="C730" s="164">
        <f t="shared" si="78"/>
        <v>3</v>
      </c>
      <c r="D730" s="158" t="str">
        <f>VLOOKUP(C730,DMSP!$A$1:$C$39,2,0)</f>
        <v>2.HC</v>
      </c>
      <c r="E730" s="159" t="str">
        <f>VLOOKUP(C730,DMSP!$A$1:$C$39,3,0)</f>
        <v>HC KING-ROOT</v>
      </c>
      <c r="F730" s="160">
        <f t="shared" si="76"/>
        <v>0</v>
      </c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62">
        <f t="shared" si="79"/>
        <v>0</v>
      </c>
      <c r="T730" s="167"/>
    </row>
    <row r="731" customHeight="1" spans="2:20">
      <c r="B731" s="166"/>
      <c r="C731" s="164">
        <f t="shared" si="78"/>
        <v>4</v>
      </c>
      <c r="D731" s="158" t="str">
        <f>VLOOKUP(C731,DMSP!$A$1:$C$39,2,0)</f>
        <v>2.HC</v>
      </c>
      <c r="E731" s="159" t="str">
        <f>VLOOKUP(C731,DMSP!$A$1:$C$39,3,0)</f>
        <v>HAPPY FARM</v>
      </c>
      <c r="F731" s="160">
        <f t="shared" si="76"/>
        <v>0</v>
      </c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62">
        <f t="shared" si="79"/>
        <v>0</v>
      </c>
      <c r="T731" s="167"/>
    </row>
    <row r="732" customHeight="1" spans="2:20">
      <c r="B732" s="166"/>
      <c r="C732" s="164">
        <f t="shared" si="78"/>
        <v>5</v>
      </c>
      <c r="D732" s="158" t="str">
        <f>VLOOKUP(C732,DMSP!$A$1:$C$39,2,0)</f>
        <v>2.HC</v>
      </c>
      <c r="E732" s="159" t="str">
        <f>VLOOKUP(C732,DMSP!$A$1:$C$39,3,0)</f>
        <v>WOW</v>
      </c>
      <c r="F732" s="160">
        <f t="shared" si="76"/>
        <v>0</v>
      </c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62">
        <f t="shared" si="79"/>
        <v>0</v>
      </c>
      <c r="T732" s="167"/>
    </row>
    <row r="733" customHeight="1" spans="2:20">
      <c r="B733" s="166"/>
      <c r="C733" s="164">
        <f t="shared" si="78"/>
        <v>6</v>
      </c>
      <c r="D733" s="158" t="str">
        <f>VLOOKUP(C733,DMSP!$A$1:$C$39,2,0)</f>
        <v>3.SPRAY </v>
      </c>
      <c r="E733" s="159" t="str">
        <f>VLOOKUP(C733,DMSP!$A$1:$C$39,3,0)</f>
        <v>KELPIT</v>
      </c>
      <c r="F733" s="160">
        <f t="shared" si="76"/>
        <v>8</v>
      </c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>
        <v>8</v>
      </c>
      <c r="S733" s="162">
        <f t="shared" si="79"/>
        <v>8</v>
      </c>
      <c r="T733" s="167"/>
    </row>
    <row r="734" customHeight="1" spans="2:20">
      <c r="B734" s="166"/>
      <c r="C734" s="164">
        <f t="shared" si="78"/>
        <v>7</v>
      </c>
      <c r="D734" s="158" t="str">
        <f>VLOOKUP(C734,DMSP!$A$1:$C$39,2,0)</f>
        <v>3.SPRAY </v>
      </c>
      <c r="E734" s="159" t="str">
        <f>VLOOKUP(C734,DMSP!$A$1:$C$39,3,0)</f>
        <v>SI-K</v>
      </c>
      <c r="F734" s="160">
        <f t="shared" si="76"/>
        <v>19</v>
      </c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>
        <v>19</v>
      </c>
      <c r="S734" s="162">
        <f t="shared" si="79"/>
        <v>19</v>
      </c>
      <c r="T734" s="167"/>
    </row>
    <row r="735" customHeight="1" spans="2:20">
      <c r="B735" s="166"/>
      <c r="C735" s="164">
        <f t="shared" si="78"/>
        <v>8</v>
      </c>
      <c r="D735" s="158" t="str">
        <f>VLOOKUP(C735,DMSP!$A$1:$C$39,2,0)</f>
        <v>3.SPRAY </v>
      </c>
      <c r="E735" s="159" t="str">
        <f>VLOOKUP(C735,DMSP!$A$1:$C$39,3,0)</f>
        <v>SPRAY PHOS 620</v>
      </c>
      <c r="F735" s="160">
        <f t="shared" si="76"/>
        <v>0</v>
      </c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62">
        <f t="shared" si="79"/>
        <v>0</v>
      </c>
      <c r="T735" s="167"/>
    </row>
    <row r="736" customHeight="1" spans="2:20">
      <c r="B736" s="166"/>
      <c r="C736" s="164">
        <f t="shared" si="78"/>
        <v>9</v>
      </c>
      <c r="D736" s="158" t="str">
        <f>VLOOKUP(C736,DMSP!$A$1:$C$39,2,0)</f>
        <v>4.DƯỠNG RỄ</v>
      </c>
      <c r="E736" s="159" t="str">
        <f>VLOOKUP(C736,DMSP!$A$1:$C$39,3,0)</f>
        <v>CHITOSAN</v>
      </c>
      <c r="F736" s="160">
        <f t="shared" si="76"/>
        <v>0</v>
      </c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62">
        <f t="shared" si="79"/>
        <v>0</v>
      </c>
      <c r="T736" s="167"/>
    </row>
    <row r="737" customHeight="1" spans="2:20">
      <c r="B737" s="166"/>
      <c r="C737" s="164">
        <f t="shared" si="78"/>
        <v>10</v>
      </c>
      <c r="D737" s="158" t="str">
        <f>VLOOKUP(C737,DMSP!$A$1:$C$39,2,0)</f>
        <v>4.DƯỠNG RỄ</v>
      </c>
      <c r="E737" s="159" t="str">
        <f>VLOOKUP(C737,DMSP!$A$1:$C$39,3,0)</f>
        <v>ĐẠM CÁ</v>
      </c>
      <c r="F737" s="160">
        <f t="shared" si="76"/>
        <v>0</v>
      </c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62">
        <f t="shared" si="79"/>
        <v>0</v>
      </c>
      <c r="T737" s="167"/>
    </row>
    <row r="738" customHeight="1" spans="2:20">
      <c r="B738" s="166"/>
      <c r="C738" s="164">
        <f t="shared" si="78"/>
        <v>11</v>
      </c>
      <c r="D738" s="158" t="str">
        <f>VLOOKUP(C738,DMSP!$A$1:$C$39,2,0)</f>
        <v>4.DƯỠNG RỄ</v>
      </c>
      <c r="E738" s="159" t="str">
        <f>VLOOKUP(C738,DMSP!$A$1:$C$39,3,0)</f>
        <v>ĐẠM TÔM</v>
      </c>
      <c r="F738" s="160">
        <f t="shared" si="76"/>
        <v>0</v>
      </c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62">
        <f t="shared" si="79"/>
        <v>0</v>
      </c>
      <c r="T738" s="167"/>
    </row>
    <row r="739" customHeight="1" spans="2:20">
      <c r="B739" s="166"/>
      <c r="C739" s="164">
        <f t="shared" si="78"/>
        <v>12</v>
      </c>
      <c r="D739" s="158" t="str">
        <f>VLOOKUP(C739,DMSP!$A$1:$C$39,2,0)</f>
        <v>4.DƯỠNG RỄ</v>
      </c>
      <c r="E739" s="159" t="str">
        <f>VLOOKUP(C739,DMSP!$A$1:$C$39,3,0)</f>
        <v>SUPERMIC</v>
      </c>
      <c r="F739" s="160">
        <f t="shared" si="76"/>
        <v>0</v>
      </c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62">
        <f t="shared" si="79"/>
        <v>0</v>
      </c>
      <c r="T739" s="167"/>
    </row>
    <row r="740" customHeight="1" spans="2:20">
      <c r="B740" s="166"/>
      <c r="C740" s="164">
        <f t="shared" si="78"/>
        <v>13</v>
      </c>
      <c r="D740" s="158" t="str">
        <f>VLOOKUP(C740,DMSP!$A$1:$C$39,2,0)</f>
        <v>5.TRUYỀN THỐNG</v>
      </c>
      <c r="E740" s="159" t="str">
        <f>VLOOKUP(C740,DMSP!$A$1:$C$39,3,0)</f>
        <v>CABO</v>
      </c>
      <c r="F740" s="160">
        <f t="shared" si="76"/>
        <v>0</v>
      </c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62">
        <f t="shared" si="79"/>
        <v>0</v>
      </c>
      <c r="T740" s="167"/>
    </row>
    <row r="741" customHeight="1" spans="2:20">
      <c r="B741" s="166"/>
      <c r="C741" s="164">
        <f t="shared" si="78"/>
        <v>14</v>
      </c>
      <c r="D741" s="158" t="str">
        <f>VLOOKUP(C741,DMSP!$A$1:$C$39,2,0)</f>
        <v>5.TRUYỀN THỐNG</v>
      </c>
      <c r="E741" s="159" t="str">
        <f>VLOOKUP(C741,DMSP!$A$1:$C$39,3,0)</f>
        <v>F94</v>
      </c>
      <c r="F741" s="160">
        <f t="shared" si="76"/>
        <v>0</v>
      </c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62">
        <f t="shared" si="79"/>
        <v>0</v>
      </c>
      <c r="T741" s="167"/>
    </row>
    <row r="742" customHeight="1" spans="2:20">
      <c r="B742" s="166"/>
      <c r="C742" s="164">
        <f t="shared" si="78"/>
        <v>15</v>
      </c>
      <c r="D742" s="158" t="str">
        <f>VLOOKUP(C742,DMSP!$A$1:$C$39,2,0)</f>
        <v>5.TRUYỀN THỐNG</v>
      </c>
      <c r="E742" s="159" t="str">
        <f>VLOOKUP(C742,DMSP!$A$1:$C$39,3,0)</f>
        <v>F95</v>
      </c>
      <c r="F742" s="160">
        <f t="shared" si="76"/>
        <v>0</v>
      </c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62">
        <f t="shared" si="79"/>
        <v>0</v>
      </c>
      <c r="T742" s="167"/>
    </row>
    <row r="743" customHeight="1" spans="2:20">
      <c r="B743" s="166"/>
      <c r="C743" s="164">
        <f t="shared" si="78"/>
        <v>16</v>
      </c>
      <c r="D743" s="158" t="str">
        <f>VLOOKUP(C743,DMSP!$A$1:$C$39,2,0)</f>
        <v>5.TRUYỀN THỐNG</v>
      </c>
      <c r="E743" s="159" t="str">
        <f>VLOOKUP(C743,DMSP!$A$1:$C$39,3,0)</f>
        <v>THIOURE</v>
      </c>
      <c r="F743" s="160">
        <f t="shared" si="76"/>
        <v>0</v>
      </c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62">
        <f t="shared" si="79"/>
        <v>0</v>
      </c>
      <c r="T743" s="167"/>
    </row>
    <row r="744" customHeight="1" spans="2:20">
      <c r="B744" s="166"/>
      <c r="C744" s="164">
        <f t="shared" si="78"/>
        <v>17</v>
      </c>
      <c r="D744" s="158" t="str">
        <f>VLOOKUP(C744,DMSP!$A$1:$C$39,2,0)</f>
        <v>5.TRUYỀN THỐNG</v>
      </c>
      <c r="E744" s="159" t="str">
        <f>VLOOKUP(C744,DMSP!$A$1:$C$39,3,0)</f>
        <v>TOBA JUM</v>
      </c>
      <c r="F744" s="160">
        <f t="shared" si="76"/>
        <v>0</v>
      </c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62">
        <f t="shared" si="79"/>
        <v>0</v>
      </c>
      <c r="T744" s="167"/>
    </row>
    <row r="745" customHeight="1" spans="2:20">
      <c r="B745" s="166"/>
      <c r="C745" s="164">
        <f t="shared" si="78"/>
        <v>18</v>
      </c>
      <c r="D745" s="158" t="str">
        <f>VLOOKUP(C745,DMSP!$A$1:$C$39,2,0)</f>
        <v>5.TRUYỀN THỐNG</v>
      </c>
      <c r="E745" s="159" t="str">
        <f>VLOOKUP(C745,DMSP!$A$1:$C$39,3,0)</f>
        <v>TOBA NET</v>
      </c>
      <c r="F745" s="160">
        <f t="shared" si="76"/>
        <v>0</v>
      </c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62">
        <f t="shared" si="79"/>
        <v>0</v>
      </c>
      <c r="T745" s="167"/>
    </row>
    <row r="746" customHeight="1" spans="2:20">
      <c r="B746" s="166"/>
      <c r="C746" s="164">
        <f t="shared" si="78"/>
        <v>19</v>
      </c>
      <c r="D746" s="158" t="str">
        <f>VLOOKUP(C746,DMSP!$A$1:$C$39,2,0)</f>
        <v>6.BVTV</v>
      </c>
      <c r="E746" s="159" t="str">
        <f>VLOOKUP(C746,DMSP!$A$1:$C$39,3,0)</f>
        <v>ABAFAX 1.8</v>
      </c>
      <c r="F746" s="160">
        <f t="shared" si="76"/>
        <v>0</v>
      </c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62">
        <f t="shared" si="79"/>
        <v>0</v>
      </c>
      <c r="T746" s="167"/>
    </row>
    <row r="747" customHeight="1" spans="2:20">
      <c r="B747" s="166"/>
      <c r="C747" s="164">
        <f t="shared" si="78"/>
        <v>20</v>
      </c>
      <c r="D747" s="158" t="str">
        <f>VLOOKUP(C747,DMSP!$A$1:$C$39,2,0)</f>
        <v>6.BVTV</v>
      </c>
      <c r="E747" s="159" t="str">
        <f>VLOOKUP(C747,DMSP!$A$1:$C$39,3,0)</f>
        <v>ABAFAX 3.6</v>
      </c>
      <c r="F747" s="160">
        <f t="shared" si="76"/>
        <v>0</v>
      </c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62">
        <f t="shared" si="79"/>
        <v>0</v>
      </c>
      <c r="T747" s="167"/>
    </row>
    <row r="748" customHeight="1" spans="2:20">
      <c r="B748" s="166"/>
      <c r="C748" s="164">
        <f t="shared" si="78"/>
        <v>21</v>
      </c>
      <c r="D748" s="158" t="str">
        <f>VLOOKUP(C748,DMSP!$A$1:$C$39,2,0)</f>
        <v>6.BVTV</v>
      </c>
      <c r="E748" s="159" t="str">
        <f>VLOOKUP(C748,DMSP!$A$1:$C$39,3,0)</f>
        <v>AZET</v>
      </c>
      <c r="F748" s="160">
        <f t="shared" si="76"/>
        <v>0</v>
      </c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62">
        <f t="shared" si="79"/>
        <v>0</v>
      </c>
      <c r="T748" s="167"/>
    </row>
    <row r="749" customHeight="1" spans="2:20">
      <c r="B749" s="166"/>
      <c r="C749" s="164">
        <f t="shared" si="78"/>
        <v>22</v>
      </c>
      <c r="D749" s="158" t="str">
        <f>VLOOKUP(C749,DMSP!$A$1:$C$39,2,0)</f>
        <v>6.BVTV</v>
      </c>
      <c r="E749" s="159" t="str">
        <f>VLOOKUP(C749,DMSP!$A$1:$C$39,3,0)</f>
        <v>BACBA</v>
      </c>
      <c r="F749" s="160">
        <f t="shared" si="76"/>
        <v>0</v>
      </c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62">
        <f t="shared" si="79"/>
        <v>0</v>
      </c>
      <c r="T749" s="167"/>
    </row>
    <row r="750" customHeight="1" spans="2:20">
      <c r="B750" s="166"/>
      <c r="C750" s="164">
        <f t="shared" si="78"/>
        <v>23</v>
      </c>
      <c r="D750" s="158" t="str">
        <f>VLOOKUP(C750,DMSP!$A$1:$C$39,2,0)</f>
        <v>6.BVTV</v>
      </c>
      <c r="E750" s="159" t="str">
        <f>VLOOKUP(C750,DMSP!$A$1:$C$39,3,0)</f>
        <v>BIOROSAMIL</v>
      </c>
      <c r="F750" s="160">
        <f t="shared" si="76"/>
        <v>0</v>
      </c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62">
        <f t="shared" si="79"/>
        <v>0</v>
      </c>
      <c r="T750" s="167"/>
    </row>
    <row r="751" customHeight="1" spans="2:20">
      <c r="B751" s="166"/>
      <c r="C751" s="164">
        <f t="shared" si="78"/>
        <v>24</v>
      </c>
      <c r="D751" s="158" t="str">
        <f>VLOOKUP(C751,DMSP!$A$1:$C$39,2,0)</f>
        <v>6.BVTV</v>
      </c>
      <c r="E751" s="159" t="str">
        <f>VLOOKUP(C751,DMSP!$A$1:$C$39,3,0)</f>
        <v>COC 86</v>
      </c>
      <c r="F751" s="160">
        <f t="shared" si="76"/>
        <v>0</v>
      </c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62">
        <f t="shared" si="79"/>
        <v>0</v>
      </c>
      <c r="T751" s="167"/>
    </row>
    <row r="752" customHeight="1" spans="2:20">
      <c r="B752" s="166"/>
      <c r="C752" s="164">
        <f t="shared" si="78"/>
        <v>25</v>
      </c>
      <c r="D752" s="158" t="str">
        <f>VLOOKUP(C752,DMSP!$A$1:$C$39,2,0)</f>
        <v>6.BVTV</v>
      </c>
      <c r="E752" s="159" t="str">
        <f>VLOOKUP(C752,DMSP!$A$1:$C$39,3,0)</f>
        <v>HEXA 5</v>
      </c>
      <c r="F752" s="160">
        <f t="shared" si="76"/>
        <v>0</v>
      </c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62">
        <f t="shared" si="79"/>
        <v>0</v>
      </c>
      <c r="T752" s="167"/>
    </row>
    <row r="753" customHeight="1" spans="2:20">
      <c r="B753" s="166"/>
      <c r="C753" s="164">
        <f t="shared" si="78"/>
        <v>26</v>
      </c>
      <c r="D753" s="158" t="str">
        <f>VLOOKUP(C753,DMSP!$A$1:$C$39,2,0)</f>
        <v>6.BVTV</v>
      </c>
      <c r="E753" s="159" t="str">
        <f>VLOOKUP(C753,DMSP!$A$1:$C$39,3,0)</f>
        <v>TAMALA</v>
      </c>
      <c r="F753" s="160">
        <f t="shared" si="76"/>
        <v>0</v>
      </c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62">
        <f t="shared" si="79"/>
        <v>0</v>
      </c>
      <c r="T753" s="167"/>
    </row>
    <row r="754" customHeight="1" spans="2:20">
      <c r="B754" s="166"/>
      <c r="C754" s="164">
        <f t="shared" si="78"/>
        <v>27</v>
      </c>
      <c r="D754" s="158" t="str">
        <f>VLOOKUP(C754,DMSP!$A$1:$C$39,2,0)</f>
        <v>7.KHÁC</v>
      </c>
      <c r="E754" s="159" t="str">
        <f>VLOOKUP(C754,DMSP!$A$1:$C$39,3,0)</f>
        <v>KẼM VÀNG</v>
      </c>
      <c r="F754" s="160">
        <f t="shared" si="76"/>
        <v>0</v>
      </c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62">
        <f t="shared" si="79"/>
        <v>0</v>
      </c>
      <c r="T754" s="167"/>
    </row>
    <row r="755" customHeight="1" spans="2:20">
      <c r="B755" s="166"/>
      <c r="C755" s="164">
        <f t="shared" si="78"/>
        <v>28</v>
      </c>
      <c r="D755" s="158" t="str">
        <f>VLOOKUP(C755,DMSP!$A$1:$C$39,2,0)</f>
        <v>7.KHÁC</v>
      </c>
      <c r="E755" s="159" t="str">
        <f>VLOOKUP(C755,DMSP!$A$1:$C$39,3,0)</f>
        <v>KHÁC1</v>
      </c>
      <c r="F755" s="160">
        <f t="shared" si="76"/>
        <v>30</v>
      </c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>
        <v>30</v>
      </c>
      <c r="S755" s="162">
        <f t="shared" si="79"/>
        <v>30</v>
      </c>
      <c r="T755" s="167"/>
    </row>
    <row r="756" customHeight="1" spans="2:20">
      <c r="B756" s="166"/>
      <c r="C756" s="164">
        <f t="shared" si="78"/>
        <v>29</v>
      </c>
      <c r="D756" s="158" t="str">
        <f>VLOOKUP(C756,DMSP!$A$1:$C$39,2,0)</f>
        <v>7.KHÁC</v>
      </c>
      <c r="E756" s="169" t="s">
        <v>13</v>
      </c>
      <c r="F756" s="160">
        <f t="shared" si="76"/>
        <v>0</v>
      </c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62">
        <f t="shared" si="79"/>
        <v>0</v>
      </c>
      <c r="T756" s="167"/>
    </row>
    <row r="757" customHeight="1" spans="2:20">
      <c r="B757" s="166"/>
      <c r="C757" s="164">
        <f t="shared" si="78"/>
        <v>30</v>
      </c>
      <c r="D757" s="158" t="str">
        <f>VLOOKUP(C757,DMSP!$A$1:$C$39,2,0)</f>
        <v>7.KHÁC</v>
      </c>
      <c r="E757" s="159" t="str">
        <f>VLOOKUP(C757,DMSP!$A$1:$C$39,3,0)</f>
        <v>RỬA RONG RÊU</v>
      </c>
      <c r="F757" s="160">
        <f t="shared" si="76"/>
        <v>0</v>
      </c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62">
        <f t="shared" si="79"/>
        <v>0</v>
      </c>
      <c r="T757" s="167"/>
    </row>
    <row r="758" customHeight="1" spans="2:20">
      <c r="B758" s="166"/>
      <c r="C758" s="164">
        <f t="shared" si="78"/>
        <v>31</v>
      </c>
      <c r="D758" s="158" t="str">
        <f>VLOOKUP(C758,DMSP!$A$1:$C$39,2,0)</f>
        <v>7.KHÁC</v>
      </c>
      <c r="E758" s="159" t="str">
        <f>VLOOKUP(C758,DMSP!$A$1:$C$39,3,0)</f>
        <v>TB BO</v>
      </c>
      <c r="F758" s="160">
        <f t="shared" si="76"/>
        <v>0</v>
      </c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62">
        <f t="shared" si="79"/>
        <v>0</v>
      </c>
      <c r="T758" s="167"/>
    </row>
    <row r="759" customHeight="1" spans="2:20">
      <c r="B759" s="166"/>
      <c r="C759" s="164">
        <f t="shared" si="78"/>
        <v>32</v>
      </c>
      <c r="D759" s="158" t="str">
        <f>VLOOKUP(C759,DMSP!$A$1:$C$39,2,0)</f>
        <v>7.KHÁC</v>
      </c>
      <c r="E759" s="159" t="str">
        <f>VLOOKUP(C759,DMSP!$A$1:$C$39,3,0)</f>
        <v>TB FRUIT</v>
      </c>
      <c r="F759" s="160">
        <f t="shared" si="76"/>
        <v>0</v>
      </c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62">
        <f t="shared" si="79"/>
        <v>0</v>
      </c>
      <c r="T759" s="167"/>
    </row>
    <row r="760" customHeight="1" spans="2:20">
      <c r="B760" s="166"/>
      <c r="C760" s="164">
        <f t="shared" si="78"/>
        <v>33</v>
      </c>
      <c r="D760" s="158" t="str">
        <f>VLOOKUP(C760,DMSP!$A$1:$C$39,2,0)</f>
        <v>7.KHÁC</v>
      </c>
      <c r="E760" s="159" t="str">
        <f>VLOOKUP(C760,DMSP!$A$1:$C$39,3,0)</f>
        <v>TB PHOS</v>
      </c>
      <c r="F760" s="160">
        <f t="shared" si="76"/>
        <v>0</v>
      </c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62">
        <f t="shared" si="79"/>
        <v>0</v>
      </c>
      <c r="T760" s="167"/>
    </row>
    <row r="761" customHeight="1" spans="2:20">
      <c r="B761" s="166"/>
      <c r="C761" s="164">
        <f t="shared" si="78"/>
        <v>34</v>
      </c>
      <c r="D761" s="158" t="str">
        <f>VLOOKUP(C761,DMSP!$A$1:$C$39,2,0)</f>
        <v>7.KHÁC</v>
      </c>
      <c r="E761" s="159" t="str">
        <f>VLOOKUP(C761,DMSP!$A$1:$C$39,3,0)</f>
        <v>TOBA BÁM DÍNH</v>
      </c>
      <c r="F761" s="160">
        <f t="shared" si="76"/>
        <v>0</v>
      </c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62">
        <f t="shared" si="79"/>
        <v>0</v>
      </c>
      <c r="T761" s="167"/>
    </row>
    <row r="762" customHeight="1" spans="2:20">
      <c r="B762" s="166"/>
      <c r="C762" s="164">
        <f t="shared" si="78"/>
        <v>35</v>
      </c>
      <c r="D762" s="158" t="str">
        <f>VLOOKUP(C762,DMSP!$A$1:$C$39,2,0)</f>
        <v>7.KHÁC</v>
      </c>
      <c r="E762" s="159" t="str">
        <f>VLOOKUP(C762,DMSP!$A$1:$C$39,3,0)</f>
        <v>VỌT HOA NHÃN</v>
      </c>
      <c r="F762" s="160">
        <f t="shared" si="76"/>
        <v>0</v>
      </c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62">
        <f t="shared" si="79"/>
        <v>0</v>
      </c>
      <c r="T762" s="167"/>
    </row>
    <row r="763" customHeight="1" spans="2:20">
      <c r="B763" s="166"/>
      <c r="C763" s="164">
        <f t="shared" si="78"/>
        <v>36</v>
      </c>
      <c r="D763" s="158" t="str">
        <f>VLOOKUP(C763,DMSP!$A$1:$C$39,2,0)</f>
        <v>7.KHÁC</v>
      </c>
      <c r="E763" s="159" t="str">
        <f>VLOOKUP(C763,DMSP!$A$1:$C$39,3,0)</f>
        <v>VỌT HOA XOÀI</v>
      </c>
      <c r="F763" s="160">
        <f t="shared" si="76"/>
        <v>0</v>
      </c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62">
        <f t="shared" si="79"/>
        <v>0</v>
      </c>
      <c r="T763" s="167"/>
    </row>
    <row r="764" customHeight="1" spans="2:20">
      <c r="B764" s="166"/>
      <c r="C764" s="164">
        <f t="shared" si="78"/>
        <v>37</v>
      </c>
      <c r="D764" s="158" t="str">
        <f>VLOOKUP(C764,DMSP!$A$1:$C$39,2,0)</f>
        <v>7.KHÁC</v>
      </c>
      <c r="E764" s="159" t="str">
        <f>VLOOKUP(C764,DMSP!$A$1:$C$39,3,0)</f>
        <v>VỌT HOA XOÀI</v>
      </c>
      <c r="F764" s="160">
        <f t="shared" si="76"/>
        <v>0</v>
      </c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62">
        <f t="shared" si="79"/>
        <v>0</v>
      </c>
      <c r="T764" s="167"/>
    </row>
    <row r="765" customHeight="1" spans="2:20">
      <c r="B765" s="92"/>
      <c r="C765" s="170" t="str">
        <f t="shared" ref="C765" si="80">B728</f>
        <v>KHUYA</v>
      </c>
      <c r="D765" s="171"/>
      <c r="E765" s="172" t="str">
        <f>"TOTAL "&amp;B728</f>
        <v>TOTAL KHUYA</v>
      </c>
      <c r="F765" s="173">
        <f t="shared" si="76"/>
        <v>57</v>
      </c>
      <c r="G765" s="174">
        <f>SUM(G728:G764)</f>
        <v>0</v>
      </c>
      <c r="H765" s="174">
        <f t="shared" ref="H765:R765" si="81">SUM(H728:H764)</f>
        <v>0</v>
      </c>
      <c r="I765" s="174">
        <f t="shared" si="81"/>
        <v>0</v>
      </c>
      <c r="J765" s="174">
        <f t="shared" si="81"/>
        <v>0</v>
      </c>
      <c r="K765" s="174">
        <f t="shared" si="81"/>
        <v>0</v>
      </c>
      <c r="L765" s="174">
        <f t="shared" si="81"/>
        <v>0</v>
      </c>
      <c r="M765" s="174">
        <f t="shared" si="81"/>
        <v>0</v>
      </c>
      <c r="N765" s="174">
        <f t="shared" si="81"/>
        <v>0</v>
      </c>
      <c r="O765" s="174">
        <f t="shared" si="81"/>
        <v>0</v>
      </c>
      <c r="P765" s="174">
        <f t="shared" si="81"/>
        <v>0</v>
      </c>
      <c r="Q765" s="174">
        <f t="shared" si="81"/>
        <v>0</v>
      </c>
      <c r="R765" s="174">
        <f t="shared" si="81"/>
        <v>57</v>
      </c>
      <c r="S765" s="174">
        <f t="shared" si="79"/>
        <v>57</v>
      </c>
      <c r="T765" s="175"/>
    </row>
    <row r="766" customHeight="1" spans="2:20">
      <c r="B766" s="156"/>
      <c r="C766" s="157">
        <v>1</v>
      </c>
      <c r="D766" s="158" t="str">
        <f>VLOOKUP(C766,DMSP!$A$1:$C$39,2,0)</f>
        <v>1.TOBA XANH</v>
      </c>
      <c r="E766" s="159" t="str">
        <f>VLOOKUP(C766,DMSP!$A$1:$C$39,3,0)</f>
        <v>TOBA XANH</v>
      </c>
      <c r="F766" s="160">
        <f t="shared" si="76"/>
        <v>0</v>
      </c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62">
        <f t="shared" si="79"/>
        <v>0</v>
      </c>
      <c r="T766" s="163">
        <f>S803</f>
        <v>0</v>
      </c>
    </row>
    <row r="767" customHeight="1" spans="2:20">
      <c r="B767" s="166"/>
      <c r="C767" s="164">
        <f t="shared" si="78"/>
        <v>2</v>
      </c>
      <c r="D767" s="158" t="str">
        <f>VLOOKUP(C767,DMSP!$A$1:$C$39,2,0)</f>
        <v>2.HC</v>
      </c>
      <c r="E767" s="159" t="str">
        <f>VLOOKUP(C767,DMSP!$A$1:$C$39,3,0)</f>
        <v>HC BOOSTER</v>
      </c>
      <c r="F767" s="160">
        <f t="shared" si="76"/>
        <v>0</v>
      </c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62">
        <f t="shared" ref="S767:S804" si="82">SUM(G767:R767)</f>
        <v>0</v>
      </c>
      <c r="T767" s="167"/>
    </row>
    <row r="768" customHeight="1" spans="2:20">
      <c r="B768" s="166"/>
      <c r="C768" s="164">
        <f t="shared" si="78"/>
        <v>3</v>
      </c>
      <c r="D768" s="158" t="str">
        <f>VLOOKUP(C768,DMSP!$A$1:$C$39,2,0)</f>
        <v>2.HC</v>
      </c>
      <c r="E768" s="159" t="str">
        <f>VLOOKUP(C768,DMSP!$A$1:$C$39,3,0)</f>
        <v>HC KING-ROOT</v>
      </c>
      <c r="F768" s="160">
        <f t="shared" si="76"/>
        <v>0</v>
      </c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62">
        <f t="shared" si="82"/>
        <v>0</v>
      </c>
      <c r="T768" s="167"/>
    </row>
    <row r="769" customHeight="1" spans="2:20">
      <c r="B769" s="166"/>
      <c r="C769" s="164">
        <f t="shared" si="78"/>
        <v>4</v>
      </c>
      <c r="D769" s="158" t="str">
        <f>VLOOKUP(C769,DMSP!$A$1:$C$39,2,0)</f>
        <v>2.HC</v>
      </c>
      <c r="E769" s="159" t="str">
        <f>VLOOKUP(C769,DMSP!$A$1:$C$39,3,0)</f>
        <v>HAPPY FARM</v>
      </c>
      <c r="F769" s="160">
        <f t="shared" si="76"/>
        <v>0</v>
      </c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62">
        <f t="shared" si="82"/>
        <v>0</v>
      </c>
      <c r="T769" s="167"/>
    </row>
    <row r="770" customHeight="1" spans="2:20">
      <c r="B770" s="166"/>
      <c r="C770" s="164">
        <f t="shared" si="78"/>
        <v>5</v>
      </c>
      <c r="D770" s="158" t="str">
        <f>VLOOKUP(C770,DMSP!$A$1:$C$39,2,0)</f>
        <v>2.HC</v>
      </c>
      <c r="E770" s="159" t="str">
        <f>VLOOKUP(C770,DMSP!$A$1:$C$39,3,0)</f>
        <v>WOW</v>
      </c>
      <c r="F770" s="160">
        <f t="shared" si="76"/>
        <v>0</v>
      </c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62">
        <f t="shared" si="82"/>
        <v>0</v>
      </c>
      <c r="T770" s="167"/>
    </row>
    <row r="771" customHeight="1" spans="2:20">
      <c r="B771" s="166"/>
      <c r="C771" s="164">
        <f t="shared" si="78"/>
        <v>6</v>
      </c>
      <c r="D771" s="158" t="str">
        <f>VLOOKUP(C771,DMSP!$A$1:$C$39,2,0)</f>
        <v>3.SPRAY </v>
      </c>
      <c r="E771" s="159" t="str">
        <f>VLOOKUP(C771,DMSP!$A$1:$C$39,3,0)</f>
        <v>KELPIT</v>
      </c>
      <c r="F771" s="160">
        <f t="shared" si="76"/>
        <v>0</v>
      </c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62">
        <f t="shared" si="82"/>
        <v>0</v>
      </c>
      <c r="T771" s="167"/>
    </row>
    <row r="772" customHeight="1" spans="2:20">
      <c r="B772" s="166"/>
      <c r="C772" s="164">
        <f t="shared" si="78"/>
        <v>7</v>
      </c>
      <c r="D772" s="158" t="str">
        <f>VLOOKUP(C772,DMSP!$A$1:$C$39,2,0)</f>
        <v>3.SPRAY </v>
      </c>
      <c r="E772" s="159" t="str">
        <f>VLOOKUP(C772,DMSP!$A$1:$C$39,3,0)</f>
        <v>SI-K</v>
      </c>
      <c r="F772" s="160">
        <f t="shared" si="76"/>
        <v>0</v>
      </c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62">
        <f t="shared" si="82"/>
        <v>0</v>
      </c>
      <c r="T772" s="167"/>
    </row>
    <row r="773" customHeight="1" spans="2:20">
      <c r="B773" s="166"/>
      <c r="C773" s="164">
        <f t="shared" si="78"/>
        <v>8</v>
      </c>
      <c r="D773" s="158" t="str">
        <f>VLOOKUP(C773,DMSP!$A$1:$C$39,2,0)</f>
        <v>3.SPRAY </v>
      </c>
      <c r="E773" s="159" t="str">
        <f>VLOOKUP(C773,DMSP!$A$1:$C$39,3,0)</f>
        <v>SPRAY PHOS 620</v>
      </c>
      <c r="F773" s="160">
        <f t="shared" si="76"/>
        <v>0</v>
      </c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62">
        <f t="shared" si="82"/>
        <v>0</v>
      </c>
      <c r="T773" s="167"/>
    </row>
    <row r="774" customHeight="1" spans="2:20">
      <c r="B774" s="166"/>
      <c r="C774" s="164">
        <f t="shared" si="78"/>
        <v>9</v>
      </c>
      <c r="D774" s="158" t="str">
        <f>VLOOKUP(C774,DMSP!$A$1:$C$39,2,0)</f>
        <v>4.DƯỠNG RỄ</v>
      </c>
      <c r="E774" s="159" t="str">
        <f>VLOOKUP(C774,DMSP!$A$1:$C$39,3,0)</f>
        <v>CHITOSAN</v>
      </c>
      <c r="F774" s="160">
        <f t="shared" si="76"/>
        <v>0</v>
      </c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62">
        <f t="shared" si="82"/>
        <v>0</v>
      </c>
      <c r="T774" s="167"/>
    </row>
    <row r="775" customHeight="1" spans="2:20">
      <c r="B775" s="166"/>
      <c r="C775" s="164">
        <f t="shared" si="78"/>
        <v>10</v>
      </c>
      <c r="D775" s="158" t="str">
        <f>VLOOKUP(C775,DMSP!$A$1:$C$39,2,0)</f>
        <v>4.DƯỠNG RỄ</v>
      </c>
      <c r="E775" s="159" t="str">
        <f>VLOOKUP(C775,DMSP!$A$1:$C$39,3,0)</f>
        <v>ĐẠM CÁ</v>
      </c>
      <c r="F775" s="160">
        <f t="shared" ref="F775:F838" si="83">S775</f>
        <v>0</v>
      </c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62">
        <f t="shared" si="82"/>
        <v>0</v>
      </c>
      <c r="T775" s="167"/>
    </row>
    <row r="776" customHeight="1" spans="2:20">
      <c r="B776" s="166"/>
      <c r="C776" s="164">
        <f t="shared" si="78"/>
        <v>11</v>
      </c>
      <c r="D776" s="158" t="str">
        <f>VLOOKUP(C776,DMSP!$A$1:$C$39,2,0)</f>
        <v>4.DƯỠNG RỄ</v>
      </c>
      <c r="E776" s="159" t="str">
        <f>VLOOKUP(C776,DMSP!$A$1:$C$39,3,0)</f>
        <v>ĐẠM TÔM</v>
      </c>
      <c r="F776" s="160">
        <f t="shared" si="83"/>
        <v>0</v>
      </c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62">
        <f t="shared" si="82"/>
        <v>0</v>
      </c>
      <c r="T776" s="167"/>
    </row>
    <row r="777" customHeight="1" spans="2:20">
      <c r="B777" s="166"/>
      <c r="C777" s="164">
        <f t="shared" si="78"/>
        <v>12</v>
      </c>
      <c r="D777" s="158" t="str">
        <f>VLOOKUP(C777,DMSP!$A$1:$C$39,2,0)</f>
        <v>4.DƯỠNG RỄ</v>
      </c>
      <c r="E777" s="159" t="str">
        <f>VLOOKUP(C777,DMSP!$A$1:$C$39,3,0)</f>
        <v>SUPERMIC</v>
      </c>
      <c r="F777" s="160">
        <f t="shared" si="83"/>
        <v>0</v>
      </c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62">
        <f t="shared" si="82"/>
        <v>0</v>
      </c>
      <c r="T777" s="167"/>
    </row>
    <row r="778" customHeight="1" spans="2:20">
      <c r="B778" s="166"/>
      <c r="C778" s="164">
        <f t="shared" si="78"/>
        <v>13</v>
      </c>
      <c r="D778" s="158" t="str">
        <f>VLOOKUP(C778,DMSP!$A$1:$C$39,2,0)</f>
        <v>5.TRUYỀN THỐNG</v>
      </c>
      <c r="E778" s="159" t="str">
        <f>VLOOKUP(C778,DMSP!$A$1:$C$39,3,0)</f>
        <v>CABO</v>
      </c>
      <c r="F778" s="160">
        <f t="shared" si="83"/>
        <v>0</v>
      </c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62">
        <f t="shared" si="82"/>
        <v>0</v>
      </c>
      <c r="T778" s="167"/>
    </row>
    <row r="779" customHeight="1" spans="2:20">
      <c r="B779" s="166"/>
      <c r="C779" s="164">
        <f t="shared" si="78"/>
        <v>14</v>
      </c>
      <c r="D779" s="158" t="str">
        <f>VLOOKUP(C779,DMSP!$A$1:$C$39,2,0)</f>
        <v>5.TRUYỀN THỐNG</v>
      </c>
      <c r="E779" s="159" t="str">
        <f>VLOOKUP(C779,DMSP!$A$1:$C$39,3,0)</f>
        <v>F94</v>
      </c>
      <c r="F779" s="160">
        <f t="shared" si="83"/>
        <v>0</v>
      </c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62">
        <f t="shared" si="82"/>
        <v>0</v>
      </c>
      <c r="T779" s="167"/>
    </row>
    <row r="780" customHeight="1" spans="2:20">
      <c r="B780" s="166"/>
      <c r="C780" s="164">
        <f t="shared" si="78"/>
        <v>15</v>
      </c>
      <c r="D780" s="158" t="str">
        <f>VLOOKUP(C780,DMSP!$A$1:$C$39,2,0)</f>
        <v>5.TRUYỀN THỐNG</v>
      </c>
      <c r="E780" s="159" t="str">
        <f>VLOOKUP(C780,DMSP!$A$1:$C$39,3,0)</f>
        <v>F95</v>
      </c>
      <c r="F780" s="160">
        <f t="shared" si="83"/>
        <v>0</v>
      </c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62">
        <f t="shared" si="82"/>
        <v>0</v>
      </c>
      <c r="T780" s="167"/>
    </row>
    <row r="781" customHeight="1" spans="2:20">
      <c r="B781" s="166"/>
      <c r="C781" s="164">
        <f t="shared" si="78"/>
        <v>16</v>
      </c>
      <c r="D781" s="158" t="str">
        <f>VLOOKUP(C781,DMSP!$A$1:$C$39,2,0)</f>
        <v>5.TRUYỀN THỐNG</v>
      </c>
      <c r="E781" s="159" t="str">
        <f>VLOOKUP(C781,DMSP!$A$1:$C$39,3,0)</f>
        <v>THIOURE</v>
      </c>
      <c r="F781" s="160">
        <f t="shared" si="83"/>
        <v>0</v>
      </c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62">
        <f t="shared" si="82"/>
        <v>0</v>
      </c>
      <c r="T781" s="167"/>
    </row>
    <row r="782" customHeight="1" spans="2:20">
      <c r="B782" s="166"/>
      <c r="C782" s="164">
        <f t="shared" si="78"/>
        <v>17</v>
      </c>
      <c r="D782" s="158" t="str">
        <f>VLOOKUP(C782,DMSP!$A$1:$C$39,2,0)</f>
        <v>5.TRUYỀN THỐNG</v>
      </c>
      <c r="E782" s="159" t="str">
        <f>VLOOKUP(C782,DMSP!$A$1:$C$39,3,0)</f>
        <v>TOBA JUM</v>
      </c>
      <c r="F782" s="160">
        <f t="shared" si="83"/>
        <v>0</v>
      </c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62">
        <f t="shared" si="82"/>
        <v>0</v>
      </c>
      <c r="T782" s="167"/>
    </row>
    <row r="783" customHeight="1" spans="2:20">
      <c r="B783" s="166"/>
      <c r="C783" s="164">
        <f t="shared" si="78"/>
        <v>18</v>
      </c>
      <c r="D783" s="158" t="str">
        <f>VLOOKUP(C783,DMSP!$A$1:$C$39,2,0)</f>
        <v>5.TRUYỀN THỐNG</v>
      </c>
      <c r="E783" s="159" t="str">
        <f>VLOOKUP(C783,DMSP!$A$1:$C$39,3,0)</f>
        <v>TOBA NET</v>
      </c>
      <c r="F783" s="160">
        <f t="shared" si="83"/>
        <v>0</v>
      </c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62">
        <f t="shared" si="82"/>
        <v>0</v>
      </c>
      <c r="T783" s="167"/>
    </row>
    <row r="784" customHeight="1" spans="2:20">
      <c r="B784" s="166"/>
      <c r="C784" s="164">
        <f t="shared" si="78"/>
        <v>19</v>
      </c>
      <c r="D784" s="158" t="str">
        <f>VLOOKUP(C784,DMSP!$A$1:$C$39,2,0)</f>
        <v>6.BVTV</v>
      </c>
      <c r="E784" s="159" t="str">
        <f>VLOOKUP(C784,DMSP!$A$1:$C$39,3,0)</f>
        <v>ABAFAX 1.8</v>
      </c>
      <c r="F784" s="160">
        <f t="shared" si="83"/>
        <v>0</v>
      </c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62">
        <f t="shared" si="82"/>
        <v>0</v>
      </c>
      <c r="T784" s="167"/>
    </row>
    <row r="785" customHeight="1" spans="2:20">
      <c r="B785" s="166"/>
      <c r="C785" s="164">
        <f t="shared" si="78"/>
        <v>20</v>
      </c>
      <c r="D785" s="158" t="str">
        <f>VLOOKUP(C785,DMSP!$A$1:$C$39,2,0)</f>
        <v>6.BVTV</v>
      </c>
      <c r="E785" s="159" t="str">
        <f>VLOOKUP(C785,DMSP!$A$1:$C$39,3,0)</f>
        <v>ABAFAX 3.6</v>
      </c>
      <c r="F785" s="160">
        <f t="shared" si="83"/>
        <v>0</v>
      </c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62">
        <f t="shared" si="82"/>
        <v>0</v>
      </c>
      <c r="T785" s="167"/>
    </row>
    <row r="786" customHeight="1" spans="2:20">
      <c r="B786" s="166"/>
      <c r="C786" s="164">
        <f t="shared" si="78"/>
        <v>21</v>
      </c>
      <c r="D786" s="158" t="str">
        <f>VLOOKUP(C786,DMSP!$A$1:$C$39,2,0)</f>
        <v>6.BVTV</v>
      </c>
      <c r="E786" s="159" t="str">
        <f>VLOOKUP(C786,DMSP!$A$1:$C$39,3,0)</f>
        <v>AZET</v>
      </c>
      <c r="F786" s="160">
        <f t="shared" si="83"/>
        <v>0</v>
      </c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62">
        <f t="shared" si="82"/>
        <v>0</v>
      </c>
      <c r="T786" s="167"/>
    </row>
    <row r="787" customHeight="1" spans="2:20">
      <c r="B787" s="166"/>
      <c r="C787" s="164">
        <f t="shared" si="78"/>
        <v>22</v>
      </c>
      <c r="D787" s="158" t="str">
        <f>VLOOKUP(C787,DMSP!$A$1:$C$39,2,0)</f>
        <v>6.BVTV</v>
      </c>
      <c r="E787" s="159" t="str">
        <f>VLOOKUP(C787,DMSP!$A$1:$C$39,3,0)</f>
        <v>BACBA</v>
      </c>
      <c r="F787" s="160">
        <f t="shared" si="83"/>
        <v>0</v>
      </c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62">
        <f t="shared" si="82"/>
        <v>0</v>
      </c>
      <c r="T787" s="167"/>
    </row>
    <row r="788" customHeight="1" spans="2:20">
      <c r="B788" s="166"/>
      <c r="C788" s="164">
        <f t="shared" si="78"/>
        <v>23</v>
      </c>
      <c r="D788" s="158" t="str">
        <f>VLOOKUP(C788,DMSP!$A$1:$C$39,2,0)</f>
        <v>6.BVTV</v>
      </c>
      <c r="E788" s="159" t="str">
        <f>VLOOKUP(C788,DMSP!$A$1:$C$39,3,0)</f>
        <v>BIOROSAMIL</v>
      </c>
      <c r="F788" s="160">
        <f t="shared" si="83"/>
        <v>0</v>
      </c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62">
        <f t="shared" si="82"/>
        <v>0</v>
      </c>
      <c r="T788" s="167"/>
    </row>
    <row r="789" customHeight="1" spans="2:20">
      <c r="B789" s="166"/>
      <c r="C789" s="164">
        <f t="shared" si="78"/>
        <v>24</v>
      </c>
      <c r="D789" s="158" t="str">
        <f>VLOOKUP(C789,DMSP!$A$1:$C$39,2,0)</f>
        <v>6.BVTV</v>
      </c>
      <c r="E789" s="159" t="str">
        <f>VLOOKUP(C789,DMSP!$A$1:$C$39,3,0)</f>
        <v>COC 86</v>
      </c>
      <c r="F789" s="160">
        <f t="shared" si="83"/>
        <v>0</v>
      </c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62">
        <f t="shared" si="82"/>
        <v>0</v>
      </c>
      <c r="T789" s="167"/>
    </row>
    <row r="790" customHeight="1" spans="2:20">
      <c r="B790" s="166"/>
      <c r="C790" s="164">
        <f t="shared" si="78"/>
        <v>25</v>
      </c>
      <c r="D790" s="158" t="str">
        <f>VLOOKUP(C790,DMSP!$A$1:$C$39,2,0)</f>
        <v>6.BVTV</v>
      </c>
      <c r="E790" s="159" t="str">
        <f>VLOOKUP(C790,DMSP!$A$1:$C$39,3,0)</f>
        <v>HEXA 5</v>
      </c>
      <c r="F790" s="160">
        <f t="shared" si="83"/>
        <v>0</v>
      </c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62">
        <f t="shared" si="82"/>
        <v>0</v>
      </c>
      <c r="T790" s="167"/>
    </row>
    <row r="791" customHeight="1" spans="2:20">
      <c r="B791" s="166"/>
      <c r="C791" s="164">
        <f t="shared" si="78"/>
        <v>26</v>
      </c>
      <c r="D791" s="158" t="str">
        <f>VLOOKUP(C791,DMSP!$A$1:$C$39,2,0)</f>
        <v>6.BVTV</v>
      </c>
      <c r="E791" s="159" t="str">
        <f>VLOOKUP(C791,DMSP!$A$1:$C$39,3,0)</f>
        <v>TAMALA</v>
      </c>
      <c r="F791" s="160">
        <f t="shared" si="83"/>
        <v>0</v>
      </c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62">
        <f t="shared" si="82"/>
        <v>0</v>
      </c>
      <c r="T791" s="167"/>
    </row>
    <row r="792" customHeight="1" spans="2:20">
      <c r="B792" s="166"/>
      <c r="C792" s="164">
        <f t="shared" si="78"/>
        <v>27</v>
      </c>
      <c r="D792" s="158" t="str">
        <f>VLOOKUP(C792,DMSP!$A$1:$C$39,2,0)</f>
        <v>7.KHÁC</v>
      </c>
      <c r="E792" s="159" t="str">
        <f>VLOOKUP(C792,DMSP!$A$1:$C$39,3,0)</f>
        <v>KẼM VÀNG</v>
      </c>
      <c r="F792" s="160">
        <f t="shared" si="83"/>
        <v>0</v>
      </c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62">
        <f t="shared" si="82"/>
        <v>0</v>
      </c>
      <c r="T792" s="167"/>
    </row>
    <row r="793" customHeight="1" spans="2:20">
      <c r="B793" s="166"/>
      <c r="C793" s="164">
        <f t="shared" ref="C793:C802" si="84">C792+1</f>
        <v>28</v>
      </c>
      <c r="D793" s="158" t="str">
        <f>VLOOKUP(C793,DMSP!$A$1:$C$39,2,0)</f>
        <v>7.KHÁC</v>
      </c>
      <c r="E793" s="159" t="str">
        <f>VLOOKUP(C793,DMSP!$A$1:$C$39,3,0)</f>
        <v>KHÁC1</v>
      </c>
      <c r="F793" s="160">
        <f t="shared" si="83"/>
        <v>0</v>
      </c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62">
        <f t="shared" si="82"/>
        <v>0</v>
      </c>
      <c r="T793" s="167"/>
    </row>
    <row r="794" customHeight="1" spans="2:20">
      <c r="B794" s="166"/>
      <c r="C794" s="164">
        <f t="shared" si="84"/>
        <v>29</v>
      </c>
      <c r="D794" s="158" t="str">
        <f>VLOOKUP(C794,DMSP!$A$1:$C$39,2,0)</f>
        <v>7.KHÁC</v>
      </c>
      <c r="E794" s="169" t="s">
        <v>13</v>
      </c>
      <c r="F794" s="160">
        <f t="shared" si="83"/>
        <v>0</v>
      </c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62">
        <f t="shared" si="82"/>
        <v>0</v>
      </c>
      <c r="T794" s="167"/>
    </row>
    <row r="795" customHeight="1" spans="2:20">
      <c r="B795" s="166"/>
      <c r="C795" s="164">
        <f t="shared" si="84"/>
        <v>30</v>
      </c>
      <c r="D795" s="158" t="str">
        <f>VLOOKUP(C795,DMSP!$A$1:$C$39,2,0)</f>
        <v>7.KHÁC</v>
      </c>
      <c r="E795" s="159" t="str">
        <f>VLOOKUP(C795,DMSP!$A$1:$C$39,3,0)</f>
        <v>RỬA RONG RÊU</v>
      </c>
      <c r="F795" s="160">
        <f t="shared" si="83"/>
        <v>0</v>
      </c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62">
        <f t="shared" si="82"/>
        <v>0</v>
      </c>
      <c r="T795" s="167"/>
    </row>
    <row r="796" customHeight="1" spans="2:20">
      <c r="B796" s="166"/>
      <c r="C796" s="164">
        <f t="shared" si="84"/>
        <v>31</v>
      </c>
      <c r="D796" s="158" t="str">
        <f>VLOOKUP(C796,DMSP!$A$1:$C$39,2,0)</f>
        <v>7.KHÁC</v>
      </c>
      <c r="E796" s="159" t="str">
        <f>VLOOKUP(C796,DMSP!$A$1:$C$39,3,0)</f>
        <v>TB BO</v>
      </c>
      <c r="F796" s="160">
        <f t="shared" si="83"/>
        <v>0</v>
      </c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62">
        <f t="shared" si="82"/>
        <v>0</v>
      </c>
      <c r="T796" s="167"/>
    </row>
    <row r="797" customHeight="1" spans="2:20">
      <c r="B797" s="166"/>
      <c r="C797" s="164">
        <f t="shared" si="84"/>
        <v>32</v>
      </c>
      <c r="D797" s="158" t="str">
        <f>VLOOKUP(C797,DMSP!$A$1:$C$39,2,0)</f>
        <v>7.KHÁC</v>
      </c>
      <c r="E797" s="159" t="str">
        <f>VLOOKUP(C797,DMSP!$A$1:$C$39,3,0)</f>
        <v>TB FRUIT</v>
      </c>
      <c r="F797" s="160">
        <f t="shared" si="83"/>
        <v>0</v>
      </c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62">
        <f t="shared" si="82"/>
        <v>0</v>
      </c>
      <c r="T797" s="167"/>
    </row>
    <row r="798" customHeight="1" spans="2:20">
      <c r="B798" s="166"/>
      <c r="C798" s="164">
        <f t="shared" si="84"/>
        <v>33</v>
      </c>
      <c r="D798" s="158" t="str">
        <f>VLOOKUP(C798,DMSP!$A$1:$C$39,2,0)</f>
        <v>7.KHÁC</v>
      </c>
      <c r="E798" s="159" t="str">
        <f>VLOOKUP(C798,DMSP!$A$1:$C$39,3,0)</f>
        <v>TB PHOS</v>
      </c>
      <c r="F798" s="160">
        <f t="shared" si="83"/>
        <v>0</v>
      </c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62">
        <f t="shared" si="82"/>
        <v>0</v>
      </c>
      <c r="T798" s="167"/>
    </row>
    <row r="799" customHeight="1" spans="2:20">
      <c r="B799" s="166"/>
      <c r="C799" s="164">
        <f t="shared" si="84"/>
        <v>34</v>
      </c>
      <c r="D799" s="158" t="str">
        <f>VLOOKUP(C799,DMSP!$A$1:$C$39,2,0)</f>
        <v>7.KHÁC</v>
      </c>
      <c r="E799" s="159" t="str">
        <f>VLOOKUP(C799,DMSP!$A$1:$C$39,3,0)</f>
        <v>TOBA BÁM DÍNH</v>
      </c>
      <c r="F799" s="160">
        <f t="shared" si="83"/>
        <v>0</v>
      </c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62">
        <f t="shared" si="82"/>
        <v>0</v>
      </c>
      <c r="T799" s="167"/>
    </row>
    <row r="800" customHeight="1" spans="2:20">
      <c r="B800" s="166"/>
      <c r="C800" s="164">
        <f t="shared" si="84"/>
        <v>35</v>
      </c>
      <c r="D800" s="158" t="str">
        <f>VLOOKUP(C800,DMSP!$A$1:$C$39,2,0)</f>
        <v>7.KHÁC</v>
      </c>
      <c r="E800" s="159" t="str">
        <f>VLOOKUP(C800,DMSP!$A$1:$C$39,3,0)</f>
        <v>VỌT HOA NHÃN</v>
      </c>
      <c r="F800" s="160">
        <f t="shared" si="83"/>
        <v>0</v>
      </c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62">
        <f t="shared" si="82"/>
        <v>0</v>
      </c>
      <c r="T800" s="167"/>
    </row>
    <row r="801" customHeight="1" spans="2:20">
      <c r="B801" s="166"/>
      <c r="C801" s="164">
        <f t="shared" si="84"/>
        <v>36</v>
      </c>
      <c r="D801" s="158" t="str">
        <f>VLOOKUP(C801,DMSP!$A$1:$C$39,2,0)</f>
        <v>7.KHÁC</v>
      </c>
      <c r="E801" s="159" t="str">
        <f>VLOOKUP(C801,DMSP!$A$1:$C$39,3,0)</f>
        <v>VỌT HOA XOÀI</v>
      </c>
      <c r="F801" s="160">
        <f t="shared" si="83"/>
        <v>0</v>
      </c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62">
        <f t="shared" si="82"/>
        <v>0</v>
      </c>
      <c r="T801" s="167"/>
    </row>
    <row r="802" customHeight="1" spans="2:20">
      <c r="B802" s="166"/>
      <c r="C802" s="164">
        <f t="shared" si="84"/>
        <v>37</v>
      </c>
      <c r="D802" s="158" t="str">
        <f>VLOOKUP(C802,DMSP!$A$1:$C$39,2,0)</f>
        <v>7.KHÁC</v>
      </c>
      <c r="E802" s="159" t="str">
        <f>VLOOKUP(C802,DMSP!$A$1:$C$39,3,0)</f>
        <v>VỌT HOA XOÀI</v>
      </c>
      <c r="F802" s="160">
        <f t="shared" si="83"/>
        <v>0</v>
      </c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62">
        <f t="shared" si="82"/>
        <v>0</v>
      </c>
      <c r="T802" s="167"/>
    </row>
    <row r="803" customHeight="1" spans="2:20">
      <c r="B803" s="92"/>
      <c r="C803" s="170">
        <f t="shared" ref="C803" si="85">B766</f>
        <v>0</v>
      </c>
      <c r="D803" s="171"/>
      <c r="E803" s="172" t="str">
        <f>"TOTAL "&amp;B766</f>
        <v>TOTAL </v>
      </c>
      <c r="F803" s="173">
        <f t="shared" si="83"/>
        <v>0</v>
      </c>
      <c r="G803" s="174">
        <f>SUM(G766:G802)</f>
        <v>0</v>
      </c>
      <c r="H803" s="174">
        <f t="shared" ref="H803:R803" si="86">SUM(H766:H802)</f>
        <v>0</v>
      </c>
      <c r="I803" s="174">
        <f t="shared" si="86"/>
        <v>0</v>
      </c>
      <c r="J803" s="174">
        <f t="shared" si="86"/>
        <v>0</v>
      </c>
      <c r="K803" s="174">
        <f t="shared" si="86"/>
        <v>0</v>
      </c>
      <c r="L803" s="174">
        <f t="shared" si="86"/>
        <v>0</v>
      </c>
      <c r="M803" s="174">
        <f t="shared" si="86"/>
        <v>0</v>
      </c>
      <c r="N803" s="174">
        <f t="shared" si="86"/>
        <v>0</v>
      </c>
      <c r="O803" s="174">
        <f t="shared" si="86"/>
        <v>0</v>
      </c>
      <c r="P803" s="174">
        <f t="shared" si="86"/>
        <v>0</v>
      </c>
      <c r="Q803" s="174">
        <f t="shared" si="86"/>
        <v>0</v>
      </c>
      <c r="R803" s="174">
        <f t="shared" si="86"/>
        <v>0</v>
      </c>
      <c r="S803" s="174">
        <f t="shared" si="82"/>
        <v>0</v>
      </c>
      <c r="T803" s="175"/>
    </row>
    <row r="804" customHeight="1" spans="2:20">
      <c r="B804" s="156"/>
      <c r="C804" s="157">
        <v>1</v>
      </c>
      <c r="D804" s="158" t="str">
        <f>VLOOKUP(C804,DMSP!$A$1:$C$39,2,0)</f>
        <v>1.TOBA XANH</v>
      </c>
      <c r="E804" s="159" t="str">
        <f>VLOOKUP(C804,DMSP!$A$1:$C$39,3,0)</f>
        <v>TOBA XANH</v>
      </c>
      <c r="F804" s="160">
        <f t="shared" si="83"/>
        <v>0</v>
      </c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62">
        <f t="shared" si="82"/>
        <v>0</v>
      </c>
      <c r="T804" s="163">
        <f>S841</f>
        <v>0</v>
      </c>
    </row>
    <row r="805" customHeight="1" spans="2:20">
      <c r="B805" s="166"/>
      <c r="C805" s="164">
        <f t="shared" ref="C805:C840" si="87">C804+1</f>
        <v>2</v>
      </c>
      <c r="D805" s="158" t="str">
        <f>VLOOKUP(C805,DMSP!$A$1:$C$39,2,0)</f>
        <v>2.HC</v>
      </c>
      <c r="E805" s="159" t="str">
        <f>VLOOKUP(C805,DMSP!$A$1:$C$39,3,0)</f>
        <v>HC BOOSTER</v>
      </c>
      <c r="F805" s="160">
        <f t="shared" si="83"/>
        <v>0</v>
      </c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62">
        <f t="shared" ref="S805:S842" si="88">SUM(G805:R805)</f>
        <v>0</v>
      </c>
      <c r="T805" s="167"/>
    </row>
    <row r="806" customHeight="1" spans="2:20">
      <c r="B806" s="166"/>
      <c r="C806" s="164">
        <f t="shared" si="87"/>
        <v>3</v>
      </c>
      <c r="D806" s="158" t="str">
        <f>VLOOKUP(C806,DMSP!$A$1:$C$39,2,0)</f>
        <v>2.HC</v>
      </c>
      <c r="E806" s="159" t="str">
        <f>VLOOKUP(C806,DMSP!$A$1:$C$39,3,0)</f>
        <v>HC KING-ROOT</v>
      </c>
      <c r="F806" s="160">
        <f t="shared" si="83"/>
        <v>0</v>
      </c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62">
        <f t="shared" si="88"/>
        <v>0</v>
      </c>
      <c r="T806" s="167"/>
    </row>
    <row r="807" customHeight="1" spans="2:20">
      <c r="B807" s="166"/>
      <c r="C807" s="164">
        <f t="shared" si="87"/>
        <v>4</v>
      </c>
      <c r="D807" s="158" t="str">
        <f>VLOOKUP(C807,DMSP!$A$1:$C$39,2,0)</f>
        <v>2.HC</v>
      </c>
      <c r="E807" s="159" t="str">
        <f>VLOOKUP(C807,DMSP!$A$1:$C$39,3,0)</f>
        <v>HAPPY FARM</v>
      </c>
      <c r="F807" s="160">
        <f t="shared" si="83"/>
        <v>0</v>
      </c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62">
        <f t="shared" si="88"/>
        <v>0</v>
      </c>
      <c r="T807" s="167"/>
    </row>
    <row r="808" customHeight="1" spans="2:20">
      <c r="B808" s="166"/>
      <c r="C808" s="164">
        <f t="shared" si="87"/>
        <v>5</v>
      </c>
      <c r="D808" s="158" t="str">
        <f>VLOOKUP(C808,DMSP!$A$1:$C$39,2,0)</f>
        <v>2.HC</v>
      </c>
      <c r="E808" s="159" t="str">
        <f>VLOOKUP(C808,DMSP!$A$1:$C$39,3,0)</f>
        <v>WOW</v>
      </c>
      <c r="F808" s="160">
        <f t="shared" si="83"/>
        <v>0</v>
      </c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62">
        <f t="shared" si="88"/>
        <v>0</v>
      </c>
      <c r="T808" s="167"/>
    </row>
    <row r="809" customHeight="1" spans="2:20">
      <c r="B809" s="166"/>
      <c r="C809" s="164">
        <f t="shared" si="87"/>
        <v>6</v>
      </c>
      <c r="D809" s="158" t="str">
        <f>VLOOKUP(C809,DMSP!$A$1:$C$39,2,0)</f>
        <v>3.SPRAY </v>
      </c>
      <c r="E809" s="159" t="str">
        <f>VLOOKUP(C809,DMSP!$A$1:$C$39,3,0)</f>
        <v>KELPIT</v>
      </c>
      <c r="F809" s="160">
        <f t="shared" si="83"/>
        <v>0</v>
      </c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62">
        <f t="shared" si="88"/>
        <v>0</v>
      </c>
      <c r="T809" s="167"/>
    </row>
    <row r="810" customHeight="1" spans="2:20">
      <c r="B810" s="166"/>
      <c r="C810" s="164">
        <f t="shared" si="87"/>
        <v>7</v>
      </c>
      <c r="D810" s="158" t="str">
        <f>VLOOKUP(C810,DMSP!$A$1:$C$39,2,0)</f>
        <v>3.SPRAY </v>
      </c>
      <c r="E810" s="159" t="str">
        <f>VLOOKUP(C810,DMSP!$A$1:$C$39,3,0)</f>
        <v>SI-K</v>
      </c>
      <c r="F810" s="160">
        <f t="shared" si="83"/>
        <v>0</v>
      </c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62">
        <f t="shared" si="88"/>
        <v>0</v>
      </c>
      <c r="T810" s="167"/>
    </row>
    <row r="811" customHeight="1" spans="2:20">
      <c r="B811" s="166"/>
      <c r="C811" s="164">
        <f t="shared" si="87"/>
        <v>8</v>
      </c>
      <c r="D811" s="158" t="str">
        <f>VLOOKUP(C811,DMSP!$A$1:$C$39,2,0)</f>
        <v>3.SPRAY </v>
      </c>
      <c r="E811" s="159" t="str">
        <f>VLOOKUP(C811,DMSP!$A$1:$C$39,3,0)</f>
        <v>SPRAY PHOS 620</v>
      </c>
      <c r="F811" s="160">
        <f t="shared" si="83"/>
        <v>0</v>
      </c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62">
        <f t="shared" si="88"/>
        <v>0</v>
      </c>
      <c r="T811" s="167"/>
    </row>
    <row r="812" customHeight="1" spans="2:20">
      <c r="B812" s="166"/>
      <c r="C812" s="164">
        <f t="shared" si="87"/>
        <v>9</v>
      </c>
      <c r="D812" s="158" t="str">
        <f>VLOOKUP(C812,DMSP!$A$1:$C$39,2,0)</f>
        <v>4.DƯỠNG RỄ</v>
      </c>
      <c r="E812" s="159" t="str">
        <f>VLOOKUP(C812,DMSP!$A$1:$C$39,3,0)</f>
        <v>CHITOSAN</v>
      </c>
      <c r="F812" s="160">
        <f t="shared" si="83"/>
        <v>0</v>
      </c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62">
        <f t="shared" si="88"/>
        <v>0</v>
      </c>
      <c r="T812" s="167"/>
    </row>
    <row r="813" customHeight="1" spans="2:20">
      <c r="B813" s="166"/>
      <c r="C813" s="164">
        <f t="shared" si="87"/>
        <v>10</v>
      </c>
      <c r="D813" s="158" t="str">
        <f>VLOOKUP(C813,DMSP!$A$1:$C$39,2,0)</f>
        <v>4.DƯỠNG RỄ</v>
      </c>
      <c r="E813" s="159" t="str">
        <f>VLOOKUP(C813,DMSP!$A$1:$C$39,3,0)</f>
        <v>ĐẠM CÁ</v>
      </c>
      <c r="F813" s="160">
        <f t="shared" si="83"/>
        <v>0</v>
      </c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62">
        <f t="shared" si="88"/>
        <v>0</v>
      </c>
      <c r="T813" s="167"/>
    </row>
    <row r="814" customHeight="1" spans="2:20">
      <c r="B814" s="166"/>
      <c r="C814" s="164">
        <f t="shared" si="87"/>
        <v>11</v>
      </c>
      <c r="D814" s="158" t="str">
        <f>VLOOKUP(C814,DMSP!$A$1:$C$39,2,0)</f>
        <v>4.DƯỠNG RỄ</v>
      </c>
      <c r="E814" s="159" t="str">
        <f>VLOOKUP(C814,DMSP!$A$1:$C$39,3,0)</f>
        <v>ĐẠM TÔM</v>
      </c>
      <c r="F814" s="160">
        <f t="shared" si="83"/>
        <v>0</v>
      </c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62">
        <f t="shared" si="88"/>
        <v>0</v>
      </c>
      <c r="T814" s="167"/>
    </row>
    <row r="815" customHeight="1" spans="2:20">
      <c r="B815" s="166"/>
      <c r="C815" s="164">
        <f t="shared" si="87"/>
        <v>12</v>
      </c>
      <c r="D815" s="158" t="str">
        <f>VLOOKUP(C815,DMSP!$A$1:$C$39,2,0)</f>
        <v>4.DƯỠNG RỄ</v>
      </c>
      <c r="E815" s="159" t="str">
        <f>VLOOKUP(C815,DMSP!$A$1:$C$39,3,0)</f>
        <v>SUPERMIC</v>
      </c>
      <c r="F815" s="160">
        <f t="shared" si="83"/>
        <v>0</v>
      </c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62">
        <f t="shared" si="88"/>
        <v>0</v>
      </c>
      <c r="T815" s="167"/>
    </row>
    <row r="816" customHeight="1" spans="2:20">
      <c r="B816" s="166"/>
      <c r="C816" s="164">
        <f t="shared" si="87"/>
        <v>13</v>
      </c>
      <c r="D816" s="158" t="str">
        <f>VLOOKUP(C816,DMSP!$A$1:$C$39,2,0)</f>
        <v>5.TRUYỀN THỐNG</v>
      </c>
      <c r="E816" s="159" t="str">
        <f>VLOOKUP(C816,DMSP!$A$1:$C$39,3,0)</f>
        <v>CABO</v>
      </c>
      <c r="F816" s="160">
        <f t="shared" si="83"/>
        <v>0</v>
      </c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62">
        <f t="shared" si="88"/>
        <v>0</v>
      </c>
      <c r="T816" s="167"/>
    </row>
    <row r="817" customHeight="1" spans="2:20">
      <c r="B817" s="166"/>
      <c r="C817" s="164">
        <f t="shared" si="87"/>
        <v>14</v>
      </c>
      <c r="D817" s="158" t="str">
        <f>VLOOKUP(C817,DMSP!$A$1:$C$39,2,0)</f>
        <v>5.TRUYỀN THỐNG</v>
      </c>
      <c r="E817" s="159" t="str">
        <f>VLOOKUP(C817,DMSP!$A$1:$C$39,3,0)</f>
        <v>F94</v>
      </c>
      <c r="F817" s="160">
        <f t="shared" si="83"/>
        <v>0</v>
      </c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62">
        <f t="shared" si="88"/>
        <v>0</v>
      </c>
      <c r="T817" s="167"/>
    </row>
    <row r="818" customHeight="1" spans="2:20">
      <c r="B818" s="166"/>
      <c r="C818" s="164">
        <f t="shared" si="87"/>
        <v>15</v>
      </c>
      <c r="D818" s="158" t="str">
        <f>VLOOKUP(C818,DMSP!$A$1:$C$39,2,0)</f>
        <v>5.TRUYỀN THỐNG</v>
      </c>
      <c r="E818" s="159" t="str">
        <f>VLOOKUP(C818,DMSP!$A$1:$C$39,3,0)</f>
        <v>F95</v>
      </c>
      <c r="F818" s="160">
        <f t="shared" si="83"/>
        <v>0</v>
      </c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62">
        <f t="shared" si="88"/>
        <v>0</v>
      </c>
      <c r="T818" s="167"/>
    </row>
    <row r="819" customHeight="1" spans="2:20">
      <c r="B819" s="166"/>
      <c r="C819" s="164">
        <f t="shared" si="87"/>
        <v>16</v>
      </c>
      <c r="D819" s="158" t="str">
        <f>VLOOKUP(C819,DMSP!$A$1:$C$39,2,0)</f>
        <v>5.TRUYỀN THỐNG</v>
      </c>
      <c r="E819" s="159" t="str">
        <f>VLOOKUP(C819,DMSP!$A$1:$C$39,3,0)</f>
        <v>THIOURE</v>
      </c>
      <c r="F819" s="160">
        <f t="shared" si="83"/>
        <v>0</v>
      </c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62">
        <f t="shared" si="88"/>
        <v>0</v>
      </c>
      <c r="T819" s="167"/>
    </row>
    <row r="820" customHeight="1" spans="2:20">
      <c r="B820" s="166"/>
      <c r="C820" s="164">
        <f t="shared" si="87"/>
        <v>17</v>
      </c>
      <c r="D820" s="158" t="str">
        <f>VLOOKUP(C820,DMSP!$A$1:$C$39,2,0)</f>
        <v>5.TRUYỀN THỐNG</v>
      </c>
      <c r="E820" s="159" t="str">
        <f>VLOOKUP(C820,DMSP!$A$1:$C$39,3,0)</f>
        <v>TOBA JUM</v>
      </c>
      <c r="F820" s="160">
        <f t="shared" si="83"/>
        <v>0</v>
      </c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62">
        <f t="shared" si="88"/>
        <v>0</v>
      </c>
      <c r="T820" s="167"/>
    </row>
    <row r="821" customHeight="1" spans="2:20">
      <c r="B821" s="166"/>
      <c r="C821" s="164">
        <f t="shared" si="87"/>
        <v>18</v>
      </c>
      <c r="D821" s="158" t="str">
        <f>VLOOKUP(C821,DMSP!$A$1:$C$39,2,0)</f>
        <v>5.TRUYỀN THỐNG</v>
      </c>
      <c r="E821" s="159" t="str">
        <f>VLOOKUP(C821,DMSP!$A$1:$C$39,3,0)</f>
        <v>TOBA NET</v>
      </c>
      <c r="F821" s="160">
        <f t="shared" si="83"/>
        <v>0</v>
      </c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62">
        <f t="shared" si="88"/>
        <v>0</v>
      </c>
      <c r="T821" s="167"/>
    </row>
    <row r="822" customHeight="1" spans="2:20">
      <c r="B822" s="166"/>
      <c r="C822" s="164">
        <f t="shared" si="87"/>
        <v>19</v>
      </c>
      <c r="D822" s="158" t="str">
        <f>VLOOKUP(C822,DMSP!$A$1:$C$39,2,0)</f>
        <v>6.BVTV</v>
      </c>
      <c r="E822" s="159" t="str">
        <f>VLOOKUP(C822,DMSP!$A$1:$C$39,3,0)</f>
        <v>ABAFAX 1.8</v>
      </c>
      <c r="F822" s="160">
        <f t="shared" si="83"/>
        <v>0</v>
      </c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62">
        <f t="shared" si="88"/>
        <v>0</v>
      </c>
      <c r="T822" s="167"/>
    </row>
    <row r="823" customHeight="1" spans="2:20">
      <c r="B823" s="166"/>
      <c r="C823" s="164">
        <f t="shared" si="87"/>
        <v>20</v>
      </c>
      <c r="D823" s="158" t="str">
        <f>VLOOKUP(C823,DMSP!$A$1:$C$39,2,0)</f>
        <v>6.BVTV</v>
      </c>
      <c r="E823" s="159" t="str">
        <f>VLOOKUP(C823,DMSP!$A$1:$C$39,3,0)</f>
        <v>ABAFAX 3.6</v>
      </c>
      <c r="F823" s="160">
        <f t="shared" si="83"/>
        <v>0</v>
      </c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62">
        <f t="shared" si="88"/>
        <v>0</v>
      </c>
      <c r="T823" s="167"/>
    </row>
    <row r="824" customHeight="1" spans="2:20">
      <c r="B824" s="166"/>
      <c r="C824" s="164">
        <f t="shared" si="87"/>
        <v>21</v>
      </c>
      <c r="D824" s="158" t="str">
        <f>VLOOKUP(C824,DMSP!$A$1:$C$39,2,0)</f>
        <v>6.BVTV</v>
      </c>
      <c r="E824" s="159" t="str">
        <f>VLOOKUP(C824,DMSP!$A$1:$C$39,3,0)</f>
        <v>AZET</v>
      </c>
      <c r="F824" s="160">
        <f t="shared" si="83"/>
        <v>0</v>
      </c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62">
        <f t="shared" si="88"/>
        <v>0</v>
      </c>
      <c r="T824" s="167"/>
    </row>
    <row r="825" customHeight="1" spans="2:20">
      <c r="B825" s="166"/>
      <c r="C825" s="164">
        <f t="shared" si="87"/>
        <v>22</v>
      </c>
      <c r="D825" s="158" t="str">
        <f>VLOOKUP(C825,DMSP!$A$1:$C$39,2,0)</f>
        <v>6.BVTV</v>
      </c>
      <c r="E825" s="159" t="str">
        <f>VLOOKUP(C825,DMSP!$A$1:$C$39,3,0)</f>
        <v>BACBA</v>
      </c>
      <c r="F825" s="160">
        <f t="shared" si="83"/>
        <v>0</v>
      </c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62">
        <f t="shared" si="88"/>
        <v>0</v>
      </c>
      <c r="T825" s="167"/>
    </row>
    <row r="826" customHeight="1" spans="2:20">
      <c r="B826" s="166"/>
      <c r="C826" s="164">
        <f t="shared" si="87"/>
        <v>23</v>
      </c>
      <c r="D826" s="158" t="str">
        <f>VLOOKUP(C826,DMSP!$A$1:$C$39,2,0)</f>
        <v>6.BVTV</v>
      </c>
      <c r="E826" s="159" t="str">
        <f>VLOOKUP(C826,DMSP!$A$1:$C$39,3,0)</f>
        <v>BIOROSAMIL</v>
      </c>
      <c r="F826" s="160">
        <f t="shared" si="83"/>
        <v>0</v>
      </c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62">
        <f t="shared" si="88"/>
        <v>0</v>
      </c>
      <c r="T826" s="167"/>
    </row>
    <row r="827" customHeight="1" spans="2:20">
      <c r="B827" s="166"/>
      <c r="C827" s="164">
        <f t="shared" si="87"/>
        <v>24</v>
      </c>
      <c r="D827" s="158" t="str">
        <f>VLOOKUP(C827,DMSP!$A$1:$C$39,2,0)</f>
        <v>6.BVTV</v>
      </c>
      <c r="E827" s="159" t="str">
        <f>VLOOKUP(C827,DMSP!$A$1:$C$39,3,0)</f>
        <v>COC 86</v>
      </c>
      <c r="F827" s="160">
        <f t="shared" si="83"/>
        <v>0</v>
      </c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62">
        <f t="shared" si="88"/>
        <v>0</v>
      </c>
      <c r="T827" s="167"/>
    </row>
    <row r="828" customHeight="1" spans="2:20">
      <c r="B828" s="166"/>
      <c r="C828" s="164">
        <f t="shared" si="87"/>
        <v>25</v>
      </c>
      <c r="D828" s="158" t="str">
        <f>VLOOKUP(C828,DMSP!$A$1:$C$39,2,0)</f>
        <v>6.BVTV</v>
      </c>
      <c r="E828" s="159" t="str">
        <f>VLOOKUP(C828,DMSP!$A$1:$C$39,3,0)</f>
        <v>HEXA 5</v>
      </c>
      <c r="F828" s="160">
        <f t="shared" si="83"/>
        <v>0</v>
      </c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62">
        <f t="shared" si="88"/>
        <v>0</v>
      </c>
      <c r="T828" s="167"/>
    </row>
    <row r="829" customHeight="1" spans="2:20">
      <c r="B829" s="166"/>
      <c r="C829" s="164">
        <f t="shared" si="87"/>
        <v>26</v>
      </c>
      <c r="D829" s="158" t="str">
        <f>VLOOKUP(C829,DMSP!$A$1:$C$39,2,0)</f>
        <v>6.BVTV</v>
      </c>
      <c r="E829" s="159" t="str">
        <f>VLOOKUP(C829,DMSP!$A$1:$C$39,3,0)</f>
        <v>TAMALA</v>
      </c>
      <c r="F829" s="160">
        <f t="shared" si="83"/>
        <v>0</v>
      </c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62">
        <f t="shared" si="88"/>
        <v>0</v>
      </c>
      <c r="T829" s="167"/>
    </row>
    <row r="830" customHeight="1" spans="2:20">
      <c r="B830" s="166"/>
      <c r="C830" s="164">
        <f t="shared" si="87"/>
        <v>27</v>
      </c>
      <c r="D830" s="158" t="str">
        <f>VLOOKUP(C830,DMSP!$A$1:$C$39,2,0)</f>
        <v>7.KHÁC</v>
      </c>
      <c r="E830" s="159" t="str">
        <f>VLOOKUP(C830,DMSP!$A$1:$C$39,3,0)</f>
        <v>KẼM VÀNG</v>
      </c>
      <c r="F830" s="160">
        <f t="shared" si="83"/>
        <v>0</v>
      </c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62">
        <f t="shared" si="88"/>
        <v>0</v>
      </c>
      <c r="T830" s="167"/>
    </row>
    <row r="831" customHeight="1" spans="2:20">
      <c r="B831" s="166"/>
      <c r="C831" s="164">
        <f t="shared" si="87"/>
        <v>28</v>
      </c>
      <c r="D831" s="158" t="str">
        <f>VLOOKUP(C831,DMSP!$A$1:$C$39,2,0)</f>
        <v>7.KHÁC</v>
      </c>
      <c r="E831" s="159" t="str">
        <f>VLOOKUP(C831,DMSP!$A$1:$C$39,3,0)</f>
        <v>KHÁC1</v>
      </c>
      <c r="F831" s="160">
        <f t="shared" si="83"/>
        <v>0</v>
      </c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62">
        <f t="shared" si="88"/>
        <v>0</v>
      </c>
      <c r="T831" s="167"/>
    </row>
    <row r="832" customHeight="1" spans="2:20">
      <c r="B832" s="166"/>
      <c r="C832" s="164">
        <f t="shared" si="87"/>
        <v>29</v>
      </c>
      <c r="D832" s="158" t="str">
        <f>VLOOKUP(C832,DMSP!$A$1:$C$39,2,0)</f>
        <v>7.KHÁC</v>
      </c>
      <c r="E832" s="169" t="s">
        <v>13</v>
      </c>
      <c r="F832" s="160">
        <f t="shared" si="83"/>
        <v>0</v>
      </c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62">
        <f t="shared" si="88"/>
        <v>0</v>
      </c>
      <c r="T832" s="167"/>
    </row>
    <row r="833" customHeight="1" spans="2:20">
      <c r="B833" s="166"/>
      <c r="C833" s="164">
        <f t="shared" si="87"/>
        <v>30</v>
      </c>
      <c r="D833" s="158" t="str">
        <f>VLOOKUP(C833,DMSP!$A$1:$C$39,2,0)</f>
        <v>7.KHÁC</v>
      </c>
      <c r="E833" s="159" t="str">
        <f>VLOOKUP(C833,DMSP!$A$1:$C$39,3,0)</f>
        <v>RỬA RONG RÊU</v>
      </c>
      <c r="F833" s="160">
        <f t="shared" si="83"/>
        <v>0</v>
      </c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62">
        <f t="shared" si="88"/>
        <v>0</v>
      </c>
      <c r="T833" s="167"/>
    </row>
    <row r="834" customHeight="1" spans="2:20">
      <c r="B834" s="166"/>
      <c r="C834" s="164">
        <f t="shared" si="87"/>
        <v>31</v>
      </c>
      <c r="D834" s="158" t="str">
        <f>VLOOKUP(C834,DMSP!$A$1:$C$39,2,0)</f>
        <v>7.KHÁC</v>
      </c>
      <c r="E834" s="159" t="str">
        <f>VLOOKUP(C834,DMSP!$A$1:$C$39,3,0)</f>
        <v>TB BO</v>
      </c>
      <c r="F834" s="160">
        <f t="shared" si="83"/>
        <v>0</v>
      </c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62">
        <f t="shared" si="88"/>
        <v>0</v>
      </c>
      <c r="T834" s="167"/>
    </row>
    <row r="835" customHeight="1" spans="2:20">
      <c r="B835" s="166"/>
      <c r="C835" s="164">
        <f t="shared" si="87"/>
        <v>32</v>
      </c>
      <c r="D835" s="158" t="str">
        <f>VLOOKUP(C835,DMSP!$A$1:$C$39,2,0)</f>
        <v>7.KHÁC</v>
      </c>
      <c r="E835" s="159" t="str">
        <f>VLOOKUP(C835,DMSP!$A$1:$C$39,3,0)</f>
        <v>TB FRUIT</v>
      </c>
      <c r="F835" s="160">
        <f t="shared" si="83"/>
        <v>0</v>
      </c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62">
        <f t="shared" si="88"/>
        <v>0</v>
      </c>
      <c r="T835" s="167"/>
    </row>
    <row r="836" customHeight="1" spans="2:20">
      <c r="B836" s="166"/>
      <c r="C836" s="164">
        <f t="shared" si="87"/>
        <v>33</v>
      </c>
      <c r="D836" s="158" t="str">
        <f>VLOOKUP(C836,DMSP!$A$1:$C$39,2,0)</f>
        <v>7.KHÁC</v>
      </c>
      <c r="E836" s="159" t="str">
        <f>VLOOKUP(C836,DMSP!$A$1:$C$39,3,0)</f>
        <v>TB PHOS</v>
      </c>
      <c r="F836" s="160">
        <f t="shared" si="83"/>
        <v>0</v>
      </c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62">
        <f t="shared" si="88"/>
        <v>0</v>
      </c>
      <c r="T836" s="167"/>
    </row>
    <row r="837" customHeight="1" spans="2:20">
      <c r="B837" s="166"/>
      <c r="C837" s="164">
        <f t="shared" si="87"/>
        <v>34</v>
      </c>
      <c r="D837" s="158" t="str">
        <f>VLOOKUP(C837,DMSP!$A$1:$C$39,2,0)</f>
        <v>7.KHÁC</v>
      </c>
      <c r="E837" s="159" t="str">
        <f>VLOOKUP(C837,DMSP!$A$1:$C$39,3,0)</f>
        <v>TOBA BÁM DÍNH</v>
      </c>
      <c r="F837" s="160">
        <f t="shared" si="83"/>
        <v>0</v>
      </c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62">
        <f t="shared" si="88"/>
        <v>0</v>
      </c>
      <c r="T837" s="167"/>
    </row>
    <row r="838" customHeight="1" spans="2:20">
      <c r="B838" s="166"/>
      <c r="C838" s="164">
        <f t="shared" si="87"/>
        <v>35</v>
      </c>
      <c r="D838" s="158" t="str">
        <f>VLOOKUP(C838,DMSP!$A$1:$C$39,2,0)</f>
        <v>7.KHÁC</v>
      </c>
      <c r="E838" s="159" t="str">
        <f>VLOOKUP(C838,DMSP!$A$1:$C$39,3,0)</f>
        <v>VỌT HOA NHÃN</v>
      </c>
      <c r="F838" s="160">
        <f t="shared" si="83"/>
        <v>0</v>
      </c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62">
        <f t="shared" si="88"/>
        <v>0</v>
      </c>
      <c r="T838" s="167"/>
    </row>
    <row r="839" customHeight="1" spans="2:20">
      <c r="B839" s="166"/>
      <c r="C839" s="164">
        <f t="shared" si="87"/>
        <v>36</v>
      </c>
      <c r="D839" s="158" t="str">
        <f>VLOOKUP(C839,DMSP!$A$1:$C$39,2,0)</f>
        <v>7.KHÁC</v>
      </c>
      <c r="E839" s="159" t="str">
        <f>VLOOKUP(C839,DMSP!$A$1:$C$39,3,0)</f>
        <v>VỌT HOA XOÀI</v>
      </c>
      <c r="F839" s="160">
        <f t="shared" ref="F839:F902" si="89">S839</f>
        <v>0</v>
      </c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62">
        <f t="shared" si="88"/>
        <v>0</v>
      </c>
      <c r="T839" s="167"/>
    </row>
    <row r="840" customHeight="1" spans="2:20">
      <c r="B840" s="166"/>
      <c r="C840" s="164">
        <f t="shared" si="87"/>
        <v>37</v>
      </c>
      <c r="D840" s="158" t="str">
        <f>VLOOKUP(C840,DMSP!$A$1:$C$39,2,0)</f>
        <v>7.KHÁC</v>
      </c>
      <c r="E840" s="159" t="str">
        <f>VLOOKUP(C840,DMSP!$A$1:$C$39,3,0)</f>
        <v>VỌT HOA XOÀI</v>
      </c>
      <c r="F840" s="160">
        <f t="shared" si="89"/>
        <v>0</v>
      </c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62">
        <f t="shared" si="88"/>
        <v>0</v>
      </c>
      <c r="T840" s="167"/>
    </row>
    <row r="841" customHeight="1" spans="2:20">
      <c r="B841" s="92"/>
      <c r="C841" s="170">
        <f>B804</f>
        <v>0</v>
      </c>
      <c r="D841" s="171"/>
      <c r="E841" s="172" t="str">
        <f>"TOTAL "&amp;B804</f>
        <v>TOTAL </v>
      </c>
      <c r="F841" s="173">
        <f t="shared" si="89"/>
        <v>0</v>
      </c>
      <c r="G841" s="174">
        <f>SUM(G804:G840)</f>
        <v>0</v>
      </c>
      <c r="H841" s="174">
        <f t="shared" ref="H841:R841" si="90">SUM(H804:H840)</f>
        <v>0</v>
      </c>
      <c r="I841" s="174">
        <f t="shared" si="90"/>
        <v>0</v>
      </c>
      <c r="J841" s="174">
        <f t="shared" si="90"/>
        <v>0</v>
      </c>
      <c r="K841" s="174">
        <f t="shared" si="90"/>
        <v>0</v>
      </c>
      <c r="L841" s="174">
        <f t="shared" si="90"/>
        <v>0</v>
      </c>
      <c r="M841" s="174">
        <f t="shared" si="90"/>
        <v>0</v>
      </c>
      <c r="N841" s="174">
        <f t="shared" si="90"/>
        <v>0</v>
      </c>
      <c r="O841" s="174">
        <f t="shared" si="90"/>
        <v>0</v>
      </c>
      <c r="P841" s="174">
        <f t="shared" si="90"/>
        <v>0</v>
      </c>
      <c r="Q841" s="174">
        <f t="shared" si="90"/>
        <v>0</v>
      </c>
      <c r="R841" s="174">
        <f t="shared" si="90"/>
        <v>0</v>
      </c>
      <c r="S841" s="174">
        <f t="shared" si="88"/>
        <v>0</v>
      </c>
      <c r="T841" s="175"/>
    </row>
    <row r="842" customHeight="1" spans="2:20">
      <c r="B842" s="156"/>
      <c r="C842" s="157">
        <v>1</v>
      </c>
      <c r="D842" s="158" t="str">
        <f>VLOOKUP(C842,DMSP!$A$1:$C$39,2,0)</f>
        <v>1.TOBA XANH</v>
      </c>
      <c r="E842" s="159" t="str">
        <f>VLOOKUP(C842,DMSP!$A$1:$C$39,3,0)</f>
        <v>TOBA XANH</v>
      </c>
      <c r="F842" s="160">
        <f t="shared" si="89"/>
        <v>0</v>
      </c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62">
        <f t="shared" si="88"/>
        <v>0</v>
      </c>
      <c r="T842" s="163">
        <f>S879</f>
        <v>0</v>
      </c>
    </row>
    <row r="843" customHeight="1" spans="2:20">
      <c r="B843" s="166"/>
      <c r="C843" s="164">
        <f t="shared" ref="C843:C878" si="91">C842+1</f>
        <v>2</v>
      </c>
      <c r="D843" s="158" t="str">
        <f>VLOOKUP(C843,DMSP!$A$1:$C$39,2,0)</f>
        <v>2.HC</v>
      </c>
      <c r="E843" s="159" t="str">
        <f>VLOOKUP(C843,DMSP!$A$1:$C$39,3,0)</f>
        <v>HC BOOSTER</v>
      </c>
      <c r="F843" s="160">
        <f t="shared" si="89"/>
        <v>0</v>
      </c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62">
        <f t="shared" ref="S843:S880" si="92">SUM(G843:R843)</f>
        <v>0</v>
      </c>
      <c r="T843" s="167"/>
    </row>
    <row r="844" customHeight="1" spans="2:20">
      <c r="B844" s="166"/>
      <c r="C844" s="164">
        <f t="shared" si="91"/>
        <v>3</v>
      </c>
      <c r="D844" s="158" t="str">
        <f>VLOOKUP(C844,DMSP!$A$1:$C$39,2,0)</f>
        <v>2.HC</v>
      </c>
      <c r="E844" s="159" t="str">
        <f>VLOOKUP(C844,DMSP!$A$1:$C$39,3,0)</f>
        <v>HC KING-ROOT</v>
      </c>
      <c r="F844" s="160">
        <f t="shared" si="89"/>
        <v>0</v>
      </c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62">
        <f t="shared" si="92"/>
        <v>0</v>
      </c>
      <c r="T844" s="167"/>
    </row>
    <row r="845" customHeight="1" spans="2:20">
      <c r="B845" s="166"/>
      <c r="C845" s="164">
        <f t="shared" si="91"/>
        <v>4</v>
      </c>
      <c r="D845" s="158" t="str">
        <f>VLOOKUP(C845,DMSP!$A$1:$C$39,2,0)</f>
        <v>2.HC</v>
      </c>
      <c r="E845" s="159" t="str">
        <f>VLOOKUP(C845,DMSP!$A$1:$C$39,3,0)</f>
        <v>HAPPY FARM</v>
      </c>
      <c r="F845" s="160">
        <f t="shared" si="89"/>
        <v>0</v>
      </c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62">
        <f t="shared" si="92"/>
        <v>0</v>
      </c>
      <c r="T845" s="167"/>
    </row>
    <row r="846" customHeight="1" spans="2:20">
      <c r="B846" s="166"/>
      <c r="C846" s="164">
        <f t="shared" si="91"/>
        <v>5</v>
      </c>
      <c r="D846" s="158" t="str">
        <f>VLOOKUP(C846,DMSP!$A$1:$C$39,2,0)</f>
        <v>2.HC</v>
      </c>
      <c r="E846" s="159" t="str">
        <f>VLOOKUP(C846,DMSP!$A$1:$C$39,3,0)</f>
        <v>WOW</v>
      </c>
      <c r="F846" s="160">
        <f t="shared" si="89"/>
        <v>0</v>
      </c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62">
        <f t="shared" si="92"/>
        <v>0</v>
      </c>
      <c r="T846" s="167"/>
    </row>
    <row r="847" customHeight="1" spans="2:20">
      <c r="B847" s="166"/>
      <c r="C847" s="164">
        <f t="shared" si="91"/>
        <v>6</v>
      </c>
      <c r="D847" s="158" t="str">
        <f>VLOOKUP(C847,DMSP!$A$1:$C$39,2,0)</f>
        <v>3.SPRAY </v>
      </c>
      <c r="E847" s="159" t="str">
        <f>VLOOKUP(C847,DMSP!$A$1:$C$39,3,0)</f>
        <v>KELPIT</v>
      </c>
      <c r="F847" s="160">
        <f t="shared" si="89"/>
        <v>0</v>
      </c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62">
        <f t="shared" si="92"/>
        <v>0</v>
      </c>
      <c r="T847" s="167"/>
    </row>
    <row r="848" customHeight="1" spans="2:20">
      <c r="B848" s="166"/>
      <c r="C848" s="164">
        <f t="shared" si="91"/>
        <v>7</v>
      </c>
      <c r="D848" s="158" t="str">
        <f>VLOOKUP(C848,DMSP!$A$1:$C$39,2,0)</f>
        <v>3.SPRAY </v>
      </c>
      <c r="E848" s="159" t="str">
        <f>VLOOKUP(C848,DMSP!$A$1:$C$39,3,0)</f>
        <v>SI-K</v>
      </c>
      <c r="F848" s="160">
        <f t="shared" si="89"/>
        <v>0</v>
      </c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62">
        <f t="shared" si="92"/>
        <v>0</v>
      </c>
      <c r="T848" s="167"/>
    </row>
    <row r="849" customHeight="1" spans="2:20">
      <c r="B849" s="166"/>
      <c r="C849" s="164">
        <f t="shared" si="91"/>
        <v>8</v>
      </c>
      <c r="D849" s="158" t="str">
        <f>VLOOKUP(C849,DMSP!$A$1:$C$39,2,0)</f>
        <v>3.SPRAY </v>
      </c>
      <c r="E849" s="159" t="str">
        <f>VLOOKUP(C849,DMSP!$A$1:$C$39,3,0)</f>
        <v>SPRAY PHOS 620</v>
      </c>
      <c r="F849" s="160">
        <f t="shared" si="89"/>
        <v>0</v>
      </c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62">
        <f t="shared" si="92"/>
        <v>0</v>
      </c>
      <c r="T849" s="167"/>
    </row>
    <row r="850" customHeight="1" spans="2:20">
      <c r="B850" s="166"/>
      <c r="C850" s="164">
        <f t="shared" si="91"/>
        <v>9</v>
      </c>
      <c r="D850" s="158" t="str">
        <f>VLOOKUP(C850,DMSP!$A$1:$C$39,2,0)</f>
        <v>4.DƯỠNG RỄ</v>
      </c>
      <c r="E850" s="159" t="str">
        <f>VLOOKUP(C850,DMSP!$A$1:$C$39,3,0)</f>
        <v>CHITOSAN</v>
      </c>
      <c r="F850" s="160">
        <f t="shared" si="89"/>
        <v>0</v>
      </c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62">
        <f t="shared" si="92"/>
        <v>0</v>
      </c>
      <c r="T850" s="167"/>
    </row>
    <row r="851" customHeight="1" spans="2:20">
      <c r="B851" s="166"/>
      <c r="C851" s="164">
        <f t="shared" si="91"/>
        <v>10</v>
      </c>
      <c r="D851" s="158" t="str">
        <f>VLOOKUP(C851,DMSP!$A$1:$C$39,2,0)</f>
        <v>4.DƯỠNG RỄ</v>
      </c>
      <c r="E851" s="159" t="str">
        <f>VLOOKUP(C851,DMSP!$A$1:$C$39,3,0)</f>
        <v>ĐẠM CÁ</v>
      </c>
      <c r="F851" s="160">
        <f t="shared" si="89"/>
        <v>0</v>
      </c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62">
        <f t="shared" si="92"/>
        <v>0</v>
      </c>
      <c r="T851" s="167"/>
    </row>
    <row r="852" customHeight="1" spans="2:20">
      <c r="B852" s="166"/>
      <c r="C852" s="164">
        <f t="shared" si="91"/>
        <v>11</v>
      </c>
      <c r="D852" s="158" t="str">
        <f>VLOOKUP(C852,DMSP!$A$1:$C$39,2,0)</f>
        <v>4.DƯỠNG RỄ</v>
      </c>
      <c r="E852" s="159" t="str">
        <f>VLOOKUP(C852,DMSP!$A$1:$C$39,3,0)</f>
        <v>ĐẠM TÔM</v>
      </c>
      <c r="F852" s="160">
        <f t="shared" si="89"/>
        <v>0</v>
      </c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62">
        <f t="shared" si="92"/>
        <v>0</v>
      </c>
      <c r="T852" s="167"/>
    </row>
    <row r="853" customHeight="1" spans="2:20">
      <c r="B853" s="166"/>
      <c r="C853" s="164">
        <f t="shared" si="91"/>
        <v>12</v>
      </c>
      <c r="D853" s="158" t="str">
        <f>VLOOKUP(C853,DMSP!$A$1:$C$39,2,0)</f>
        <v>4.DƯỠNG RỄ</v>
      </c>
      <c r="E853" s="159" t="str">
        <f>VLOOKUP(C853,DMSP!$A$1:$C$39,3,0)</f>
        <v>SUPERMIC</v>
      </c>
      <c r="F853" s="160">
        <f t="shared" si="89"/>
        <v>0</v>
      </c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62">
        <f t="shared" si="92"/>
        <v>0</v>
      </c>
      <c r="T853" s="167"/>
    </row>
    <row r="854" customHeight="1" spans="2:20">
      <c r="B854" s="166"/>
      <c r="C854" s="164">
        <f t="shared" si="91"/>
        <v>13</v>
      </c>
      <c r="D854" s="158" t="str">
        <f>VLOOKUP(C854,DMSP!$A$1:$C$39,2,0)</f>
        <v>5.TRUYỀN THỐNG</v>
      </c>
      <c r="E854" s="159" t="str">
        <f>VLOOKUP(C854,DMSP!$A$1:$C$39,3,0)</f>
        <v>CABO</v>
      </c>
      <c r="F854" s="160">
        <f t="shared" si="89"/>
        <v>0</v>
      </c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62">
        <f t="shared" si="92"/>
        <v>0</v>
      </c>
      <c r="T854" s="167"/>
    </row>
    <row r="855" customHeight="1" spans="2:20">
      <c r="B855" s="166"/>
      <c r="C855" s="164">
        <f t="shared" si="91"/>
        <v>14</v>
      </c>
      <c r="D855" s="158" t="str">
        <f>VLOOKUP(C855,DMSP!$A$1:$C$39,2,0)</f>
        <v>5.TRUYỀN THỐNG</v>
      </c>
      <c r="E855" s="159" t="str">
        <f>VLOOKUP(C855,DMSP!$A$1:$C$39,3,0)</f>
        <v>F94</v>
      </c>
      <c r="F855" s="160">
        <f t="shared" si="89"/>
        <v>0</v>
      </c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62">
        <f t="shared" si="92"/>
        <v>0</v>
      </c>
      <c r="T855" s="167"/>
    </row>
    <row r="856" customHeight="1" spans="2:20">
      <c r="B856" s="166"/>
      <c r="C856" s="164">
        <f t="shared" si="91"/>
        <v>15</v>
      </c>
      <c r="D856" s="158" t="str">
        <f>VLOOKUP(C856,DMSP!$A$1:$C$39,2,0)</f>
        <v>5.TRUYỀN THỐNG</v>
      </c>
      <c r="E856" s="159" t="str">
        <f>VLOOKUP(C856,DMSP!$A$1:$C$39,3,0)</f>
        <v>F95</v>
      </c>
      <c r="F856" s="160">
        <f t="shared" si="89"/>
        <v>0</v>
      </c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62">
        <f t="shared" si="92"/>
        <v>0</v>
      </c>
      <c r="T856" s="167"/>
    </row>
    <row r="857" customHeight="1" spans="2:20">
      <c r="B857" s="166"/>
      <c r="C857" s="164">
        <f t="shared" si="91"/>
        <v>16</v>
      </c>
      <c r="D857" s="158" t="str">
        <f>VLOOKUP(C857,DMSP!$A$1:$C$39,2,0)</f>
        <v>5.TRUYỀN THỐNG</v>
      </c>
      <c r="E857" s="159" t="str">
        <f>VLOOKUP(C857,DMSP!$A$1:$C$39,3,0)</f>
        <v>THIOURE</v>
      </c>
      <c r="F857" s="160">
        <f t="shared" si="89"/>
        <v>0</v>
      </c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62">
        <f t="shared" si="92"/>
        <v>0</v>
      </c>
      <c r="T857" s="167"/>
    </row>
    <row r="858" customHeight="1" spans="2:20">
      <c r="B858" s="166"/>
      <c r="C858" s="164">
        <f t="shared" si="91"/>
        <v>17</v>
      </c>
      <c r="D858" s="158" t="str">
        <f>VLOOKUP(C858,DMSP!$A$1:$C$39,2,0)</f>
        <v>5.TRUYỀN THỐNG</v>
      </c>
      <c r="E858" s="159" t="str">
        <f>VLOOKUP(C858,DMSP!$A$1:$C$39,3,0)</f>
        <v>TOBA JUM</v>
      </c>
      <c r="F858" s="160">
        <f t="shared" si="89"/>
        <v>0</v>
      </c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62">
        <f t="shared" si="92"/>
        <v>0</v>
      </c>
      <c r="T858" s="167"/>
    </row>
    <row r="859" customHeight="1" spans="2:20">
      <c r="B859" s="166"/>
      <c r="C859" s="164">
        <f t="shared" si="91"/>
        <v>18</v>
      </c>
      <c r="D859" s="158" t="str">
        <f>VLOOKUP(C859,DMSP!$A$1:$C$39,2,0)</f>
        <v>5.TRUYỀN THỐNG</v>
      </c>
      <c r="E859" s="159" t="str">
        <f>VLOOKUP(C859,DMSP!$A$1:$C$39,3,0)</f>
        <v>TOBA NET</v>
      </c>
      <c r="F859" s="160">
        <f t="shared" si="89"/>
        <v>0</v>
      </c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62">
        <f t="shared" si="92"/>
        <v>0</v>
      </c>
      <c r="T859" s="167"/>
    </row>
    <row r="860" customHeight="1" spans="2:20">
      <c r="B860" s="166"/>
      <c r="C860" s="164">
        <f t="shared" si="91"/>
        <v>19</v>
      </c>
      <c r="D860" s="158" t="str">
        <f>VLOOKUP(C860,DMSP!$A$1:$C$39,2,0)</f>
        <v>6.BVTV</v>
      </c>
      <c r="E860" s="159" t="str">
        <f>VLOOKUP(C860,DMSP!$A$1:$C$39,3,0)</f>
        <v>ABAFAX 1.8</v>
      </c>
      <c r="F860" s="160">
        <f t="shared" si="89"/>
        <v>0</v>
      </c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62">
        <f t="shared" si="92"/>
        <v>0</v>
      </c>
      <c r="T860" s="167"/>
    </row>
    <row r="861" customHeight="1" spans="2:20">
      <c r="B861" s="166"/>
      <c r="C861" s="164">
        <f t="shared" si="91"/>
        <v>20</v>
      </c>
      <c r="D861" s="158" t="str">
        <f>VLOOKUP(C861,DMSP!$A$1:$C$39,2,0)</f>
        <v>6.BVTV</v>
      </c>
      <c r="E861" s="159" t="str">
        <f>VLOOKUP(C861,DMSP!$A$1:$C$39,3,0)</f>
        <v>ABAFAX 3.6</v>
      </c>
      <c r="F861" s="160">
        <f t="shared" si="89"/>
        <v>0</v>
      </c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62">
        <f t="shared" si="92"/>
        <v>0</v>
      </c>
      <c r="T861" s="167"/>
    </row>
    <row r="862" customHeight="1" spans="2:20">
      <c r="B862" s="166"/>
      <c r="C862" s="164">
        <f t="shared" si="91"/>
        <v>21</v>
      </c>
      <c r="D862" s="158" t="str">
        <f>VLOOKUP(C862,DMSP!$A$1:$C$39,2,0)</f>
        <v>6.BVTV</v>
      </c>
      <c r="E862" s="159" t="str">
        <f>VLOOKUP(C862,DMSP!$A$1:$C$39,3,0)</f>
        <v>AZET</v>
      </c>
      <c r="F862" s="160">
        <f t="shared" si="89"/>
        <v>0</v>
      </c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62">
        <f t="shared" si="92"/>
        <v>0</v>
      </c>
      <c r="T862" s="167"/>
    </row>
    <row r="863" customHeight="1" spans="2:20">
      <c r="B863" s="166"/>
      <c r="C863" s="164">
        <f t="shared" si="91"/>
        <v>22</v>
      </c>
      <c r="D863" s="158" t="str">
        <f>VLOOKUP(C863,DMSP!$A$1:$C$39,2,0)</f>
        <v>6.BVTV</v>
      </c>
      <c r="E863" s="159" t="str">
        <f>VLOOKUP(C863,DMSP!$A$1:$C$39,3,0)</f>
        <v>BACBA</v>
      </c>
      <c r="F863" s="160">
        <f t="shared" si="89"/>
        <v>0</v>
      </c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62">
        <f t="shared" si="92"/>
        <v>0</v>
      </c>
      <c r="T863" s="167"/>
    </row>
    <row r="864" customHeight="1" spans="2:20">
      <c r="B864" s="166"/>
      <c r="C864" s="164">
        <f t="shared" si="91"/>
        <v>23</v>
      </c>
      <c r="D864" s="158" t="str">
        <f>VLOOKUP(C864,DMSP!$A$1:$C$39,2,0)</f>
        <v>6.BVTV</v>
      </c>
      <c r="E864" s="159" t="str">
        <f>VLOOKUP(C864,DMSP!$A$1:$C$39,3,0)</f>
        <v>BIOROSAMIL</v>
      </c>
      <c r="F864" s="160">
        <f t="shared" si="89"/>
        <v>0</v>
      </c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62">
        <f t="shared" si="92"/>
        <v>0</v>
      </c>
      <c r="T864" s="167"/>
    </row>
    <row r="865" customHeight="1" spans="2:20">
      <c r="B865" s="166"/>
      <c r="C865" s="164">
        <f t="shared" si="91"/>
        <v>24</v>
      </c>
      <c r="D865" s="158" t="str">
        <f>VLOOKUP(C865,DMSP!$A$1:$C$39,2,0)</f>
        <v>6.BVTV</v>
      </c>
      <c r="E865" s="159" t="str">
        <f>VLOOKUP(C865,DMSP!$A$1:$C$39,3,0)</f>
        <v>COC 86</v>
      </c>
      <c r="F865" s="160">
        <f t="shared" si="89"/>
        <v>0</v>
      </c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62">
        <f t="shared" si="92"/>
        <v>0</v>
      </c>
      <c r="T865" s="167"/>
    </row>
    <row r="866" customHeight="1" spans="2:20">
      <c r="B866" s="166"/>
      <c r="C866" s="164">
        <f t="shared" si="91"/>
        <v>25</v>
      </c>
      <c r="D866" s="158" t="str">
        <f>VLOOKUP(C866,DMSP!$A$1:$C$39,2,0)</f>
        <v>6.BVTV</v>
      </c>
      <c r="E866" s="159" t="str">
        <f>VLOOKUP(C866,DMSP!$A$1:$C$39,3,0)</f>
        <v>HEXA 5</v>
      </c>
      <c r="F866" s="160">
        <f t="shared" si="89"/>
        <v>0</v>
      </c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62">
        <f t="shared" si="92"/>
        <v>0</v>
      </c>
      <c r="T866" s="167"/>
    </row>
    <row r="867" customHeight="1" spans="2:20">
      <c r="B867" s="166"/>
      <c r="C867" s="164">
        <f t="shared" si="91"/>
        <v>26</v>
      </c>
      <c r="D867" s="158" t="str">
        <f>VLOOKUP(C867,DMSP!$A$1:$C$39,2,0)</f>
        <v>6.BVTV</v>
      </c>
      <c r="E867" s="159" t="str">
        <f>VLOOKUP(C867,DMSP!$A$1:$C$39,3,0)</f>
        <v>TAMALA</v>
      </c>
      <c r="F867" s="160">
        <f t="shared" si="89"/>
        <v>0</v>
      </c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62">
        <f t="shared" si="92"/>
        <v>0</v>
      </c>
      <c r="T867" s="167"/>
    </row>
    <row r="868" customHeight="1" spans="2:20">
      <c r="B868" s="166"/>
      <c r="C868" s="164">
        <f t="shared" si="91"/>
        <v>27</v>
      </c>
      <c r="D868" s="158" t="str">
        <f>VLOOKUP(C868,DMSP!$A$1:$C$39,2,0)</f>
        <v>7.KHÁC</v>
      </c>
      <c r="E868" s="159" t="str">
        <f>VLOOKUP(C868,DMSP!$A$1:$C$39,3,0)</f>
        <v>KẼM VÀNG</v>
      </c>
      <c r="F868" s="160">
        <f t="shared" si="89"/>
        <v>0</v>
      </c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62">
        <f t="shared" si="92"/>
        <v>0</v>
      </c>
      <c r="T868" s="167"/>
    </row>
    <row r="869" customHeight="1" spans="2:20">
      <c r="B869" s="166"/>
      <c r="C869" s="164">
        <f t="shared" si="91"/>
        <v>28</v>
      </c>
      <c r="D869" s="158" t="str">
        <f>VLOOKUP(C869,DMSP!$A$1:$C$39,2,0)</f>
        <v>7.KHÁC</v>
      </c>
      <c r="E869" s="159" t="str">
        <f>VLOOKUP(C869,DMSP!$A$1:$C$39,3,0)</f>
        <v>KHÁC1</v>
      </c>
      <c r="F869" s="160">
        <f t="shared" si="89"/>
        <v>0</v>
      </c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62">
        <f t="shared" si="92"/>
        <v>0</v>
      </c>
      <c r="T869" s="167"/>
    </row>
    <row r="870" customHeight="1" spans="2:20">
      <c r="B870" s="166"/>
      <c r="C870" s="164">
        <f t="shared" si="91"/>
        <v>29</v>
      </c>
      <c r="D870" s="158" t="str">
        <f>VLOOKUP(C870,DMSP!$A$1:$C$39,2,0)</f>
        <v>7.KHÁC</v>
      </c>
      <c r="E870" s="169" t="s">
        <v>13</v>
      </c>
      <c r="F870" s="160">
        <f t="shared" si="89"/>
        <v>0</v>
      </c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62">
        <f t="shared" si="92"/>
        <v>0</v>
      </c>
      <c r="T870" s="167"/>
    </row>
    <row r="871" customHeight="1" spans="2:20">
      <c r="B871" s="166"/>
      <c r="C871" s="164">
        <f t="shared" si="91"/>
        <v>30</v>
      </c>
      <c r="D871" s="158" t="str">
        <f>VLOOKUP(C871,DMSP!$A$1:$C$39,2,0)</f>
        <v>7.KHÁC</v>
      </c>
      <c r="E871" s="159" t="str">
        <f>VLOOKUP(C871,DMSP!$A$1:$C$39,3,0)</f>
        <v>RỬA RONG RÊU</v>
      </c>
      <c r="F871" s="160">
        <f t="shared" si="89"/>
        <v>0</v>
      </c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62">
        <f t="shared" si="92"/>
        <v>0</v>
      </c>
      <c r="T871" s="167"/>
    </row>
    <row r="872" customHeight="1" spans="2:20">
      <c r="B872" s="166"/>
      <c r="C872" s="164">
        <f t="shared" si="91"/>
        <v>31</v>
      </c>
      <c r="D872" s="158" t="str">
        <f>VLOOKUP(C872,DMSP!$A$1:$C$39,2,0)</f>
        <v>7.KHÁC</v>
      </c>
      <c r="E872" s="159" t="str">
        <f>VLOOKUP(C872,DMSP!$A$1:$C$39,3,0)</f>
        <v>TB BO</v>
      </c>
      <c r="F872" s="160">
        <f t="shared" si="89"/>
        <v>0</v>
      </c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62">
        <f t="shared" si="92"/>
        <v>0</v>
      </c>
      <c r="T872" s="167"/>
    </row>
    <row r="873" customHeight="1" spans="2:20">
      <c r="B873" s="166"/>
      <c r="C873" s="164">
        <f t="shared" si="91"/>
        <v>32</v>
      </c>
      <c r="D873" s="158" t="str">
        <f>VLOOKUP(C873,DMSP!$A$1:$C$39,2,0)</f>
        <v>7.KHÁC</v>
      </c>
      <c r="E873" s="159" t="str">
        <f>VLOOKUP(C873,DMSP!$A$1:$C$39,3,0)</f>
        <v>TB FRUIT</v>
      </c>
      <c r="F873" s="160">
        <f t="shared" si="89"/>
        <v>0</v>
      </c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62">
        <f t="shared" si="92"/>
        <v>0</v>
      </c>
      <c r="T873" s="167"/>
    </row>
    <row r="874" customHeight="1" spans="2:20">
      <c r="B874" s="166"/>
      <c r="C874" s="164">
        <f t="shared" si="91"/>
        <v>33</v>
      </c>
      <c r="D874" s="158" t="str">
        <f>VLOOKUP(C874,DMSP!$A$1:$C$39,2,0)</f>
        <v>7.KHÁC</v>
      </c>
      <c r="E874" s="159" t="str">
        <f>VLOOKUP(C874,DMSP!$A$1:$C$39,3,0)</f>
        <v>TB PHOS</v>
      </c>
      <c r="F874" s="160">
        <f t="shared" si="89"/>
        <v>0</v>
      </c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62">
        <f t="shared" si="92"/>
        <v>0</v>
      </c>
      <c r="T874" s="167"/>
    </row>
    <row r="875" customHeight="1" spans="2:20">
      <c r="B875" s="166"/>
      <c r="C875" s="164">
        <f t="shared" si="91"/>
        <v>34</v>
      </c>
      <c r="D875" s="158" t="str">
        <f>VLOOKUP(C875,DMSP!$A$1:$C$39,2,0)</f>
        <v>7.KHÁC</v>
      </c>
      <c r="E875" s="159" t="str">
        <f>VLOOKUP(C875,DMSP!$A$1:$C$39,3,0)</f>
        <v>TOBA BÁM DÍNH</v>
      </c>
      <c r="F875" s="160">
        <f t="shared" si="89"/>
        <v>0</v>
      </c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62">
        <f t="shared" si="92"/>
        <v>0</v>
      </c>
      <c r="T875" s="167"/>
    </row>
    <row r="876" customHeight="1" spans="2:20">
      <c r="B876" s="166"/>
      <c r="C876" s="164">
        <f t="shared" si="91"/>
        <v>35</v>
      </c>
      <c r="D876" s="158" t="str">
        <f>VLOOKUP(C876,DMSP!$A$1:$C$39,2,0)</f>
        <v>7.KHÁC</v>
      </c>
      <c r="E876" s="159" t="str">
        <f>VLOOKUP(C876,DMSP!$A$1:$C$39,3,0)</f>
        <v>VỌT HOA NHÃN</v>
      </c>
      <c r="F876" s="160">
        <f t="shared" si="89"/>
        <v>0</v>
      </c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62">
        <f t="shared" si="92"/>
        <v>0</v>
      </c>
      <c r="T876" s="167"/>
    </row>
    <row r="877" customHeight="1" spans="2:20">
      <c r="B877" s="166"/>
      <c r="C877" s="164">
        <f t="shared" si="91"/>
        <v>36</v>
      </c>
      <c r="D877" s="158" t="str">
        <f>VLOOKUP(C877,DMSP!$A$1:$C$39,2,0)</f>
        <v>7.KHÁC</v>
      </c>
      <c r="E877" s="159" t="str">
        <f>VLOOKUP(C877,DMSP!$A$1:$C$39,3,0)</f>
        <v>VỌT HOA XOÀI</v>
      </c>
      <c r="F877" s="160">
        <f t="shared" si="89"/>
        <v>0</v>
      </c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62">
        <f t="shared" si="92"/>
        <v>0</v>
      </c>
      <c r="T877" s="167"/>
    </row>
    <row r="878" customHeight="1" spans="2:20">
      <c r="B878" s="166"/>
      <c r="C878" s="164">
        <f t="shared" si="91"/>
        <v>37</v>
      </c>
      <c r="D878" s="158" t="str">
        <f>VLOOKUP(C878,DMSP!$A$1:$C$39,2,0)</f>
        <v>7.KHÁC</v>
      </c>
      <c r="E878" s="159" t="str">
        <f>VLOOKUP(C878,DMSP!$A$1:$C$39,3,0)</f>
        <v>VỌT HOA XOÀI</v>
      </c>
      <c r="F878" s="160">
        <f t="shared" si="89"/>
        <v>0</v>
      </c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62">
        <f t="shared" si="92"/>
        <v>0</v>
      </c>
      <c r="T878" s="167"/>
    </row>
    <row r="879" customHeight="1" spans="2:20">
      <c r="B879" s="92"/>
      <c r="C879" s="170">
        <f>B842</f>
        <v>0</v>
      </c>
      <c r="D879" s="171"/>
      <c r="E879" s="172" t="str">
        <f>"TOTAL "&amp;B842</f>
        <v>TOTAL </v>
      </c>
      <c r="F879" s="173">
        <f t="shared" si="89"/>
        <v>0</v>
      </c>
      <c r="G879" s="174">
        <f>SUM(G842:G878)</f>
        <v>0</v>
      </c>
      <c r="H879" s="174">
        <f t="shared" ref="H879:R879" si="93">SUM(H842:H878)</f>
        <v>0</v>
      </c>
      <c r="I879" s="174">
        <f t="shared" si="93"/>
        <v>0</v>
      </c>
      <c r="J879" s="174">
        <f t="shared" si="93"/>
        <v>0</v>
      </c>
      <c r="K879" s="174">
        <f t="shared" si="93"/>
        <v>0</v>
      </c>
      <c r="L879" s="174">
        <f t="shared" si="93"/>
        <v>0</v>
      </c>
      <c r="M879" s="174">
        <f t="shared" si="93"/>
        <v>0</v>
      </c>
      <c r="N879" s="174">
        <f t="shared" si="93"/>
        <v>0</v>
      </c>
      <c r="O879" s="174">
        <f t="shared" si="93"/>
        <v>0</v>
      </c>
      <c r="P879" s="174">
        <f t="shared" si="93"/>
        <v>0</v>
      </c>
      <c r="Q879" s="174">
        <f t="shared" si="93"/>
        <v>0</v>
      </c>
      <c r="R879" s="174">
        <f t="shared" si="93"/>
        <v>0</v>
      </c>
      <c r="S879" s="174">
        <f t="shared" si="92"/>
        <v>0</v>
      </c>
      <c r="T879" s="175"/>
    </row>
    <row r="880" customHeight="1" spans="2:20">
      <c r="B880" s="156"/>
      <c r="C880" s="157">
        <v>1</v>
      </c>
      <c r="D880" s="158" t="str">
        <f>VLOOKUP(C880,DMSP!$A$1:$C$39,2,0)</f>
        <v>1.TOBA XANH</v>
      </c>
      <c r="E880" s="159" t="str">
        <f>VLOOKUP(C880,DMSP!$A$1:$C$39,3,0)</f>
        <v>TOBA XANH</v>
      </c>
      <c r="F880" s="160">
        <f t="shared" si="89"/>
        <v>0</v>
      </c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62">
        <f t="shared" si="92"/>
        <v>0</v>
      </c>
      <c r="T880" s="163">
        <f>S917</f>
        <v>0</v>
      </c>
    </row>
    <row r="881" customHeight="1" spans="2:20">
      <c r="B881" s="166"/>
      <c r="C881" s="164">
        <f t="shared" ref="C881:C916" si="94">C880+1</f>
        <v>2</v>
      </c>
      <c r="D881" s="158" t="str">
        <f>VLOOKUP(C881,DMSP!$A$1:$C$39,2,0)</f>
        <v>2.HC</v>
      </c>
      <c r="E881" s="159" t="str">
        <f>VLOOKUP(C881,DMSP!$A$1:$C$39,3,0)</f>
        <v>HC BOOSTER</v>
      </c>
      <c r="F881" s="160">
        <f t="shared" si="89"/>
        <v>0</v>
      </c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62">
        <f t="shared" ref="S881:S918" si="95">SUM(G881:R881)</f>
        <v>0</v>
      </c>
      <c r="T881" s="167"/>
    </row>
    <row r="882" customHeight="1" spans="2:20">
      <c r="B882" s="166"/>
      <c r="C882" s="164">
        <f t="shared" si="94"/>
        <v>3</v>
      </c>
      <c r="D882" s="158" t="str">
        <f>VLOOKUP(C882,DMSP!$A$1:$C$39,2,0)</f>
        <v>2.HC</v>
      </c>
      <c r="E882" s="159" t="str">
        <f>VLOOKUP(C882,DMSP!$A$1:$C$39,3,0)</f>
        <v>HC KING-ROOT</v>
      </c>
      <c r="F882" s="160">
        <f t="shared" si="89"/>
        <v>0</v>
      </c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62">
        <f t="shared" si="95"/>
        <v>0</v>
      </c>
      <c r="T882" s="167"/>
    </row>
    <row r="883" customHeight="1" spans="2:20">
      <c r="B883" s="166"/>
      <c r="C883" s="164">
        <f t="shared" si="94"/>
        <v>4</v>
      </c>
      <c r="D883" s="158" t="str">
        <f>VLOOKUP(C883,DMSP!$A$1:$C$39,2,0)</f>
        <v>2.HC</v>
      </c>
      <c r="E883" s="159" t="str">
        <f>VLOOKUP(C883,DMSP!$A$1:$C$39,3,0)</f>
        <v>HAPPY FARM</v>
      </c>
      <c r="F883" s="160">
        <f t="shared" si="89"/>
        <v>0</v>
      </c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62">
        <f t="shared" si="95"/>
        <v>0</v>
      </c>
      <c r="T883" s="167"/>
    </row>
    <row r="884" customHeight="1" spans="2:20">
      <c r="B884" s="166"/>
      <c r="C884" s="164">
        <f t="shared" si="94"/>
        <v>5</v>
      </c>
      <c r="D884" s="158" t="str">
        <f>VLOOKUP(C884,DMSP!$A$1:$C$39,2,0)</f>
        <v>2.HC</v>
      </c>
      <c r="E884" s="159" t="str">
        <f>VLOOKUP(C884,DMSP!$A$1:$C$39,3,0)</f>
        <v>WOW</v>
      </c>
      <c r="F884" s="160">
        <f t="shared" si="89"/>
        <v>0</v>
      </c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62">
        <f t="shared" si="95"/>
        <v>0</v>
      </c>
      <c r="T884" s="167"/>
    </row>
    <row r="885" customHeight="1" spans="2:20">
      <c r="B885" s="166"/>
      <c r="C885" s="164">
        <f t="shared" si="94"/>
        <v>6</v>
      </c>
      <c r="D885" s="158" t="str">
        <f>VLOOKUP(C885,DMSP!$A$1:$C$39,2,0)</f>
        <v>3.SPRAY </v>
      </c>
      <c r="E885" s="159" t="str">
        <f>VLOOKUP(C885,DMSP!$A$1:$C$39,3,0)</f>
        <v>KELPIT</v>
      </c>
      <c r="F885" s="160">
        <f t="shared" si="89"/>
        <v>0</v>
      </c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62">
        <f t="shared" si="95"/>
        <v>0</v>
      </c>
      <c r="T885" s="167"/>
    </row>
    <row r="886" customHeight="1" spans="2:20">
      <c r="B886" s="166"/>
      <c r="C886" s="164">
        <f t="shared" si="94"/>
        <v>7</v>
      </c>
      <c r="D886" s="158" t="str">
        <f>VLOOKUP(C886,DMSP!$A$1:$C$39,2,0)</f>
        <v>3.SPRAY </v>
      </c>
      <c r="E886" s="159" t="str">
        <f>VLOOKUP(C886,DMSP!$A$1:$C$39,3,0)</f>
        <v>SI-K</v>
      </c>
      <c r="F886" s="160">
        <f t="shared" si="89"/>
        <v>0</v>
      </c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62">
        <f t="shared" si="95"/>
        <v>0</v>
      </c>
      <c r="T886" s="167"/>
    </row>
    <row r="887" customHeight="1" spans="2:20">
      <c r="B887" s="166"/>
      <c r="C887" s="164">
        <f t="shared" si="94"/>
        <v>8</v>
      </c>
      <c r="D887" s="158" t="str">
        <f>VLOOKUP(C887,DMSP!$A$1:$C$39,2,0)</f>
        <v>3.SPRAY </v>
      </c>
      <c r="E887" s="159" t="str">
        <f>VLOOKUP(C887,DMSP!$A$1:$C$39,3,0)</f>
        <v>SPRAY PHOS 620</v>
      </c>
      <c r="F887" s="160">
        <f t="shared" si="89"/>
        <v>0</v>
      </c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62">
        <f t="shared" si="95"/>
        <v>0</v>
      </c>
      <c r="T887" s="167"/>
    </row>
    <row r="888" customHeight="1" spans="2:20">
      <c r="B888" s="166"/>
      <c r="C888" s="164">
        <f t="shared" si="94"/>
        <v>9</v>
      </c>
      <c r="D888" s="158" t="str">
        <f>VLOOKUP(C888,DMSP!$A$1:$C$39,2,0)</f>
        <v>4.DƯỠNG RỄ</v>
      </c>
      <c r="E888" s="159" t="str">
        <f>VLOOKUP(C888,DMSP!$A$1:$C$39,3,0)</f>
        <v>CHITOSAN</v>
      </c>
      <c r="F888" s="160">
        <f t="shared" si="89"/>
        <v>0</v>
      </c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62">
        <f t="shared" si="95"/>
        <v>0</v>
      </c>
      <c r="T888" s="167"/>
    </row>
    <row r="889" customHeight="1" spans="2:20">
      <c r="B889" s="166"/>
      <c r="C889" s="164">
        <f t="shared" si="94"/>
        <v>10</v>
      </c>
      <c r="D889" s="158" t="str">
        <f>VLOOKUP(C889,DMSP!$A$1:$C$39,2,0)</f>
        <v>4.DƯỠNG RỄ</v>
      </c>
      <c r="E889" s="159" t="str">
        <f>VLOOKUP(C889,DMSP!$A$1:$C$39,3,0)</f>
        <v>ĐẠM CÁ</v>
      </c>
      <c r="F889" s="160">
        <f t="shared" si="89"/>
        <v>0</v>
      </c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62">
        <f t="shared" si="95"/>
        <v>0</v>
      </c>
      <c r="T889" s="167"/>
    </row>
    <row r="890" customHeight="1" spans="2:20">
      <c r="B890" s="166"/>
      <c r="C890" s="164">
        <f t="shared" si="94"/>
        <v>11</v>
      </c>
      <c r="D890" s="158" t="str">
        <f>VLOOKUP(C890,DMSP!$A$1:$C$39,2,0)</f>
        <v>4.DƯỠNG RỄ</v>
      </c>
      <c r="E890" s="159" t="str">
        <f>VLOOKUP(C890,DMSP!$A$1:$C$39,3,0)</f>
        <v>ĐẠM TÔM</v>
      </c>
      <c r="F890" s="160">
        <f t="shared" si="89"/>
        <v>0</v>
      </c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62">
        <f t="shared" si="95"/>
        <v>0</v>
      </c>
      <c r="T890" s="167"/>
    </row>
    <row r="891" customHeight="1" spans="2:20">
      <c r="B891" s="166"/>
      <c r="C891" s="164">
        <f t="shared" si="94"/>
        <v>12</v>
      </c>
      <c r="D891" s="158" t="str">
        <f>VLOOKUP(C891,DMSP!$A$1:$C$39,2,0)</f>
        <v>4.DƯỠNG RỄ</v>
      </c>
      <c r="E891" s="159" t="str">
        <f>VLOOKUP(C891,DMSP!$A$1:$C$39,3,0)</f>
        <v>SUPERMIC</v>
      </c>
      <c r="F891" s="160">
        <f t="shared" si="89"/>
        <v>0</v>
      </c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62">
        <f t="shared" si="95"/>
        <v>0</v>
      </c>
      <c r="T891" s="167"/>
    </row>
    <row r="892" customHeight="1" spans="2:20">
      <c r="B892" s="166"/>
      <c r="C892" s="164">
        <f t="shared" si="94"/>
        <v>13</v>
      </c>
      <c r="D892" s="158" t="str">
        <f>VLOOKUP(C892,DMSP!$A$1:$C$39,2,0)</f>
        <v>5.TRUYỀN THỐNG</v>
      </c>
      <c r="E892" s="159" t="str">
        <f>VLOOKUP(C892,DMSP!$A$1:$C$39,3,0)</f>
        <v>CABO</v>
      </c>
      <c r="F892" s="160">
        <f t="shared" si="89"/>
        <v>0</v>
      </c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62">
        <f t="shared" si="95"/>
        <v>0</v>
      </c>
      <c r="T892" s="167"/>
    </row>
    <row r="893" customHeight="1" spans="2:20">
      <c r="B893" s="166"/>
      <c r="C893" s="164">
        <f t="shared" si="94"/>
        <v>14</v>
      </c>
      <c r="D893" s="158" t="str">
        <f>VLOOKUP(C893,DMSP!$A$1:$C$39,2,0)</f>
        <v>5.TRUYỀN THỐNG</v>
      </c>
      <c r="E893" s="159" t="str">
        <f>VLOOKUP(C893,DMSP!$A$1:$C$39,3,0)</f>
        <v>F94</v>
      </c>
      <c r="F893" s="160">
        <f t="shared" si="89"/>
        <v>0</v>
      </c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62">
        <f t="shared" si="95"/>
        <v>0</v>
      </c>
      <c r="T893" s="167"/>
    </row>
    <row r="894" customHeight="1" spans="2:20">
      <c r="B894" s="166"/>
      <c r="C894" s="164">
        <f t="shared" si="94"/>
        <v>15</v>
      </c>
      <c r="D894" s="158" t="str">
        <f>VLOOKUP(C894,DMSP!$A$1:$C$39,2,0)</f>
        <v>5.TRUYỀN THỐNG</v>
      </c>
      <c r="E894" s="159" t="str">
        <f>VLOOKUP(C894,DMSP!$A$1:$C$39,3,0)</f>
        <v>F95</v>
      </c>
      <c r="F894" s="160">
        <f t="shared" si="89"/>
        <v>0</v>
      </c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62">
        <f t="shared" si="95"/>
        <v>0</v>
      </c>
      <c r="T894" s="167"/>
    </row>
    <row r="895" customHeight="1" spans="2:20">
      <c r="B895" s="166"/>
      <c r="C895" s="164">
        <f t="shared" si="94"/>
        <v>16</v>
      </c>
      <c r="D895" s="158" t="str">
        <f>VLOOKUP(C895,DMSP!$A$1:$C$39,2,0)</f>
        <v>5.TRUYỀN THỐNG</v>
      </c>
      <c r="E895" s="159" t="str">
        <f>VLOOKUP(C895,DMSP!$A$1:$C$39,3,0)</f>
        <v>THIOURE</v>
      </c>
      <c r="F895" s="160">
        <f t="shared" si="89"/>
        <v>0</v>
      </c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62">
        <f t="shared" si="95"/>
        <v>0</v>
      </c>
      <c r="T895" s="167"/>
    </row>
    <row r="896" customHeight="1" spans="2:20">
      <c r="B896" s="166"/>
      <c r="C896" s="164">
        <f t="shared" si="94"/>
        <v>17</v>
      </c>
      <c r="D896" s="158" t="str">
        <f>VLOOKUP(C896,DMSP!$A$1:$C$39,2,0)</f>
        <v>5.TRUYỀN THỐNG</v>
      </c>
      <c r="E896" s="159" t="str">
        <f>VLOOKUP(C896,DMSP!$A$1:$C$39,3,0)</f>
        <v>TOBA JUM</v>
      </c>
      <c r="F896" s="160">
        <f t="shared" si="89"/>
        <v>0</v>
      </c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62">
        <f t="shared" si="95"/>
        <v>0</v>
      </c>
      <c r="T896" s="167"/>
    </row>
    <row r="897" customHeight="1" spans="2:20">
      <c r="B897" s="166"/>
      <c r="C897" s="164">
        <f t="shared" si="94"/>
        <v>18</v>
      </c>
      <c r="D897" s="158" t="str">
        <f>VLOOKUP(C897,DMSP!$A$1:$C$39,2,0)</f>
        <v>5.TRUYỀN THỐNG</v>
      </c>
      <c r="E897" s="159" t="str">
        <f>VLOOKUP(C897,DMSP!$A$1:$C$39,3,0)</f>
        <v>TOBA NET</v>
      </c>
      <c r="F897" s="160">
        <f t="shared" si="89"/>
        <v>0</v>
      </c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62">
        <f t="shared" si="95"/>
        <v>0</v>
      </c>
      <c r="T897" s="167"/>
    </row>
    <row r="898" customHeight="1" spans="2:20">
      <c r="B898" s="166"/>
      <c r="C898" s="164">
        <f t="shared" si="94"/>
        <v>19</v>
      </c>
      <c r="D898" s="158" t="str">
        <f>VLOOKUP(C898,DMSP!$A$1:$C$39,2,0)</f>
        <v>6.BVTV</v>
      </c>
      <c r="E898" s="159" t="str">
        <f>VLOOKUP(C898,DMSP!$A$1:$C$39,3,0)</f>
        <v>ABAFAX 1.8</v>
      </c>
      <c r="F898" s="160">
        <f t="shared" si="89"/>
        <v>0</v>
      </c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62">
        <f t="shared" si="95"/>
        <v>0</v>
      </c>
      <c r="T898" s="167"/>
    </row>
    <row r="899" customHeight="1" spans="2:20">
      <c r="B899" s="166"/>
      <c r="C899" s="164">
        <f t="shared" si="94"/>
        <v>20</v>
      </c>
      <c r="D899" s="158" t="str">
        <f>VLOOKUP(C899,DMSP!$A$1:$C$39,2,0)</f>
        <v>6.BVTV</v>
      </c>
      <c r="E899" s="159" t="str">
        <f>VLOOKUP(C899,DMSP!$A$1:$C$39,3,0)</f>
        <v>ABAFAX 3.6</v>
      </c>
      <c r="F899" s="160">
        <f t="shared" si="89"/>
        <v>0</v>
      </c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62">
        <f t="shared" si="95"/>
        <v>0</v>
      </c>
      <c r="T899" s="167"/>
    </row>
    <row r="900" customHeight="1" spans="2:20">
      <c r="B900" s="166"/>
      <c r="C900" s="164">
        <f t="shared" si="94"/>
        <v>21</v>
      </c>
      <c r="D900" s="158" t="str">
        <f>VLOOKUP(C900,DMSP!$A$1:$C$39,2,0)</f>
        <v>6.BVTV</v>
      </c>
      <c r="E900" s="159" t="str">
        <f>VLOOKUP(C900,DMSP!$A$1:$C$39,3,0)</f>
        <v>AZET</v>
      </c>
      <c r="F900" s="160">
        <f t="shared" si="89"/>
        <v>0</v>
      </c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62">
        <f t="shared" si="95"/>
        <v>0</v>
      </c>
      <c r="T900" s="167"/>
    </row>
    <row r="901" customHeight="1" spans="2:20">
      <c r="B901" s="166"/>
      <c r="C901" s="164">
        <f t="shared" si="94"/>
        <v>22</v>
      </c>
      <c r="D901" s="158" t="str">
        <f>VLOOKUP(C901,DMSP!$A$1:$C$39,2,0)</f>
        <v>6.BVTV</v>
      </c>
      <c r="E901" s="159" t="str">
        <f>VLOOKUP(C901,DMSP!$A$1:$C$39,3,0)</f>
        <v>BACBA</v>
      </c>
      <c r="F901" s="160">
        <f t="shared" si="89"/>
        <v>0</v>
      </c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62">
        <f t="shared" si="95"/>
        <v>0</v>
      </c>
      <c r="T901" s="167"/>
    </row>
    <row r="902" customHeight="1" spans="2:20">
      <c r="B902" s="166"/>
      <c r="C902" s="164">
        <f t="shared" si="94"/>
        <v>23</v>
      </c>
      <c r="D902" s="158" t="str">
        <f>VLOOKUP(C902,DMSP!$A$1:$C$39,2,0)</f>
        <v>6.BVTV</v>
      </c>
      <c r="E902" s="159" t="str">
        <f>VLOOKUP(C902,DMSP!$A$1:$C$39,3,0)</f>
        <v>BIOROSAMIL</v>
      </c>
      <c r="F902" s="160">
        <f t="shared" si="89"/>
        <v>0</v>
      </c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62">
        <f t="shared" si="95"/>
        <v>0</v>
      </c>
      <c r="T902" s="167"/>
    </row>
    <row r="903" customHeight="1" spans="2:20">
      <c r="B903" s="166"/>
      <c r="C903" s="164">
        <f t="shared" si="94"/>
        <v>24</v>
      </c>
      <c r="D903" s="158" t="str">
        <f>VLOOKUP(C903,DMSP!$A$1:$C$39,2,0)</f>
        <v>6.BVTV</v>
      </c>
      <c r="E903" s="159" t="str">
        <f>VLOOKUP(C903,DMSP!$A$1:$C$39,3,0)</f>
        <v>COC 86</v>
      </c>
      <c r="F903" s="160">
        <f t="shared" ref="F903:F966" si="96">S903</f>
        <v>0</v>
      </c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62">
        <f t="shared" si="95"/>
        <v>0</v>
      </c>
      <c r="T903" s="167"/>
    </row>
    <row r="904" customHeight="1" spans="2:20">
      <c r="B904" s="166"/>
      <c r="C904" s="164">
        <f t="shared" si="94"/>
        <v>25</v>
      </c>
      <c r="D904" s="158" t="str">
        <f>VLOOKUP(C904,DMSP!$A$1:$C$39,2,0)</f>
        <v>6.BVTV</v>
      </c>
      <c r="E904" s="159" t="str">
        <f>VLOOKUP(C904,DMSP!$A$1:$C$39,3,0)</f>
        <v>HEXA 5</v>
      </c>
      <c r="F904" s="160">
        <f t="shared" si="96"/>
        <v>0</v>
      </c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62">
        <f t="shared" si="95"/>
        <v>0</v>
      </c>
      <c r="T904" s="167"/>
    </row>
    <row r="905" customHeight="1" spans="2:20">
      <c r="B905" s="166"/>
      <c r="C905" s="164">
        <f t="shared" si="94"/>
        <v>26</v>
      </c>
      <c r="D905" s="158" t="str">
        <f>VLOOKUP(C905,DMSP!$A$1:$C$39,2,0)</f>
        <v>6.BVTV</v>
      </c>
      <c r="E905" s="159" t="str">
        <f>VLOOKUP(C905,DMSP!$A$1:$C$39,3,0)</f>
        <v>TAMALA</v>
      </c>
      <c r="F905" s="160">
        <f t="shared" si="96"/>
        <v>0</v>
      </c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62">
        <f t="shared" si="95"/>
        <v>0</v>
      </c>
      <c r="T905" s="167"/>
    </row>
    <row r="906" customHeight="1" spans="2:20">
      <c r="B906" s="166"/>
      <c r="C906" s="164">
        <f t="shared" si="94"/>
        <v>27</v>
      </c>
      <c r="D906" s="158" t="str">
        <f>VLOOKUP(C906,DMSP!$A$1:$C$39,2,0)</f>
        <v>7.KHÁC</v>
      </c>
      <c r="E906" s="159" t="str">
        <f>VLOOKUP(C906,DMSP!$A$1:$C$39,3,0)</f>
        <v>KẼM VÀNG</v>
      </c>
      <c r="F906" s="160">
        <f t="shared" si="96"/>
        <v>0</v>
      </c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62">
        <f t="shared" si="95"/>
        <v>0</v>
      </c>
      <c r="T906" s="167"/>
    </row>
    <row r="907" customHeight="1" spans="2:20">
      <c r="B907" s="166"/>
      <c r="C907" s="164">
        <f t="shared" si="94"/>
        <v>28</v>
      </c>
      <c r="D907" s="158" t="str">
        <f>VLOOKUP(C907,DMSP!$A$1:$C$39,2,0)</f>
        <v>7.KHÁC</v>
      </c>
      <c r="E907" s="159" t="str">
        <f>VLOOKUP(C907,DMSP!$A$1:$C$39,3,0)</f>
        <v>KHÁC1</v>
      </c>
      <c r="F907" s="160">
        <f t="shared" si="96"/>
        <v>0</v>
      </c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62">
        <f t="shared" si="95"/>
        <v>0</v>
      </c>
      <c r="T907" s="167"/>
    </row>
    <row r="908" customHeight="1" spans="2:20">
      <c r="B908" s="166"/>
      <c r="C908" s="164">
        <f t="shared" si="94"/>
        <v>29</v>
      </c>
      <c r="D908" s="158" t="str">
        <f>VLOOKUP(C908,DMSP!$A$1:$C$39,2,0)</f>
        <v>7.KHÁC</v>
      </c>
      <c r="E908" s="169" t="s">
        <v>13</v>
      </c>
      <c r="F908" s="160">
        <f t="shared" si="96"/>
        <v>0</v>
      </c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62">
        <f t="shared" si="95"/>
        <v>0</v>
      </c>
      <c r="T908" s="167"/>
    </row>
    <row r="909" customHeight="1" spans="2:20">
      <c r="B909" s="166"/>
      <c r="C909" s="164">
        <f t="shared" si="94"/>
        <v>30</v>
      </c>
      <c r="D909" s="158" t="str">
        <f>VLOOKUP(C909,DMSP!$A$1:$C$39,2,0)</f>
        <v>7.KHÁC</v>
      </c>
      <c r="E909" s="159" t="str">
        <f>VLOOKUP(C909,DMSP!$A$1:$C$39,3,0)</f>
        <v>RỬA RONG RÊU</v>
      </c>
      <c r="F909" s="160">
        <f t="shared" si="96"/>
        <v>0</v>
      </c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62">
        <f t="shared" si="95"/>
        <v>0</v>
      </c>
      <c r="T909" s="167"/>
    </row>
    <row r="910" customHeight="1" spans="2:20">
      <c r="B910" s="166"/>
      <c r="C910" s="164">
        <f t="shared" si="94"/>
        <v>31</v>
      </c>
      <c r="D910" s="158" t="str">
        <f>VLOOKUP(C910,DMSP!$A$1:$C$39,2,0)</f>
        <v>7.KHÁC</v>
      </c>
      <c r="E910" s="159" t="str">
        <f>VLOOKUP(C910,DMSP!$A$1:$C$39,3,0)</f>
        <v>TB BO</v>
      </c>
      <c r="F910" s="160">
        <f t="shared" si="96"/>
        <v>0</v>
      </c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62">
        <f t="shared" si="95"/>
        <v>0</v>
      </c>
      <c r="T910" s="167"/>
    </row>
    <row r="911" customHeight="1" spans="2:20">
      <c r="B911" s="166"/>
      <c r="C911" s="164">
        <f t="shared" si="94"/>
        <v>32</v>
      </c>
      <c r="D911" s="158" t="str">
        <f>VLOOKUP(C911,DMSP!$A$1:$C$39,2,0)</f>
        <v>7.KHÁC</v>
      </c>
      <c r="E911" s="159" t="str">
        <f>VLOOKUP(C911,DMSP!$A$1:$C$39,3,0)</f>
        <v>TB FRUIT</v>
      </c>
      <c r="F911" s="160">
        <f t="shared" si="96"/>
        <v>0</v>
      </c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62">
        <f t="shared" si="95"/>
        <v>0</v>
      </c>
      <c r="T911" s="167"/>
    </row>
    <row r="912" customHeight="1" spans="2:20">
      <c r="B912" s="166"/>
      <c r="C912" s="164">
        <f t="shared" si="94"/>
        <v>33</v>
      </c>
      <c r="D912" s="158" t="str">
        <f>VLOOKUP(C912,DMSP!$A$1:$C$39,2,0)</f>
        <v>7.KHÁC</v>
      </c>
      <c r="E912" s="159" t="str">
        <f>VLOOKUP(C912,DMSP!$A$1:$C$39,3,0)</f>
        <v>TB PHOS</v>
      </c>
      <c r="F912" s="160">
        <f t="shared" si="96"/>
        <v>0</v>
      </c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62">
        <f t="shared" si="95"/>
        <v>0</v>
      </c>
      <c r="T912" s="167"/>
    </row>
    <row r="913" customHeight="1" spans="2:20">
      <c r="B913" s="166"/>
      <c r="C913" s="164">
        <f t="shared" si="94"/>
        <v>34</v>
      </c>
      <c r="D913" s="158" t="str">
        <f>VLOOKUP(C913,DMSP!$A$1:$C$39,2,0)</f>
        <v>7.KHÁC</v>
      </c>
      <c r="E913" s="159" t="str">
        <f>VLOOKUP(C913,DMSP!$A$1:$C$39,3,0)</f>
        <v>TOBA BÁM DÍNH</v>
      </c>
      <c r="F913" s="160">
        <f t="shared" si="96"/>
        <v>0</v>
      </c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62">
        <f t="shared" si="95"/>
        <v>0</v>
      </c>
      <c r="T913" s="167"/>
    </row>
    <row r="914" customHeight="1" spans="2:20">
      <c r="B914" s="166"/>
      <c r="C914" s="164">
        <f t="shared" si="94"/>
        <v>35</v>
      </c>
      <c r="D914" s="158" t="str">
        <f>VLOOKUP(C914,DMSP!$A$1:$C$39,2,0)</f>
        <v>7.KHÁC</v>
      </c>
      <c r="E914" s="159" t="str">
        <f>VLOOKUP(C914,DMSP!$A$1:$C$39,3,0)</f>
        <v>VỌT HOA NHÃN</v>
      </c>
      <c r="F914" s="160">
        <f t="shared" si="96"/>
        <v>0</v>
      </c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62">
        <f t="shared" si="95"/>
        <v>0</v>
      </c>
      <c r="T914" s="167"/>
    </row>
    <row r="915" customHeight="1" spans="2:20">
      <c r="B915" s="166"/>
      <c r="C915" s="164">
        <f t="shared" si="94"/>
        <v>36</v>
      </c>
      <c r="D915" s="158" t="str">
        <f>VLOOKUP(C915,DMSP!$A$1:$C$39,2,0)</f>
        <v>7.KHÁC</v>
      </c>
      <c r="E915" s="159" t="str">
        <f>VLOOKUP(C915,DMSP!$A$1:$C$39,3,0)</f>
        <v>VỌT HOA XOÀI</v>
      </c>
      <c r="F915" s="160">
        <f t="shared" si="96"/>
        <v>0</v>
      </c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62">
        <f t="shared" si="95"/>
        <v>0</v>
      </c>
      <c r="T915" s="167"/>
    </row>
    <row r="916" customHeight="1" spans="2:20">
      <c r="B916" s="166"/>
      <c r="C916" s="164">
        <f t="shared" si="94"/>
        <v>37</v>
      </c>
      <c r="D916" s="158" t="str">
        <f>VLOOKUP(C916,DMSP!$A$1:$C$39,2,0)</f>
        <v>7.KHÁC</v>
      </c>
      <c r="E916" s="159" t="str">
        <f>VLOOKUP(C916,DMSP!$A$1:$C$39,3,0)</f>
        <v>VỌT HOA XOÀI</v>
      </c>
      <c r="F916" s="160">
        <f t="shared" si="96"/>
        <v>0</v>
      </c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62">
        <f t="shared" si="95"/>
        <v>0</v>
      </c>
      <c r="T916" s="167"/>
    </row>
    <row r="917" customHeight="1" spans="2:20">
      <c r="B917" s="92"/>
      <c r="C917" s="170">
        <f>B880</f>
        <v>0</v>
      </c>
      <c r="D917" s="171"/>
      <c r="E917" s="172" t="str">
        <f>"TOTAL "&amp;B880</f>
        <v>TOTAL </v>
      </c>
      <c r="F917" s="173">
        <f t="shared" si="96"/>
        <v>0</v>
      </c>
      <c r="G917" s="174">
        <f>SUM(G880:G916)</f>
        <v>0</v>
      </c>
      <c r="H917" s="174">
        <f t="shared" ref="H917:R917" si="97">SUM(H880:H916)</f>
        <v>0</v>
      </c>
      <c r="I917" s="174">
        <f t="shared" si="97"/>
        <v>0</v>
      </c>
      <c r="J917" s="174">
        <f t="shared" si="97"/>
        <v>0</v>
      </c>
      <c r="K917" s="174">
        <f t="shared" si="97"/>
        <v>0</v>
      </c>
      <c r="L917" s="174">
        <f t="shared" si="97"/>
        <v>0</v>
      </c>
      <c r="M917" s="174">
        <f t="shared" si="97"/>
        <v>0</v>
      </c>
      <c r="N917" s="174">
        <f t="shared" si="97"/>
        <v>0</v>
      </c>
      <c r="O917" s="174">
        <f t="shared" si="97"/>
        <v>0</v>
      </c>
      <c r="P917" s="174">
        <f t="shared" si="97"/>
        <v>0</v>
      </c>
      <c r="Q917" s="174">
        <f t="shared" si="97"/>
        <v>0</v>
      </c>
      <c r="R917" s="174">
        <f t="shared" si="97"/>
        <v>0</v>
      </c>
      <c r="S917" s="174">
        <f t="shared" si="95"/>
        <v>0</v>
      </c>
      <c r="T917" s="175"/>
    </row>
    <row r="918" customHeight="1" spans="2:20">
      <c r="B918" s="156"/>
      <c r="C918" s="157">
        <v>1</v>
      </c>
      <c r="D918" s="158" t="str">
        <f>VLOOKUP(C918,DMSP!$A$1:$C$39,2,0)</f>
        <v>1.TOBA XANH</v>
      </c>
      <c r="E918" s="159" t="str">
        <f>VLOOKUP(C918,DMSP!$A$1:$C$39,3,0)</f>
        <v>TOBA XANH</v>
      </c>
      <c r="F918" s="160">
        <f t="shared" si="96"/>
        <v>0</v>
      </c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62">
        <f t="shared" si="95"/>
        <v>0</v>
      </c>
      <c r="T918" s="163">
        <f>S955</f>
        <v>0</v>
      </c>
    </row>
    <row r="919" customHeight="1" spans="2:20">
      <c r="B919" s="166"/>
      <c r="C919" s="164">
        <f t="shared" ref="C919:C954" si="98">C918+1</f>
        <v>2</v>
      </c>
      <c r="D919" s="158" t="str">
        <f>VLOOKUP(C919,DMSP!$A$1:$C$39,2,0)</f>
        <v>2.HC</v>
      </c>
      <c r="E919" s="159" t="str">
        <f>VLOOKUP(C919,DMSP!$A$1:$C$39,3,0)</f>
        <v>HC BOOSTER</v>
      </c>
      <c r="F919" s="160">
        <f t="shared" si="96"/>
        <v>0</v>
      </c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62">
        <f t="shared" ref="S919:S956" si="99">SUM(G919:R919)</f>
        <v>0</v>
      </c>
      <c r="T919" s="167"/>
    </row>
    <row r="920" customHeight="1" spans="2:20">
      <c r="B920" s="166"/>
      <c r="C920" s="164">
        <f t="shared" si="98"/>
        <v>3</v>
      </c>
      <c r="D920" s="158" t="str">
        <f>VLOOKUP(C920,DMSP!$A$1:$C$39,2,0)</f>
        <v>2.HC</v>
      </c>
      <c r="E920" s="159" t="str">
        <f>VLOOKUP(C920,DMSP!$A$1:$C$39,3,0)</f>
        <v>HC KING-ROOT</v>
      </c>
      <c r="F920" s="160">
        <f t="shared" si="96"/>
        <v>0</v>
      </c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62">
        <f t="shared" si="99"/>
        <v>0</v>
      </c>
      <c r="T920" s="167"/>
    </row>
    <row r="921" customHeight="1" spans="2:20">
      <c r="B921" s="166"/>
      <c r="C921" s="164">
        <f t="shared" si="98"/>
        <v>4</v>
      </c>
      <c r="D921" s="158" t="str">
        <f>VLOOKUP(C921,DMSP!$A$1:$C$39,2,0)</f>
        <v>2.HC</v>
      </c>
      <c r="E921" s="159" t="str">
        <f>VLOOKUP(C921,DMSP!$A$1:$C$39,3,0)</f>
        <v>HAPPY FARM</v>
      </c>
      <c r="F921" s="160">
        <f t="shared" si="96"/>
        <v>0</v>
      </c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62">
        <f t="shared" si="99"/>
        <v>0</v>
      </c>
      <c r="T921" s="167"/>
    </row>
    <row r="922" customHeight="1" spans="2:20">
      <c r="B922" s="166"/>
      <c r="C922" s="164">
        <f t="shared" si="98"/>
        <v>5</v>
      </c>
      <c r="D922" s="158" t="str">
        <f>VLOOKUP(C922,DMSP!$A$1:$C$39,2,0)</f>
        <v>2.HC</v>
      </c>
      <c r="E922" s="159" t="str">
        <f>VLOOKUP(C922,DMSP!$A$1:$C$39,3,0)</f>
        <v>WOW</v>
      </c>
      <c r="F922" s="160">
        <f t="shared" si="96"/>
        <v>0</v>
      </c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62">
        <f t="shared" si="99"/>
        <v>0</v>
      </c>
      <c r="T922" s="167"/>
    </row>
    <row r="923" customHeight="1" spans="2:20">
      <c r="B923" s="166"/>
      <c r="C923" s="164">
        <f t="shared" si="98"/>
        <v>6</v>
      </c>
      <c r="D923" s="158" t="str">
        <f>VLOOKUP(C923,DMSP!$A$1:$C$39,2,0)</f>
        <v>3.SPRAY </v>
      </c>
      <c r="E923" s="159" t="str">
        <f>VLOOKUP(C923,DMSP!$A$1:$C$39,3,0)</f>
        <v>KELPIT</v>
      </c>
      <c r="F923" s="160">
        <f t="shared" si="96"/>
        <v>0</v>
      </c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62">
        <f t="shared" si="99"/>
        <v>0</v>
      </c>
      <c r="T923" s="167"/>
    </row>
    <row r="924" customHeight="1" spans="2:20">
      <c r="B924" s="166"/>
      <c r="C924" s="164">
        <f t="shared" si="98"/>
        <v>7</v>
      </c>
      <c r="D924" s="158" t="str">
        <f>VLOOKUP(C924,DMSP!$A$1:$C$39,2,0)</f>
        <v>3.SPRAY </v>
      </c>
      <c r="E924" s="159" t="str">
        <f>VLOOKUP(C924,DMSP!$A$1:$C$39,3,0)</f>
        <v>SI-K</v>
      </c>
      <c r="F924" s="160">
        <f t="shared" si="96"/>
        <v>0</v>
      </c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62">
        <f t="shared" si="99"/>
        <v>0</v>
      </c>
      <c r="T924" s="167"/>
    </row>
    <row r="925" customHeight="1" spans="2:20">
      <c r="B925" s="166"/>
      <c r="C925" s="164">
        <f t="shared" si="98"/>
        <v>8</v>
      </c>
      <c r="D925" s="158" t="str">
        <f>VLOOKUP(C925,DMSP!$A$1:$C$39,2,0)</f>
        <v>3.SPRAY </v>
      </c>
      <c r="E925" s="159" t="str">
        <f>VLOOKUP(C925,DMSP!$A$1:$C$39,3,0)</f>
        <v>SPRAY PHOS 620</v>
      </c>
      <c r="F925" s="160">
        <f t="shared" si="96"/>
        <v>0</v>
      </c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62">
        <f t="shared" si="99"/>
        <v>0</v>
      </c>
      <c r="T925" s="167"/>
    </row>
    <row r="926" customHeight="1" spans="2:20">
      <c r="B926" s="166"/>
      <c r="C926" s="164">
        <f t="shared" si="98"/>
        <v>9</v>
      </c>
      <c r="D926" s="158" t="str">
        <f>VLOOKUP(C926,DMSP!$A$1:$C$39,2,0)</f>
        <v>4.DƯỠNG RỄ</v>
      </c>
      <c r="E926" s="159" t="str">
        <f>VLOOKUP(C926,DMSP!$A$1:$C$39,3,0)</f>
        <v>CHITOSAN</v>
      </c>
      <c r="F926" s="160">
        <f t="shared" si="96"/>
        <v>0</v>
      </c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62">
        <f t="shared" si="99"/>
        <v>0</v>
      </c>
      <c r="T926" s="167"/>
    </row>
    <row r="927" customHeight="1" spans="2:20">
      <c r="B927" s="166"/>
      <c r="C927" s="164">
        <f t="shared" si="98"/>
        <v>10</v>
      </c>
      <c r="D927" s="158" t="str">
        <f>VLOOKUP(C927,DMSP!$A$1:$C$39,2,0)</f>
        <v>4.DƯỠNG RỄ</v>
      </c>
      <c r="E927" s="159" t="str">
        <f>VLOOKUP(C927,DMSP!$A$1:$C$39,3,0)</f>
        <v>ĐẠM CÁ</v>
      </c>
      <c r="F927" s="160">
        <f t="shared" si="96"/>
        <v>0</v>
      </c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62">
        <f t="shared" si="99"/>
        <v>0</v>
      </c>
      <c r="T927" s="167"/>
    </row>
    <row r="928" customHeight="1" spans="2:20">
      <c r="B928" s="166"/>
      <c r="C928" s="164">
        <f t="shared" si="98"/>
        <v>11</v>
      </c>
      <c r="D928" s="158" t="str">
        <f>VLOOKUP(C928,DMSP!$A$1:$C$39,2,0)</f>
        <v>4.DƯỠNG RỄ</v>
      </c>
      <c r="E928" s="159" t="str">
        <f>VLOOKUP(C928,DMSP!$A$1:$C$39,3,0)</f>
        <v>ĐẠM TÔM</v>
      </c>
      <c r="F928" s="160">
        <f t="shared" si="96"/>
        <v>0</v>
      </c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62">
        <f t="shared" si="99"/>
        <v>0</v>
      </c>
      <c r="T928" s="167"/>
    </row>
    <row r="929" customHeight="1" spans="2:20">
      <c r="B929" s="166"/>
      <c r="C929" s="164">
        <f t="shared" si="98"/>
        <v>12</v>
      </c>
      <c r="D929" s="158" t="str">
        <f>VLOOKUP(C929,DMSP!$A$1:$C$39,2,0)</f>
        <v>4.DƯỠNG RỄ</v>
      </c>
      <c r="E929" s="159" t="str">
        <f>VLOOKUP(C929,DMSP!$A$1:$C$39,3,0)</f>
        <v>SUPERMIC</v>
      </c>
      <c r="F929" s="160">
        <f t="shared" si="96"/>
        <v>0</v>
      </c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62">
        <f t="shared" si="99"/>
        <v>0</v>
      </c>
      <c r="T929" s="167"/>
    </row>
    <row r="930" customHeight="1" spans="2:20">
      <c r="B930" s="166"/>
      <c r="C930" s="164">
        <f t="shared" si="98"/>
        <v>13</v>
      </c>
      <c r="D930" s="158" t="str">
        <f>VLOOKUP(C930,DMSP!$A$1:$C$39,2,0)</f>
        <v>5.TRUYỀN THỐNG</v>
      </c>
      <c r="E930" s="159" t="str">
        <f>VLOOKUP(C930,DMSP!$A$1:$C$39,3,0)</f>
        <v>CABO</v>
      </c>
      <c r="F930" s="160">
        <f t="shared" si="96"/>
        <v>0</v>
      </c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62">
        <f t="shared" si="99"/>
        <v>0</v>
      </c>
      <c r="T930" s="167"/>
    </row>
    <row r="931" customHeight="1" spans="2:20">
      <c r="B931" s="166"/>
      <c r="C931" s="164">
        <f t="shared" si="98"/>
        <v>14</v>
      </c>
      <c r="D931" s="158" t="str">
        <f>VLOOKUP(C931,DMSP!$A$1:$C$39,2,0)</f>
        <v>5.TRUYỀN THỐNG</v>
      </c>
      <c r="E931" s="159" t="str">
        <f>VLOOKUP(C931,DMSP!$A$1:$C$39,3,0)</f>
        <v>F94</v>
      </c>
      <c r="F931" s="160">
        <f t="shared" si="96"/>
        <v>0</v>
      </c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62">
        <f t="shared" si="99"/>
        <v>0</v>
      </c>
      <c r="T931" s="167"/>
    </row>
    <row r="932" customHeight="1" spans="2:20">
      <c r="B932" s="166"/>
      <c r="C932" s="164">
        <f t="shared" si="98"/>
        <v>15</v>
      </c>
      <c r="D932" s="158" t="str">
        <f>VLOOKUP(C932,DMSP!$A$1:$C$39,2,0)</f>
        <v>5.TRUYỀN THỐNG</v>
      </c>
      <c r="E932" s="159" t="str">
        <f>VLOOKUP(C932,DMSP!$A$1:$C$39,3,0)</f>
        <v>F95</v>
      </c>
      <c r="F932" s="160">
        <f t="shared" si="96"/>
        <v>0</v>
      </c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62">
        <f t="shared" si="99"/>
        <v>0</v>
      </c>
      <c r="T932" s="167"/>
    </row>
    <row r="933" customHeight="1" spans="2:20">
      <c r="B933" s="166"/>
      <c r="C933" s="164">
        <f t="shared" si="98"/>
        <v>16</v>
      </c>
      <c r="D933" s="158" t="str">
        <f>VLOOKUP(C933,DMSP!$A$1:$C$39,2,0)</f>
        <v>5.TRUYỀN THỐNG</v>
      </c>
      <c r="E933" s="159" t="str">
        <f>VLOOKUP(C933,DMSP!$A$1:$C$39,3,0)</f>
        <v>THIOURE</v>
      </c>
      <c r="F933" s="160">
        <f t="shared" si="96"/>
        <v>0</v>
      </c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62">
        <f t="shared" si="99"/>
        <v>0</v>
      </c>
      <c r="T933" s="167"/>
    </row>
    <row r="934" customHeight="1" spans="2:20">
      <c r="B934" s="166"/>
      <c r="C934" s="164">
        <f t="shared" si="98"/>
        <v>17</v>
      </c>
      <c r="D934" s="158" t="str">
        <f>VLOOKUP(C934,DMSP!$A$1:$C$39,2,0)</f>
        <v>5.TRUYỀN THỐNG</v>
      </c>
      <c r="E934" s="159" t="str">
        <f>VLOOKUP(C934,DMSP!$A$1:$C$39,3,0)</f>
        <v>TOBA JUM</v>
      </c>
      <c r="F934" s="160">
        <f t="shared" si="96"/>
        <v>0</v>
      </c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62">
        <f t="shared" si="99"/>
        <v>0</v>
      </c>
      <c r="T934" s="167"/>
    </row>
    <row r="935" customHeight="1" spans="2:20">
      <c r="B935" s="166"/>
      <c r="C935" s="164">
        <f t="shared" si="98"/>
        <v>18</v>
      </c>
      <c r="D935" s="158" t="str">
        <f>VLOOKUP(C935,DMSP!$A$1:$C$39,2,0)</f>
        <v>5.TRUYỀN THỐNG</v>
      </c>
      <c r="E935" s="159" t="str">
        <f>VLOOKUP(C935,DMSP!$A$1:$C$39,3,0)</f>
        <v>TOBA NET</v>
      </c>
      <c r="F935" s="160">
        <f t="shared" si="96"/>
        <v>0</v>
      </c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62">
        <f t="shared" si="99"/>
        <v>0</v>
      </c>
      <c r="T935" s="167"/>
    </row>
    <row r="936" customHeight="1" spans="2:20">
      <c r="B936" s="166"/>
      <c r="C936" s="164">
        <f t="shared" si="98"/>
        <v>19</v>
      </c>
      <c r="D936" s="158" t="str">
        <f>VLOOKUP(C936,DMSP!$A$1:$C$39,2,0)</f>
        <v>6.BVTV</v>
      </c>
      <c r="E936" s="159" t="str">
        <f>VLOOKUP(C936,DMSP!$A$1:$C$39,3,0)</f>
        <v>ABAFAX 1.8</v>
      </c>
      <c r="F936" s="160">
        <f t="shared" si="96"/>
        <v>0</v>
      </c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62">
        <f t="shared" si="99"/>
        <v>0</v>
      </c>
      <c r="T936" s="167"/>
    </row>
    <row r="937" customHeight="1" spans="2:20">
      <c r="B937" s="166"/>
      <c r="C937" s="164">
        <f t="shared" si="98"/>
        <v>20</v>
      </c>
      <c r="D937" s="158" t="str">
        <f>VLOOKUP(C937,DMSP!$A$1:$C$39,2,0)</f>
        <v>6.BVTV</v>
      </c>
      <c r="E937" s="159" t="str">
        <f>VLOOKUP(C937,DMSP!$A$1:$C$39,3,0)</f>
        <v>ABAFAX 3.6</v>
      </c>
      <c r="F937" s="160">
        <f t="shared" si="96"/>
        <v>0</v>
      </c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62">
        <f t="shared" si="99"/>
        <v>0</v>
      </c>
      <c r="T937" s="167"/>
    </row>
    <row r="938" customHeight="1" spans="2:20">
      <c r="B938" s="166"/>
      <c r="C938" s="164">
        <f t="shared" si="98"/>
        <v>21</v>
      </c>
      <c r="D938" s="158" t="str">
        <f>VLOOKUP(C938,DMSP!$A$1:$C$39,2,0)</f>
        <v>6.BVTV</v>
      </c>
      <c r="E938" s="159" t="str">
        <f>VLOOKUP(C938,DMSP!$A$1:$C$39,3,0)</f>
        <v>AZET</v>
      </c>
      <c r="F938" s="160">
        <f t="shared" si="96"/>
        <v>0</v>
      </c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62">
        <f t="shared" si="99"/>
        <v>0</v>
      </c>
      <c r="T938" s="167"/>
    </row>
    <row r="939" customHeight="1" spans="2:20">
      <c r="B939" s="166"/>
      <c r="C939" s="164">
        <f t="shared" si="98"/>
        <v>22</v>
      </c>
      <c r="D939" s="158" t="str">
        <f>VLOOKUP(C939,DMSP!$A$1:$C$39,2,0)</f>
        <v>6.BVTV</v>
      </c>
      <c r="E939" s="159" t="str">
        <f>VLOOKUP(C939,DMSP!$A$1:$C$39,3,0)</f>
        <v>BACBA</v>
      </c>
      <c r="F939" s="160">
        <f t="shared" si="96"/>
        <v>0</v>
      </c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62">
        <f t="shared" si="99"/>
        <v>0</v>
      </c>
      <c r="T939" s="167"/>
    </row>
    <row r="940" customHeight="1" spans="2:20">
      <c r="B940" s="166"/>
      <c r="C940" s="164">
        <f t="shared" si="98"/>
        <v>23</v>
      </c>
      <c r="D940" s="158" t="str">
        <f>VLOOKUP(C940,DMSP!$A$1:$C$39,2,0)</f>
        <v>6.BVTV</v>
      </c>
      <c r="E940" s="159" t="str">
        <f>VLOOKUP(C940,DMSP!$A$1:$C$39,3,0)</f>
        <v>BIOROSAMIL</v>
      </c>
      <c r="F940" s="160">
        <f t="shared" si="96"/>
        <v>0</v>
      </c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62">
        <f t="shared" si="99"/>
        <v>0</v>
      </c>
      <c r="T940" s="167"/>
    </row>
    <row r="941" customHeight="1" spans="2:20">
      <c r="B941" s="166"/>
      <c r="C941" s="164">
        <f t="shared" si="98"/>
        <v>24</v>
      </c>
      <c r="D941" s="158" t="str">
        <f>VLOOKUP(C941,DMSP!$A$1:$C$39,2,0)</f>
        <v>6.BVTV</v>
      </c>
      <c r="E941" s="159" t="str">
        <f>VLOOKUP(C941,DMSP!$A$1:$C$39,3,0)</f>
        <v>COC 86</v>
      </c>
      <c r="F941" s="160">
        <f t="shared" si="96"/>
        <v>0</v>
      </c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62">
        <f t="shared" si="99"/>
        <v>0</v>
      </c>
      <c r="T941" s="167"/>
    </row>
    <row r="942" customHeight="1" spans="2:20">
      <c r="B942" s="166"/>
      <c r="C942" s="164">
        <f t="shared" si="98"/>
        <v>25</v>
      </c>
      <c r="D942" s="158" t="str">
        <f>VLOOKUP(C942,DMSP!$A$1:$C$39,2,0)</f>
        <v>6.BVTV</v>
      </c>
      <c r="E942" s="159" t="str">
        <f>VLOOKUP(C942,DMSP!$A$1:$C$39,3,0)</f>
        <v>HEXA 5</v>
      </c>
      <c r="F942" s="160">
        <f t="shared" si="96"/>
        <v>0</v>
      </c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62">
        <f t="shared" si="99"/>
        <v>0</v>
      </c>
      <c r="T942" s="167"/>
    </row>
    <row r="943" customHeight="1" spans="2:20">
      <c r="B943" s="166"/>
      <c r="C943" s="164">
        <f t="shared" si="98"/>
        <v>26</v>
      </c>
      <c r="D943" s="158" t="str">
        <f>VLOOKUP(C943,DMSP!$A$1:$C$39,2,0)</f>
        <v>6.BVTV</v>
      </c>
      <c r="E943" s="159" t="str">
        <f>VLOOKUP(C943,DMSP!$A$1:$C$39,3,0)</f>
        <v>TAMALA</v>
      </c>
      <c r="F943" s="160">
        <f t="shared" si="96"/>
        <v>0</v>
      </c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62">
        <f t="shared" si="99"/>
        <v>0</v>
      </c>
      <c r="T943" s="167"/>
    </row>
    <row r="944" customHeight="1" spans="2:20">
      <c r="B944" s="166"/>
      <c r="C944" s="164">
        <f t="shared" si="98"/>
        <v>27</v>
      </c>
      <c r="D944" s="158" t="str">
        <f>VLOOKUP(C944,DMSP!$A$1:$C$39,2,0)</f>
        <v>7.KHÁC</v>
      </c>
      <c r="E944" s="159" t="str">
        <f>VLOOKUP(C944,DMSP!$A$1:$C$39,3,0)</f>
        <v>KẼM VÀNG</v>
      </c>
      <c r="F944" s="160">
        <f t="shared" si="96"/>
        <v>0</v>
      </c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62">
        <f t="shared" si="99"/>
        <v>0</v>
      </c>
      <c r="T944" s="167"/>
    </row>
    <row r="945" customHeight="1" spans="2:20">
      <c r="B945" s="166"/>
      <c r="C945" s="164">
        <f t="shared" si="98"/>
        <v>28</v>
      </c>
      <c r="D945" s="158" t="str">
        <f>VLOOKUP(C945,DMSP!$A$1:$C$39,2,0)</f>
        <v>7.KHÁC</v>
      </c>
      <c r="E945" s="159" t="str">
        <f>VLOOKUP(C945,DMSP!$A$1:$C$39,3,0)</f>
        <v>KHÁC1</v>
      </c>
      <c r="F945" s="160">
        <f t="shared" si="96"/>
        <v>0</v>
      </c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62">
        <f t="shared" si="99"/>
        <v>0</v>
      </c>
      <c r="T945" s="167"/>
    </row>
    <row r="946" customHeight="1" spans="2:20">
      <c r="B946" s="166"/>
      <c r="C946" s="164">
        <f t="shared" si="98"/>
        <v>29</v>
      </c>
      <c r="D946" s="158" t="str">
        <f>VLOOKUP(C946,DMSP!$A$1:$C$39,2,0)</f>
        <v>7.KHÁC</v>
      </c>
      <c r="E946" s="169" t="s">
        <v>13</v>
      </c>
      <c r="F946" s="160">
        <f t="shared" si="96"/>
        <v>0</v>
      </c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62">
        <f t="shared" si="99"/>
        <v>0</v>
      </c>
      <c r="T946" s="167"/>
    </row>
    <row r="947" customHeight="1" spans="2:20">
      <c r="B947" s="166"/>
      <c r="C947" s="164">
        <f t="shared" si="98"/>
        <v>30</v>
      </c>
      <c r="D947" s="158" t="str">
        <f>VLOOKUP(C947,DMSP!$A$1:$C$39,2,0)</f>
        <v>7.KHÁC</v>
      </c>
      <c r="E947" s="159" t="str">
        <f>VLOOKUP(C947,DMSP!$A$1:$C$39,3,0)</f>
        <v>RỬA RONG RÊU</v>
      </c>
      <c r="F947" s="160">
        <f t="shared" si="96"/>
        <v>0</v>
      </c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62">
        <f t="shared" si="99"/>
        <v>0</v>
      </c>
      <c r="T947" s="167"/>
    </row>
    <row r="948" customHeight="1" spans="2:20">
      <c r="B948" s="166"/>
      <c r="C948" s="164">
        <f t="shared" si="98"/>
        <v>31</v>
      </c>
      <c r="D948" s="158" t="str">
        <f>VLOOKUP(C948,DMSP!$A$1:$C$39,2,0)</f>
        <v>7.KHÁC</v>
      </c>
      <c r="E948" s="159" t="str">
        <f>VLOOKUP(C948,DMSP!$A$1:$C$39,3,0)</f>
        <v>TB BO</v>
      </c>
      <c r="F948" s="160">
        <f t="shared" si="96"/>
        <v>0</v>
      </c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62">
        <f t="shared" si="99"/>
        <v>0</v>
      </c>
      <c r="T948" s="167"/>
    </row>
    <row r="949" customHeight="1" spans="2:20">
      <c r="B949" s="166"/>
      <c r="C949" s="164">
        <f t="shared" si="98"/>
        <v>32</v>
      </c>
      <c r="D949" s="158" t="str">
        <f>VLOOKUP(C949,DMSP!$A$1:$C$39,2,0)</f>
        <v>7.KHÁC</v>
      </c>
      <c r="E949" s="159" t="str">
        <f>VLOOKUP(C949,DMSP!$A$1:$C$39,3,0)</f>
        <v>TB FRUIT</v>
      </c>
      <c r="F949" s="160">
        <f t="shared" si="96"/>
        <v>0</v>
      </c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62">
        <f t="shared" si="99"/>
        <v>0</v>
      </c>
      <c r="T949" s="167"/>
    </row>
    <row r="950" customHeight="1" spans="2:20">
      <c r="B950" s="166"/>
      <c r="C950" s="164">
        <f t="shared" si="98"/>
        <v>33</v>
      </c>
      <c r="D950" s="158" t="str">
        <f>VLOOKUP(C950,DMSP!$A$1:$C$39,2,0)</f>
        <v>7.KHÁC</v>
      </c>
      <c r="E950" s="159" t="str">
        <f>VLOOKUP(C950,DMSP!$A$1:$C$39,3,0)</f>
        <v>TB PHOS</v>
      </c>
      <c r="F950" s="160">
        <f t="shared" si="96"/>
        <v>0</v>
      </c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62">
        <f t="shared" si="99"/>
        <v>0</v>
      </c>
      <c r="T950" s="167"/>
    </row>
    <row r="951" customHeight="1" spans="2:20">
      <c r="B951" s="166"/>
      <c r="C951" s="164">
        <f t="shared" si="98"/>
        <v>34</v>
      </c>
      <c r="D951" s="158" t="str">
        <f>VLOOKUP(C951,DMSP!$A$1:$C$39,2,0)</f>
        <v>7.KHÁC</v>
      </c>
      <c r="E951" s="159" t="str">
        <f>VLOOKUP(C951,DMSP!$A$1:$C$39,3,0)</f>
        <v>TOBA BÁM DÍNH</v>
      </c>
      <c r="F951" s="160">
        <f t="shared" si="96"/>
        <v>0</v>
      </c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62">
        <f t="shared" si="99"/>
        <v>0</v>
      </c>
      <c r="T951" s="167"/>
    </row>
    <row r="952" customHeight="1" spans="2:20">
      <c r="B952" s="166"/>
      <c r="C952" s="164">
        <f t="shared" si="98"/>
        <v>35</v>
      </c>
      <c r="D952" s="158" t="str">
        <f>VLOOKUP(C952,DMSP!$A$1:$C$39,2,0)</f>
        <v>7.KHÁC</v>
      </c>
      <c r="E952" s="159" t="str">
        <f>VLOOKUP(C952,DMSP!$A$1:$C$39,3,0)</f>
        <v>VỌT HOA NHÃN</v>
      </c>
      <c r="F952" s="160">
        <f t="shared" si="96"/>
        <v>0</v>
      </c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62">
        <f t="shared" si="99"/>
        <v>0</v>
      </c>
      <c r="T952" s="167"/>
    </row>
    <row r="953" customHeight="1" spans="2:20">
      <c r="B953" s="166"/>
      <c r="C953" s="164">
        <f t="shared" si="98"/>
        <v>36</v>
      </c>
      <c r="D953" s="158" t="str">
        <f>VLOOKUP(C953,DMSP!$A$1:$C$39,2,0)</f>
        <v>7.KHÁC</v>
      </c>
      <c r="E953" s="159" t="str">
        <f>VLOOKUP(C953,DMSP!$A$1:$C$39,3,0)</f>
        <v>VỌT HOA XOÀI</v>
      </c>
      <c r="F953" s="160">
        <f t="shared" si="96"/>
        <v>0</v>
      </c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62">
        <f t="shared" si="99"/>
        <v>0</v>
      </c>
      <c r="T953" s="167"/>
    </row>
    <row r="954" customHeight="1" spans="2:20">
      <c r="B954" s="166"/>
      <c r="C954" s="164">
        <f t="shared" si="98"/>
        <v>37</v>
      </c>
      <c r="D954" s="158" t="str">
        <f>VLOOKUP(C954,DMSP!$A$1:$C$39,2,0)</f>
        <v>7.KHÁC</v>
      </c>
      <c r="E954" s="159" t="str">
        <f>VLOOKUP(C954,DMSP!$A$1:$C$39,3,0)</f>
        <v>VỌT HOA XOÀI</v>
      </c>
      <c r="F954" s="160">
        <f t="shared" si="96"/>
        <v>0</v>
      </c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62">
        <f t="shared" si="99"/>
        <v>0</v>
      </c>
      <c r="T954" s="167"/>
    </row>
    <row r="955" customHeight="1" spans="2:20">
      <c r="B955" s="92"/>
      <c r="C955" s="170">
        <f>B918</f>
        <v>0</v>
      </c>
      <c r="D955" s="171"/>
      <c r="E955" s="172" t="str">
        <f>"TOTAL "&amp;B918</f>
        <v>TOTAL </v>
      </c>
      <c r="F955" s="173">
        <f t="shared" si="96"/>
        <v>0</v>
      </c>
      <c r="G955" s="174">
        <f>SUM(G918:G954)</f>
        <v>0</v>
      </c>
      <c r="H955" s="174">
        <f t="shared" ref="H955:R955" si="100">SUM(H918:H954)</f>
        <v>0</v>
      </c>
      <c r="I955" s="174">
        <f t="shared" si="100"/>
        <v>0</v>
      </c>
      <c r="J955" s="174">
        <f t="shared" si="100"/>
        <v>0</v>
      </c>
      <c r="K955" s="174">
        <f t="shared" si="100"/>
        <v>0</v>
      </c>
      <c r="L955" s="174">
        <f t="shared" si="100"/>
        <v>0</v>
      </c>
      <c r="M955" s="174">
        <f t="shared" si="100"/>
        <v>0</v>
      </c>
      <c r="N955" s="174">
        <f t="shared" si="100"/>
        <v>0</v>
      </c>
      <c r="O955" s="174">
        <f t="shared" si="100"/>
        <v>0</v>
      </c>
      <c r="P955" s="174">
        <f t="shared" si="100"/>
        <v>0</v>
      </c>
      <c r="Q955" s="174">
        <f t="shared" si="100"/>
        <v>0</v>
      </c>
      <c r="R955" s="174">
        <f t="shared" si="100"/>
        <v>0</v>
      </c>
      <c r="S955" s="174">
        <f t="shared" si="99"/>
        <v>0</v>
      </c>
      <c r="T955" s="175"/>
    </row>
    <row r="956" customHeight="1" spans="2:20">
      <c r="B956" s="156"/>
      <c r="C956" s="157">
        <v>1</v>
      </c>
      <c r="D956" s="158" t="str">
        <f>VLOOKUP(C956,DMSP!$A$1:$C$39,2,0)</f>
        <v>1.TOBA XANH</v>
      </c>
      <c r="E956" s="159" t="str">
        <f>VLOOKUP(C956,DMSP!$A$1:$C$39,3,0)</f>
        <v>TOBA XANH</v>
      </c>
      <c r="F956" s="160">
        <f t="shared" si="96"/>
        <v>0</v>
      </c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62">
        <f t="shared" si="99"/>
        <v>0</v>
      </c>
      <c r="T956" s="163">
        <f>S993</f>
        <v>0</v>
      </c>
    </row>
    <row r="957" customHeight="1" spans="2:20">
      <c r="B957" s="166"/>
      <c r="C957" s="164">
        <f t="shared" ref="C957:C992" si="101">C956+1</f>
        <v>2</v>
      </c>
      <c r="D957" s="158" t="str">
        <f>VLOOKUP(C957,DMSP!$A$1:$C$39,2,0)</f>
        <v>2.HC</v>
      </c>
      <c r="E957" s="159" t="str">
        <f>VLOOKUP(C957,DMSP!$A$1:$C$39,3,0)</f>
        <v>HC BOOSTER</v>
      </c>
      <c r="F957" s="160">
        <f t="shared" si="96"/>
        <v>0</v>
      </c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62">
        <f t="shared" ref="S957:S994" si="102">SUM(G957:R957)</f>
        <v>0</v>
      </c>
      <c r="T957" s="167"/>
    </row>
    <row r="958" customHeight="1" spans="2:20">
      <c r="B958" s="166"/>
      <c r="C958" s="164">
        <f t="shared" si="101"/>
        <v>3</v>
      </c>
      <c r="D958" s="158" t="str">
        <f>VLOOKUP(C958,DMSP!$A$1:$C$39,2,0)</f>
        <v>2.HC</v>
      </c>
      <c r="E958" s="159" t="str">
        <f>VLOOKUP(C958,DMSP!$A$1:$C$39,3,0)</f>
        <v>HC KING-ROOT</v>
      </c>
      <c r="F958" s="160">
        <f t="shared" si="96"/>
        <v>0</v>
      </c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62">
        <f t="shared" si="102"/>
        <v>0</v>
      </c>
      <c r="T958" s="167"/>
    </row>
    <row r="959" customHeight="1" spans="2:20">
      <c r="B959" s="166"/>
      <c r="C959" s="164">
        <f t="shared" si="101"/>
        <v>4</v>
      </c>
      <c r="D959" s="158" t="str">
        <f>VLOOKUP(C959,DMSP!$A$1:$C$39,2,0)</f>
        <v>2.HC</v>
      </c>
      <c r="E959" s="159" t="str">
        <f>VLOOKUP(C959,DMSP!$A$1:$C$39,3,0)</f>
        <v>HAPPY FARM</v>
      </c>
      <c r="F959" s="160">
        <f t="shared" si="96"/>
        <v>0</v>
      </c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62">
        <f t="shared" si="102"/>
        <v>0</v>
      </c>
      <c r="T959" s="167"/>
    </row>
    <row r="960" customHeight="1" spans="2:20">
      <c r="B960" s="166"/>
      <c r="C960" s="164">
        <f t="shared" si="101"/>
        <v>5</v>
      </c>
      <c r="D960" s="158" t="str">
        <f>VLOOKUP(C960,DMSP!$A$1:$C$39,2,0)</f>
        <v>2.HC</v>
      </c>
      <c r="E960" s="159" t="str">
        <f>VLOOKUP(C960,DMSP!$A$1:$C$39,3,0)</f>
        <v>WOW</v>
      </c>
      <c r="F960" s="160">
        <f t="shared" si="96"/>
        <v>0</v>
      </c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62">
        <f t="shared" si="102"/>
        <v>0</v>
      </c>
      <c r="T960" s="167"/>
    </row>
    <row r="961" customHeight="1" spans="2:20">
      <c r="B961" s="166"/>
      <c r="C961" s="164">
        <f t="shared" si="101"/>
        <v>6</v>
      </c>
      <c r="D961" s="158" t="str">
        <f>VLOOKUP(C961,DMSP!$A$1:$C$39,2,0)</f>
        <v>3.SPRAY </v>
      </c>
      <c r="E961" s="159" t="str">
        <f>VLOOKUP(C961,DMSP!$A$1:$C$39,3,0)</f>
        <v>KELPIT</v>
      </c>
      <c r="F961" s="160">
        <f t="shared" si="96"/>
        <v>0</v>
      </c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62">
        <f t="shared" si="102"/>
        <v>0</v>
      </c>
      <c r="T961" s="167"/>
    </row>
    <row r="962" customHeight="1" spans="2:20">
      <c r="B962" s="166"/>
      <c r="C962" s="164">
        <f t="shared" si="101"/>
        <v>7</v>
      </c>
      <c r="D962" s="158" t="str">
        <f>VLOOKUP(C962,DMSP!$A$1:$C$39,2,0)</f>
        <v>3.SPRAY </v>
      </c>
      <c r="E962" s="159" t="str">
        <f>VLOOKUP(C962,DMSP!$A$1:$C$39,3,0)</f>
        <v>SI-K</v>
      </c>
      <c r="F962" s="160">
        <f t="shared" si="96"/>
        <v>0</v>
      </c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62">
        <f t="shared" si="102"/>
        <v>0</v>
      </c>
      <c r="T962" s="167"/>
    </row>
    <row r="963" customHeight="1" spans="2:20">
      <c r="B963" s="166"/>
      <c r="C963" s="164">
        <f t="shared" si="101"/>
        <v>8</v>
      </c>
      <c r="D963" s="158" t="str">
        <f>VLOOKUP(C963,DMSP!$A$1:$C$39,2,0)</f>
        <v>3.SPRAY </v>
      </c>
      <c r="E963" s="159" t="str">
        <f>VLOOKUP(C963,DMSP!$A$1:$C$39,3,0)</f>
        <v>SPRAY PHOS 620</v>
      </c>
      <c r="F963" s="160">
        <f t="shared" si="96"/>
        <v>0</v>
      </c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62">
        <f t="shared" si="102"/>
        <v>0</v>
      </c>
      <c r="T963" s="167"/>
    </row>
    <row r="964" customHeight="1" spans="2:20">
      <c r="B964" s="166"/>
      <c r="C964" s="164">
        <f t="shared" si="101"/>
        <v>9</v>
      </c>
      <c r="D964" s="158" t="str">
        <f>VLOOKUP(C964,DMSP!$A$1:$C$39,2,0)</f>
        <v>4.DƯỠNG RỄ</v>
      </c>
      <c r="E964" s="159" t="str">
        <f>VLOOKUP(C964,DMSP!$A$1:$C$39,3,0)</f>
        <v>CHITOSAN</v>
      </c>
      <c r="F964" s="160">
        <f t="shared" si="96"/>
        <v>0</v>
      </c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62">
        <f t="shared" si="102"/>
        <v>0</v>
      </c>
      <c r="T964" s="167"/>
    </row>
    <row r="965" customHeight="1" spans="2:20">
      <c r="B965" s="166"/>
      <c r="C965" s="164">
        <f t="shared" si="101"/>
        <v>10</v>
      </c>
      <c r="D965" s="158" t="str">
        <f>VLOOKUP(C965,DMSP!$A$1:$C$39,2,0)</f>
        <v>4.DƯỠNG RỄ</v>
      </c>
      <c r="E965" s="159" t="str">
        <f>VLOOKUP(C965,DMSP!$A$1:$C$39,3,0)</f>
        <v>ĐẠM CÁ</v>
      </c>
      <c r="F965" s="160">
        <f t="shared" si="96"/>
        <v>0</v>
      </c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62">
        <f t="shared" si="102"/>
        <v>0</v>
      </c>
      <c r="T965" s="167"/>
    </row>
    <row r="966" customHeight="1" spans="2:20">
      <c r="B966" s="166"/>
      <c r="C966" s="164">
        <f t="shared" si="101"/>
        <v>11</v>
      </c>
      <c r="D966" s="158" t="str">
        <f>VLOOKUP(C966,DMSP!$A$1:$C$39,2,0)</f>
        <v>4.DƯỠNG RỄ</v>
      </c>
      <c r="E966" s="159" t="str">
        <f>VLOOKUP(C966,DMSP!$A$1:$C$39,3,0)</f>
        <v>ĐẠM TÔM</v>
      </c>
      <c r="F966" s="160">
        <f t="shared" si="96"/>
        <v>0</v>
      </c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62">
        <f t="shared" si="102"/>
        <v>0</v>
      </c>
      <c r="T966" s="167"/>
    </row>
    <row r="967" customHeight="1" spans="2:20">
      <c r="B967" s="166"/>
      <c r="C967" s="164">
        <f t="shared" si="101"/>
        <v>12</v>
      </c>
      <c r="D967" s="158" t="str">
        <f>VLOOKUP(C967,DMSP!$A$1:$C$39,2,0)</f>
        <v>4.DƯỠNG RỄ</v>
      </c>
      <c r="E967" s="159" t="str">
        <f>VLOOKUP(C967,DMSP!$A$1:$C$39,3,0)</f>
        <v>SUPERMIC</v>
      </c>
      <c r="F967" s="160">
        <f t="shared" ref="F967:F1030" si="103">S967</f>
        <v>0</v>
      </c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62">
        <f t="shared" si="102"/>
        <v>0</v>
      </c>
      <c r="T967" s="167"/>
    </row>
    <row r="968" customHeight="1" spans="2:20">
      <c r="B968" s="166"/>
      <c r="C968" s="164">
        <f t="shared" si="101"/>
        <v>13</v>
      </c>
      <c r="D968" s="158" t="str">
        <f>VLOOKUP(C968,DMSP!$A$1:$C$39,2,0)</f>
        <v>5.TRUYỀN THỐNG</v>
      </c>
      <c r="E968" s="159" t="str">
        <f>VLOOKUP(C968,DMSP!$A$1:$C$39,3,0)</f>
        <v>CABO</v>
      </c>
      <c r="F968" s="160">
        <f t="shared" si="103"/>
        <v>0</v>
      </c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62">
        <f t="shared" si="102"/>
        <v>0</v>
      </c>
      <c r="T968" s="167"/>
    </row>
    <row r="969" customHeight="1" spans="2:20">
      <c r="B969" s="166"/>
      <c r="C969" s="164">
        <f t="shared" si="101"/>
        <v>14</v>
      </c>
      <c r="D969" s="158" t="str">
        <f>VLOOKUP(C969,DMSP!$A$1:$C$39,2,0)</f>
        <v>5.TRUYỀN THỐNG</v>
      </c>
      <c r="E969" s="159" t="str">
        <f>VLOOKUP(C969,DMSP!$A$1:$C$39,3,0)</f>
        <v>F94</v>
      </c>
      <c r="F969" s="160">
        <f t="shared" si="103"/>
        <v>0</v>
      </c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62">
        <f t="shared" si="102"/>
        <v>0</v>
      </c>
      <c r="T969" s="167"/>
    </row>
    <row r="970" customHeight="1" spans="2:20">
      <c r="B970" s="166"/>
      <c r="C970" s="164">
        <f t="shared" si="101"/>
        <v>15</v>
      </c>
      <c r="D970" s="158" t="str">
        <f>VLOOKUP(C970,DMSP!$A$1:$C$39,2,0)</f>
        <v>5.TRUYỀN THỐNG</v>
      </c>
      <c r="E970" s="159" t="str">
        <f>VLOOKUP(C970,DMSP!$A$1:$C$39,3,0)</f>
        <v>F95</v>
      </c>
      <c r="F970" s="160">
        <f t="shared" si="103"/>
        <v>0</v>
      </c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62">
        <f t="shared" si="102"/>
        <v>0</v>
      </c>
      <c r="T970" s="167"/>
    </row>
    <row r="971" customHeight="1" spans="2:20">
      <c r="B971" s="166"/>
      <c r="C971" s="164">
        <f t="shared" si="101"/>
        <v>16</v>
      </c>
      <c r="D971" s="158" t="str">
        <f>VLOOKUP(C971,DMSP!$A$1:$C$39,2,0)</f>
        <v>5.TRUYỀN THỐNG</v>
      </c>
      <c r="E971" s="159" t="str">
        <f>VLOOKUP(C971,DMSP!$A$1:$C$39,3,0)</f>
        <v>THIOURE</v>
      </c>
      <c r="F971" s="160">
        <f t="shared" si="103"/>
        <v>0</v>
      </c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62">
        <f t="shared" si="102"/>
        <v>0</v>
      </c>
      <c r="T971" s="167"/>
    </row>
    <row r="972" customHeight="1" spans="2:20">
      <c r="B972" s="166"/>
      <c r="C972" s="164">
        <f t="shared" si="101"/>
        <v>17</v>
      </c>
      <c r="D972" s="158" t="str">
        <f>VLOOKUP(C972,DMSP!$A$1:$C$39,2,0)</f>
        <v>5.TRUYỀN THỐNG</v>
      </c>
      <c r="E972" s="159" t="str">
        <f>VLOOKUP(C972,DMSP!$A$1:$C$39,3,0)</f>
        <v>TOBA JUM</v>
      </c>
      <c r="F972" s="160">
        <f t="shared" si="103"/>
        <v>0</v>
      </c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62">
        <f t="shared" si="102"/>
        <v>0</v>
      </c>
      <c r="T972" s="167"/>
    </row>
    <row r="973" customHeight="1" spans="2:20">
      <c r="B973" s="166"/>
      <c r="C973" s="164">
        <f t="shared" si="101"/>
        <v>18</v>
      </c>
      <c r="D973" s="158" t="str">
        <f>VLOOKUP(C973,DMSP!$A$1:$C$39,2,0)</f>
        <v>5.TRUYỀN THỐNG</v>
      </c>
      <c r="E973" s="159" t="str">
        <f>VLOOKUP(C973,DMSP!$A$1:$C$39,3,0)</f>
        <v>TOBA NET</v>
      </c>
      <c r="F973" s="160">
        <f t="shared" si="103"/>
        <v>0</v>
      </c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62">
        <f t="shared" si="102"/>
        <v>0</v>
      </c>
      <c r="T973" s="167"/>
    </row>
    <row r="974" customHeight="1" spans="2:20">
      <c r="B974" s="166"/>
      <c r="C974" s="164">
        <f t="shared" si="101"/>
        <v>19</v>
      </c>
      <c r="D974" s="158" t="str">
        <f>VLOOKUP(C974,DMSP!$A$1:$C$39,2,0)</f>
        <v>6.BVTV</v>
      </c>
      <c r="E974" s="159" t="str">
        <f>VLOOKUP(C974,DMSP!$A$1:$C$39,3,0)</f>
        <v>ABAFAX 1.8</v>
      </c>
      <c r="F974" s="160">
        <f t="shared" si="103"/>
        <v>0</v>
      </c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62">
        <f t="shared" si="102"/>
        <v>0</v>
      </c>
      <c r="T974" s="167"/>
    </row>
    <row r="975" customHeight="1" spans="2:20">
      <c r="B975" s="166"/>
      <c r="C975" s="164">
        <f t="shared" si="101"/>
        <v>20</v>
      </c>
      <c r="D975" s="158" t="str">
        <f>VLOOKUP(C975,DMSP!$A$1:$C$39,2,0)</f>
        <v>6.BVTV</v>
      </c>
      <c r="E975" s="159" t="str">
        <f>VLOOKUP(C975,DMSP!$A$1:$C$39,3,0)</f>
        <v>ABAFAX 3.6</v>
      </c>
      <c r="F975" s="160">
        <f t="shared" si="103"/>
        <v>0</v>
      </c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62">
        <f t="shared" si="102"/>
        <v>0</v>
      </c>
      <c r="T975" s="167"/>
    </row>
    <row r="976" customHeight="1" spans="2:20">
      <c r="B976" s="166"/>
      <c r="C976" s="164">
        <f t="shared" si="101"/>
        <v>21</v>
      </c>
      <c r="D976" s="158" t="str">
        <f>VLOOKUP(C976,DMSP!$A$1:$C$39,2,0)</f>
        <v>6.BVTV</v>
      </c>
      <c r="E976" s="159" t="str">
        <f>VLOOKUP(C976,DMSP!$A$1:$C$39,3,0)</f>
        <v>AZET</v>
      </c>
      <c r="F976" s="160">
        <f t="shared" si="103"/>
        <v>0</v>
      </c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62">
        <f t="shared" si="102"/>
        <v>0</v>
      </c>
      <c r="T976" s="167"/>
    </row>
    <row r="977" customHeight="1" spans="2:20">
      <c r="B977" s="166"/>
      <c r="C977" s="164">
        <f t="shared" si="101"/>
        <v>22</v>
      </c>
      <c r="D977" s="158" t="str">
        <f>VLOOKUP(C977,DMSP!$A$1:$C$39,2,0)</f>
        <v>6.BVTV</v>
      </c>
      <c r="E977" s="159" t="str">
        <f>VLOOKUP(C977,DMSP!$A$1:$C$39,3,0)</f>
        <v>BACBA</v>
      </c>
      <c r="F977" s="160">
        <f t="shared" si="103"/>
        <v>0</v>
      </c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62">
        <f t="shared" si="102"/>
        <v>0</v>
      </c>
      <c r="T977" s="167"/>
    </row>
    <row r="978" customHeight="1" spans="2:20">
      <c r="B978" s="166"/>
      <c r="C978" s="164">
        <f t="shared" si="101"/>
        <v>23</v>
      </c>
      <c r="D978" s="158" t="str">
        <f>VLOOKUP(C978,DMSP!$A$1:$C$39,2,0)</f>
        <v>6.BVTV</v>
      </c>
      <c r="E978" s="159" t="str">
        <f>VLOOKUP(C978,DMSP!$A$1:$C$39,3,0)</f>
        <v>BIOROSAMIL</v>
      </c>
      <c r="F978" s="160">
        <f t="shared" si="103"/>
        <v>0</v>
      </c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62">
        <f t="shared" si="102"/>
        <v>0</v>
      </c>
      <c r="T978" s="167"/>
    </row>
    <row r="979" customHeight="1" spans="2:20">
      <c r="B979" s="166"/>
      <c r="C979" s="164">
        <f t="shared" si="101"/>
        <v>24</v>
      </c>
      <c r="D979" s="158" t="str">
        <f>VLOOKUP(C979,DMSP!$A$1:$C$39,2,0)</f>
        <v>6.BVTV</v>
      </c>
      <c r="E979" s="159" t="str">
        <f>VLOOKUP(C979,DMSP!$A$1:$C$39,3,0)</f>
        <v>COC 86</v>
      </c>
      <c r="F979" s="160">
        <f t="shared" si="103"/>
        <v>0</v>
      </c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62">
        <f t="shared" si="102"/>
        <v>0</v>
      </c>
      <c r="T979" s="167"/>
    </row>
    <row r="980" customHeight="1" spans="2:20">
      <c r="B980" s="166"/>
      <c r="C980" s="164">
        <f t="shared" si="101"/>
        <v>25</v>
      </c>
      <c r="D980" s="158" t="str">
        <f>VLOOKUP(C980,DMSP!$A$1:$C$39,2,0)</f>
        <v>6.BVTV</v>
      </c>
      <c r="E980" s="159" t="str">
        <f>VLOOKUP(C980,DMSP!$A$1:$C$39,3,0)</f>
        <v>HEXA 5</v>
      </c>
      <c r="F980" s="160">
        <f t="shared" si="103"/>
        <v>0</v>
      </c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62">
        <f t="shared" si="102"/>
        <v>0</v>
      </c>
      <c r="T980" s="167"/>
    </row>
    <row r="981" customHeight="1" spans="2:20">
      <c r="B981" s="166"/>
      <c r="C981" s="164">
        <f t="shared" si="101"/>
        <v>26</v>
      </c>
      <c r="D981" s="158" t="str">
        <f>VLOOKUP(C981,DMSP!$A$1:$C$39,2,0)</f>
        <v>6.BVTV</v>
      </c>
      <c r="E981" s="159" t="str">
        <f>VLOOKUP(C981,DMSP!$A$1:$C$39,3,0)</f>
        <v>TAMALA</v>
      </c>
      <c r="F981" s="160">
        <f t="shared" si="103"/>
        <v>0</v>
      </c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62">
        <f t="shared" si="102"/>
        <v>0</v>
      </c>
      <c r="T981" s="167"/>
    </row>
    <row r="982" customHeight="1" spans="2:20">
      <c r="B982" s="166"/>
      <c r="C982" s="164">
        <f t="shared" si="101"/>
        <v>27</v>
      </c>
      <c r="D982" s="158" t="str">
        <f>VLOOKUP(C982,DMSP!$A$1:$C$39,2,0)</f>
        <v>7.KHÁC</v>
      </c>
      <c r="E982" s="159" t="str">
        <f>VLOOKUP(C982,DMSP!$A$1:$C$39,3,0)</f>
        <v>KẼM VÀNG</v>
      </c>
      <c r="F982" s="160">
        <f t="shared" si="103"/>
        <v>0</v>
      </c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62">
        <f t="shared" si="102"/>
        <v>0</v>
      </c>
      <c r="T982" s="167"/>
    </row>
    <row r="983" customHeight="1" spans="2:20">
      <c r="B983" s="166"/>
      <c r="C983" s="164">
        <f t="shared" si="101"/>
        <v>28</v>
      </c>
      <c r="D983" s="158" t="str">
        <f>VLOOKUP(C983,DMSP!$A$1:$C$39,2,0)</f>
        <v>7.KHÁC</v>
      </c>
      <c r="E983" s="159" t="str">
        <f>VLOOKUP(C983,DMSP!$A$1:$C$39,3,0)</f>
        <v>KHÁC1</v>
      </c>
      <c r="F983" s="160">
        <f t="shared" si="103"/>
        <v>0</v>
      </c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62">
        <f t="shared" si="102"/>
        <v>0</v>
      </c>
      <c r="T983" s="167"/>
    </row>
    <row r="984" customHeight="1" spans="2:20">
      <c r="B984" s="166"/>
      <c r="C984" s="164">
        <f t="shared" si="101"/>
        <v>29</v>
      </c>
      <c r="D984" s="158" t="str">
        <f>VLOOKUP(C984,DMSP!$A$1:$C$39,2,0)</f>
        <v>7.KHÁC</v>
      </c>
      <c r="E984" s="169" t="s">
        <v>13</v>
      </c>
      <c r="F984" s="160">
        <f t="shared" si="103"/>
        <v>0</v>
      </c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62">
        <f t="shared" si="102"/>
        <v>0</v>
      </c>
      <c r="T984" s="167"/>
    </row>
    <row r="985" customHeight="1" spans="2:20">
      <c r="B985" s="166"/>
      <c r="C985" s="164">
        <f t="shared" si="101"/>
        <v>30</v>
      </c>
      <c r="D985" s="158" t="str">
        <f>VLOOKUP(C985,DMSP!$A$1:$C$39,2,0)</f>
        <v>7.KHÁC</v>
      </c>
      <c r="E985" s="159" t="str">
        <f>VLOOKUP(C985,DMSP!$A$1:$C$39,3,0)</f>
        <v>RỬA RONG RÊU</v>
      </c>
      <c r="F985" s="160">
        <f t="shared" si="103"/>
        <v>0</v>
      </c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62">
        <f t="shared" si="102"/>
        <v>0</v>
      </c>
      <c r="T985" s="167"/>
    </row>
    <row r="986" customHeight="1" spans="2:20">
      <c r="B986" s="166"/>
      <c r="C986" s="164">
        <f t="shared" si="101"/>
        <v>31</v>
      </c>
      <c r="D986" s="158" t="str">
        <f>VLOOKUP(C986,DMSP!$A$1:$C$39,2,0)</f>
        <v>7.KHÁC</v>
      </c>
      <c r="E986" s="159" t="str">
        <f>VLOOKUP(C986,DMSP!$A$1:$C$39,3,0)</f>
        <v>TB BO</v>
      </c>
      <c r="F986" s="160">
        <f t="shared" si="103"/>
        <v>0</v>
      </c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62">
        <f t="shared" si="102"/>
        <v>0</v>
      </c>
      <c r="T986" s="167"/>
    </row>
    <row r="987" customHeight="1" spans="2:20">
      <c r="B987" s="166"/>
      <c r="C987" s="164">
        <f t="shared" si="101"/>
        <v>32</v>
      </c>
      <c r="D987" s="158" t="str">
        <f>VLOOKUP(C987,DMSP!$A$1:$C$39,2,0)</f>
        <v>7.KHÁC</v>
      </c>
      <c r="E987" s="159" t="str">
        <f>VLOOKUP(C987,DMSP!$A$1:$C$39,3,0)</f>
        <v>TB FRUIT</v>
      </c>
      <c r="F987" s="160">
        <f t="shared" si="103"/>
        <v>0</v>
      </c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62">
        <f t="shared" si="102"/>
        <v>0</v>
      </c>
      <c r="T987" s="167"/>
    </row>
    <row r="988" customHeight="1" spans="2:20">
      <c r="B988" s="166"/>
      <c r="C988" s="164">
        <f t="shared" si="101"/>
        <v>33</v>
      </c>
      <c r="D988" s="158" t="str">
        <f>VLOOKUP(C988,DMSP!$A$1:$C$39,2,0)</f>
        <v>7.KHÁC</v>
      </c>
      <c r="E988" s="159" t="str">
        <f>VLOOKUP(C988,DMSP!$A$1:$C$39,3,0)</f>
        <v>TB PHOS</v>
      </c>
      <c r="F988" s="160">
        <f t="shared" si="103"/>
        <v>0</v>
      </c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62">
        <f t="shared" si="102"/>
        <v>0</v>
      </c>
      <c r="T988" s="167"/>
    </row>
    <row r="989" customHeight="1" spans="2:20">
      <c r="B989" s="166"/>
      <c r="C989" s="164">
        <f t="shared" si="101"/>
        <v>34</v>
      </c>
      <c r="D989" s="158" t="str">
        <f>VLOOKUP(C989,DMSP!$A$1:$C$39,2,0)</f>
        <v>7.KHÁC</v>
      </c>
      <c r="E989" s="159" t="str">
        <f>VLOOKUP(C989,DMSP!$A$1:$C$39,3,0)</f>
        <v>TOBA BÁM DÍNH</v>
      </c>
      <c r="F989" s="160">
        <f t="shared" si="103"/>
        <v>0</v>
      </c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62">
        <f t="shared" si="102"/>
        <v>0</v>
      </c>
      <c r="T989" s="167"/>
    </row>
    <row r="990" customHeight="1" spans="2:20">
      <c r="B990" s="166"/>
      <c r="C990" s="164">
        <f t="shared" si="101"/>
        <v>35</v>
      </c>
      <c r="D990" s="158" t="str">
        <f>VLOOKUP(C990,DMSP!$A$1:$C$39,2,0)</f>
        <v>7.KHÁC</v>
      </c>
      <c r="E990" s="159" t="str">
        <f>VLOOKUP(C990,DMSP!$A$1:$C$39,3,0)</f>
        <v>VỌT HOA NHÃN</v>
      </c>
      <c r="F990" s="160">
        <f t="shared" si="103"/>
        <v>0</v>
      </c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62">
        <f t="shared" si="102"/>
        <v>0</v>
      </c>
      <c r="T990" s="167"/>
    </row>
    <row r="991" customHeight="1" spans="2:20">
      <c r="B991" s="166"/>
      <c r="C991" s="164">
        <f t="shared" si="101"/>
        <v>36</v>
      </c>
      <c r="D991" s="158" t="str">
        <f>VLOOKUP(C991,DMSP!$A$1:$C$39,2,0)</f>
        <v>7.KHÁC</v>
      </c>
      <c r="E991" s="159" t="str">
        <f>VLOOKUP(C991,DMSP!$A$1:$C$39,3,0)</f>
        <v>VỌT HOA XOÀI</v>
      </c>
      <c r="F991" s="160">
        <f t="shared" si="103"/>
        <v>0</v>
      </c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62">
        <f t="shared" si="102"/>
        <v>0</v>
      </c>
      <c r="T991" s="167"/>
    </row>
    <row r="992" customHeight="1" spans="2:20">
      <c r="B992" s="166"/>
      <c r="C992" s="164">
        <f t="shared" si="101"/>
        <v>37</v>
      </c>
      <c r="D992" s="158" t="str">
        <f>VLOOKUP(C992,DMSP!$A$1:$C$39,2,0)</f>
        <v>7.KHÁC</v>
      </c>
      <c r="E992" s="159" t="str">
        <f>VLOOKUP(C992,DMSP!$A$1:$C$39,3,0)</f>
        <v>VỌT HOA XOÀI</v>
      </c>
      <c r="F992" s="160">
        <f t="shared" si="103"/>
        <v>0</v>
      </c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62">
        <f t="shared" si="102"/>
        <v>0</v>
      </c>
      <c r="T992" s="167"/>
    </row>
    <row r="993" customHeight="1" spans="2:20">
      <c r="B993" s="92"/>
      <c r="C993" s="170">
        <f>B956</f>
        <v>0</v>
      </c>
      <c r="D993" s="171"/>
      <c r="E993" s="172" t="str">
        <f>"TOTAL "&amp;B956</f>
        <v>TOTAL </v>
      </c>
      <c r="F993" s="173">
        <f t="shared" si="103"/>
        <v>0</v>
      </c>
      <c r="G993" s="174">
        <f>SUM(G956:G992)</f>
        <v>0</v>
      </c>
      <c r="H993" s="174">
        <f t="shared" ref="H993:R993" si="104">SUM(H956:H992)</f>
        <v>0</v>
      </c>
      <c r="I993" s="174">
        <f t="shared" si="104"/>
        <v>0</v>
      </c>
      <c r="J993" s="174">
        <f t="shared" si="104"/>
        <v>0</v>
      </c>
      <c r="K993" s="174">
        <f t="shared" si="104"/>
        <v>0</v>
      </c>
      <c r="L993" s="174">
        <f t="shared" si="104"/>
        <v>0</v>
      </c>
      <c r="M993" s="174">
        <f t="shared" si="104"/>
        <v>0</v>
      </c>
      <c r="N993" s="174">
        <f t="shared" si="104"/>
        <v>0</v>
      </c>
      <c r="O993" s="174">
        <f t="shared" si="104"/>
        <v>0</v>
      </c>
      <c r="P993" s="174">
        <f t="shared" si="104"/>
        <v>0</v>
      </c>
      <c r="Q993" s="174">
        <f t="shared" si="104"/>
        <v>0</v>
      </c>
      <c r="R993" s="174">
        <f t="shared" si="104"/>
        <v>0</v>
      </c>
      <c r="S993" s="174">
        <f t="shared" si="102"/>
        <v>0</v>
      </c>
      <c r="T993" s="175"/>
    </row>
    <row r="994" customHeight="1" spans="2:20">
      <c r="B994" s="156"/>
      <c r="C994" s="157">
        <v>1</v>
      </c>
      <c r="D994" s="158" t="str">
        <f>VLOOKUP(C994,DMSP!$A$1:$C$39,2,0)</f>
        <v>1.TOBA XANH</v>
      </c>
      <c r="E994" s="159" t="str">
        <f>VLOOKUP(C994,DMSP!$A$1:$C$39,3,0)</f>
        <v>TOBA XANH</v>
      </c>
      <c r="F994" s="160">
        <f t="shared" si="103"/>
        <v>0</v>
      </c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62">
        <f t="shared" si="102"/>
        <v>0</v>
      </c>
      <c r="T994" s="163">
        <f>S1031</f>
        <v>0</v>
      </c>
    </row>
    <row r="995" customHeight="1" spans="2:20">
      <c r="B995" s="166"/>
      <c r="C995" s="164">
        <f t="shared" ref="C995:C1058" si="105">C994+1</f>
        <v>2</v>
      </c>
      <c r="D995" s="158" t="str">
        <f>VLOOKUP(C995,DMSP!$A$1:$C$39,2,0)</f>
        <v>2.HC</v>
      </c>
      <c r="E995" s="159" t="str">
        <f>VLOOKUP(C995,DMSP!$A$1:$C$39,3,0)</f>
        <v>HC BOOSTER</v>
      </c>
      <c r="F995" s="160">
        <f t="shared" si="103"/>
        <v>0</v>
      </c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62">
        <f t="shared" ref="S995:S1032" si="106">SUM(G995:R995)</f>
        <v>0</v>
      </c>
      <c r="T995" s="167"/>
    </row>
    <row r="996" customHeight="1" spans="2:20">
      <c r="B996" s="166"/>
      <c r="C996" s="164">
        <f t="shared" si="105"/>
        <v>3</v>
      </c>
      <c r="D996" s="158" t="str">
        <f>VLOOKUP(C996,DMSP!$A$1:$C$39,2,0)</f>
        <v>2.HC</v>
      </c>
      <c r="E996" s="159" t="str">
        <f>VLOOKUP(C996,DMSP!$A$1:$C$39,3,0)</f>
        <v>HC KING-ROOT</v>
      </c>
      <c r="F996" s="160">
        <f t="shared" si="103"/>
        <v>0</v>
      </c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62">
        <f t="shared" si="106"/>
        <v>0</v>
      </c>
      <c r="T996" s="167"/>
    </row>
    <row r="997" customHeight="1" spans="2:20">
      <c r="B997" s="166"/>
      <c r="C997" s="164">
        <f t="shared" si="105"/>
        <v>4</v>
      </c>
      <c r="D997" s="158" t="str">
        <f>VLOOKUP(C997,DMSP!$A$1:$C$39,2,0)</f>
        <v>2.HC</v>
      </c>
      <c r="E997" s="159" t="str">
        <f>VLOOKUP(C997,DMSP!$A$1:$C$39,3,0)</f>
        <v>HAPPY FARM</v>
      </c>
      <c r="F997" s="160">
        <f t="shared" si="103"/>
        <v>0</v>
      </c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62">
        <f t="shared" si="106"/>
        <v>0</v>
      </c>
      <c r="T997" s="167"/>
    </row>
    <row r="998" customHeight="1" spans="2:20">
      <c r="B998" s="166"/>
      <c r="C998" s="164">
        <f t="shared" si="105"/>
        <v>5</v>
      </c>
      <c r="D998" s="158" t="str">
        <f>VLOOKUP(C998,DMSP!$A$1:$C$39,2,0)</f>
        <v>2.HC</v>
      </c>
      <c r="E998" s="159" t="str">
        <f>VLOOKUP(C998,DMSP!$A$1:$C$39,3,0)</f>
        <v>WOW</v>
      </c>
      <c r="F998" s="160">
        <f t="shared" si="103"/>
        <v>0</v>
      </c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62">
        <f t="shared" si="106"/>
        <v>0</v>
      </c>
      <c r="T998" s="167"/>
    </row>
    <row r="999" customHeight="1" spans="2:20">
      <c r="B999" s="166"/>
      <c r="C999" s="164">
        <f t="shared" si="105"/>
        <v>6</v>
      </c>
      <c r="D999" s="158" t="str">
        <f>VLOOKUP(C999,DMSP!$A$1:$C$39,2,0)</f>
        <v>3.SPRAY </v>
      </c>
      <c r="E999" s="159" t="str">
        <f>VLOOKUP(C999,DMSP!$A$1:$C$39,3,0)</f>
        <v>KELPIT</v>
      </c>
      <c r="F999" s="160">
        <f t="shared" si="103"/>
        <v>0</v>
      </c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62">
        <f t="shared" si="106"/>
        <v>0</v>
      </c>
      <c r="T999" s="167"/>
    </row>
    <row r="1000" customHeight="1" spans="2:20">
      <c r="B1000" s="166"/>
      <c r="C1000" s="164">
        <f t="shared" si="105"/>
        <v>7</v>
      </c>
      <c r="D1000" s="158" t="str">
        <f>VLOOKUP(C1000,DMSP!$A$1:$C$39,2,0)</f>
        <v>3.SPRAY </v>
      </c>
      <c r="E1000" s="159" t="str">
        <f>VLOOKUP(C1000,DMSP!$A$1:$C$39,3,0)</f>
        <v>SI-K</v>
      </c>
      <c r="F1000" s="160">
        <f t="shared" si="103"/>
        <v>0</v>
      </c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62">
        <f t="shared" si="106"/>
        <v>0</v>
      </c>
      <c r="T1000" s="167"/>
    </row>
    <row r="1001" customHeight="1" spans="2:20">
      <c r="B1001" s="166"/>
      <c r="C1001" s="164">
        <f t="shared" si="105"/>
        <v>8</v>
      </c>
      <c r="D1001" s="158" t="str">
        <f>VLOOKUP(C1001,DMSP!$A$1:$C$39,2,0)</f>
        <v>3.SPRAY </v>
      </c>
      <c r="E1001" s="159" t="str">
        <f>VLOOKUP(C1001,DMSP!$A$1:$C$39,3,0)</f>
        <v>SPRAY PHOS 620</v>
      </c>
      <c r="F1001" s="160">
        <f t="shared" si="103"/>
        <v>0</v>
      </c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62">
        <f t="shared" si="106"/>
        <v>0</v>
      </c>
      <c r="T1001" s="167"/>
    </row>
    <row r="1002" customHeight="1" spans="2:20">
      <c r="B1002" s="166"/>
      <c r="C1002" s="164">
        <f t="shared" si="105"/>
        <v>9</v>
      </c>
      <c r="D1002" s="158" t="str">
        <f>VLOOKUP(C1002,DMSP!$A$1:$C$39,2,0)</f>
        <v>4.DƯỠNG RỄ</v>
      </c>
      <c r="E1002" s="159" t="str">
        <f>VLOOKUP(C1002,DMSP!$A$1:$C$39,3,0)</f>
        <v>CHITOSAN</v>
      </c>
      <c r="F1002" s="160">
        <f t="shared" si="103"/>
        <v>0</v>
      </c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62">
        <f t="shared" si="106"/>
        <v>0</v>
      </c>
      <c r="T1002" s="167"/>
    </row>
    <row r="1003" customHeight="1" spans="2:20">
      <c r="B1003" s="166"/>
      <c r="C1003" s="164">
        <f t="shared" si="105"/>
        <v>10</v>
      </c>
      <c r="D1003" s="158" t="str">
        <f>VLOOKUP(C1003,DMSP!$A$1:$C$39,2,0)</f>
        <v>4.DƯỠNG RỄ</v>
      </c>
      <c r="E1003" s="159" t="str">
        <f>VLOOKUP(C1003,DMSP!$A$1:$C$39,3,0)</f>
        <v>ĐẠM CÁ</v>
      </c>
      <c r="F1003" s="160">
        <f t="shared" si="103"/>
        <v>0</v>
      </c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62">
        <f t="shared" si="106"/>
        <v>0</v>
      </c>
      <c r="T1003" s="167"/>
    </row>
    <row r="1004" customHeight="1" spans="2:20">
      <c r="B1004" s="166"/>
      <c r="C1004" s="164">
        <f t="shared" si="105"/>
        <v>11</v>
      </c>
      <c r="D1004" s="158" t="str">
        <f>VLOOKUP(C1004,DMSP!$A$1:$C$39,2,0)</f>
        <v>4.DƯỠNG RỄ</v>
      </c>
      <c r="E1004" s="159" t="str">
        <f>VLOOKUP(C1004,DMSP!$A$1:$C$39,3,0)</f>
        <v>ĐẠM TÔM</v>
      </c>
      <c r="F1004" s="160">
        <f t="shared" si="103"/>
        <v>0</v>
      </c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62">
        <f t="shared" si="106"/>
        <v>0</v>
      </c>
      <c r="T1004" s="167"/>
    </row>
    <row r="1005" customHeight="1" spans="2:20">
      <c r="B1005" s="166"/>
      <c r="C1005" s="164">
        <f t="shared" si="105"/>
        <v>12</v>
      </c>
      <c r="D1005" s="158" t="str">
        <f>VLOOKUP(C1005,DMSP!$A$1:$C$39,2,0)</f>
        <v>4.DƯỠNG RỄ</v>
      </c>
      <c r="E1005" s="159" t="str">
        <f>VLOOKUP(C1005,DMSP!$A$1:$C$39,3,0)</f>
        <v>SUPERMIC</v>
      </c>
      <c r="F1005" s="160">
        <f t="shared" si="103"/>
        <v>0</v>
      </c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62">
        <f t="shared" si="106"/>
        <v>0</v>
      </c>
      <c r="T1005" s="167"/>
    </row>
    <row r="1006" customHeight="1" spans="2:20">
      <c r="B1006" s="166"/>
      <c r="C1006" s="164">
        <f t="shared" si="105"/>
        <v>13</v>
      </c>
      <c r="D1006" s="158" t="str">
        <f>VLOOKUP(C1006,DMSP!$A$1:$C$39,2,0)</f>
        <v>5.TRUYỀN THỐNG</v>
      </c>
      <c r="E1006" s="159" t="str">
        <f>VLOOKUP(C1006,DMSP!$A$1:$C$39,3,0)</f>
        <v>CABO</v>
      </c>
      <c r="F1006" s="160">
        <f t="shared" si="103"/>
        <v>0</v>
      </c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62">
        <f t="shared" si="106"/>
        <v>0</v>
      </c>
      <c r="T1006" s="167"/>
    </row>
    <row r="1007" customHeight="1" spans="2:20">
      <c r="B1007" s="166"/>
      <c r="C1007" s="164">
        <f t="shared" si="105"/>
        <v>14</v>
      </c>
      <c r="D1007" s="158" t="str">
        <f>VLOOKUP(C1007,DMSP!$A$1:$C$39,2,0)</f>
        <v>5.TRUYỀN THỐNG</v>
      </c>
      <c r="E1007" s="159" t="str">
        <f>VLOOKUP(C1007,DMSP!$A$1:$C$39,3,0)</f>
        <v>F94</v>
      </c>
      <c r="F1007" s="160">
        <f t="shared" si="103"/>
        <v>0</v>
      </c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62">
        <f t="shared" si="106"/>
        <v>0</v>
      </c>
      <c r="T1007" s="167"/>
    </row>
    <row r="1008" customHeight="1" spans="2:20">
      <c r="B1008" s="166"/>
      <c r="C1008" s="164">
        <f t="shared" si="105"/>
        <v>15</v>
      </c>
      <c r="D1008" s="158" t="str">
        <f>VLOOKUP(C1008,DMSP!$A$1:$C$39,2,0)</f>
        <v>5.TRUYỀN THỐNG</v>
      </c>
      <c r="E1008" s="159" t="str">
        <f>VLOOKUP(C1008,DMSP!$A$1:$C$39,3,0)</f>
        <v>F95</v>
      </c>
      <c r="F1008" s="160">
        <f t="shared" si="103"/>
        <v>0</v>
      </c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62">
        <f t="shared" si="106"/>
        <v>0</v>
      </c>
      <c r="T1008" s="167"/>
    </row>
    <row r="1009" customHeight="1" spans="2:20">
      <c r="B1009" s="166"/>
      <c r="C1009" s="164">
        <f t="shared" si="105"/>
        <v>16</v>
      </c>
      <c r="D1009" s="158" t="str">
        <f>VLOOKUP(C1009,DMSP!$A$1:$C$39,2,0)</f>
        <v>5.TRUYỀN THỐNG</v>
      </c>
      <c r="E1009" s="159" t="str">
        <f>VLOOKUP(C1009,DMSP!$A$1:$C$39,3,0)</f>
        <v>THIOURE</v>
      </c>
      <c r="F1009" s="160">
        <f t="shared" si="103"/>
        <v>0</v>
      </c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62">
        <f t="shared" si="106"/>
        <v>0</v>
      </c>
      <c r="T1009" s="167"/>
    </row>
    <row r="1010" customHeight="1" spans="2:20">
      <c r="B1010" s="166"/>
      <c r="C1010" s="164">
        <f t="shared" si="105"/>
        <v>17</v>
      </c>
      <c r="D1010" s="158" t="str">
        <f>VLOOKUP(C1010,DMSP!$A$1:$C$39,2,0)</f>
        <v>5.TRUYỀN THỐNG</v>
      </c>
      <c r="E1010" s="159" t="str">
        <f>VLOOKUP(C1010,DMSP!$A$1:$C$39,3,0)</f>
        <v>TOBA JUM</v>
      </c>
      <c r="F1010" s="160">
        <f t="shared" si="103"/>
        <v>0</v>
      </c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62">
        <f t="shared" si="106"/>
        <v>0</v>
      </c>
      <c r="T1010" s="167"/>
    </row>
    <row r="1011" customHeight="1" spans="2:20">
      <c r="B1011" s="166"/>
      <c r="C1011" s="164">
        <f t="shared" si="105"/>
        <v>18</v>
      </c>
      <c r="D1011" s="158" t="str">
        <f>VLOOKUP(C1011,DMSP!$A$1:$C$39,2,0)</f>
        <v>5.TRUYỀN THỐNG</v>
      </c>
      <c r="E1011" s="159" t="str">
        <f>VLOOKUP(C1011,DMSP!$A$1:$C$39,3,0)</f>
        <v>TOBA NET</v>
      </c>
      <c r="F1011" s="160">
        <f t="shared" si="103"/>
        <v>0</v>
      </c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62">
        <f t="shared" si="106"/>
        <v>0</v>
      </c>
      <c r="T1011" s="167"/>
    </row>
    <row r="1012" customHeight="1" spans="2:20">
      <c r="B1012" s="166"/>
      <c r="C1012" s="164">
        <f t="shared" si="105"/>
        <v>19</v>
      </c>
      <c r="D1012" s="158" t="str">
        <f>VLOOKUP(C1012,DMSP!$A$1:$C$39,2,0)</f>
        <v>6.BVTV</v>
      </c>
      <c r="E1012" s="159" t="str">
        <f>VLOOKUP(C1012,DMSP!$A$1:$C$39,3,0)</f>
        <v>ABAFAX 1.8</v>
      </c>
      <c r="F1012" s="160">
        <f t="shared" si="103"/>
        <v>0</v>
      </c>
      <c r="G1012" s="176"/>
      <c r="H1012" s="176"/>
      <c r="I1012" s="176"/>
      <c r="J1012" s="176"/>
      <c r="K1012" s="176"/>
      <c r="L1012" s="176"/>
      <c r="M1012" s="176"/>
      <c r="N1012" s="176"/>
      <c r="O1012" s="176"/>
      <c r="P1012" s="176"/>
      <c r="Q1012" s="176"/>
      <c r="R1012" s="176"/>
      <c r="S1012" s="162">
        <f t="shared" si="106"/>
        <v>0</v>
      </c>
      <c r="T1012" s="167"/>
    </row>
    <row r="1013" customHeight="1" spans="2:20">
      <c r="B1013" s="166"/>
      <c r="C1013" s="164">
        <f t="shared" si="105"/>
        <v>20</v>
      </c>
      <c r="D1013" s="158" t="str">
        <f>VLOOKUP(C1013,DMSP!$A$1:$C$39,2,0)</f>
        <v>6.BVTV</v>
      </c>
      <c r="E1013" s="159" t="str">
        <f>VLOOKUP(C1013,DMSP!$A$1:$C$39,3,0)</f>
        <v>ABAFAX 3.6</v>
      </c>
      <c r="F1013" s="160">
        <f t="shared" si="103"/>
        <v>0</v>
      </c>
      <c r="G1013" s="176"/>
      <c r="H1013" s="176"/>
      <c r="I1013" s="176"/>
      <c r="J1013" s="176"/>
      <c r="K1013" s="176"/>
      <c r="L1013" s="176"/>
      <c r="M1013" s="176"/>
      <c r="N1013" s="176"/>
      <c r="O1013" s="176"/>
      <c r="P1013" s="176"/>
      <c r="Q1013" s="176"/>
      <c r="R1013" s="176"/>
      <c r="S1013" s="162">
        <f t="shared" si="106"/>
        <v>0</v>
      </c>
      <c r="T1013" s="167"/>
    </row>
    <row r="1014" customHeight="1" spans="2:20">
      <c r="B1014" s="166"/>
      <c r="C1014" s="164">
        <f t="shared" si="105"/>
        <v>21</v>
      </c>
      <c r="D1014" s="158" t="str">
        <f>VLOOKUP(C1014,DMSP!$A$1:$C$39,2,0)</f>
        <v>6.BVTV</v>
      </c>
      <c r="E1014" s="159" t="str">
        <f>VLOOKUP(C1014,DMSP!$A$1:$C$39,3,0)</f>
        <v>AZET</v>
      </c>
      <c r="F1014" s="160">
        <f t="shared" si="103"/>
        <v>0</v>
      </c>
      <c r="G1014" s="176"/>
      <c r="H1014" s="176"/>
      <c r="I1014" s="176"/>
      <c r="J1014" s="176"/>
      <c r="K1014" s="176"/>
      <c r="L1014" s="176"/>
      <c r="M1014" s="176"/>
      <c r="N1014" s="176"/>
      <c r="O1014" s="176"/>
      <c r="P1014" s="176"/>
      <c r="Q1014" s="176"/>
      <c r="R1014" s="176"/>
      <c r="S1014" s="162">
        <f t="shared" si="106"/>
        <v>0</v>
      </c>
      <c r="T1014" s="167"/>
    </row>
    <row r="1015" customHeight="1" spans="2:20">
      <c r="B1015" s="166"/>
      <c r="C1015" s="164">
        <f t="shared" si="105"/>
        <v>22</v>
      </c>
      <c r="D1015" s="158" t="str">
        <f>VLOOKUP(C1015,DMSP!$A$1:$C$39,2,0)</f>
        <v>6.BVTV</v>
      </c>
      <c r="E1015" s="159" t="str">
        <f>VLOOKUP(C1015,DMSP!$A$1:$C$39,3,0)</f>
        <v>BACBA</v>
      </c>
      <c r="F1015" s="160">
        <f t="shared" si="103"/>
        <v>0</v>
      </c>
      <c r="G1015" s="176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176"/>
      <c r="R1015" s="176"/>
      <c r="S1015" s="162">
        <f t="shared" si="106"/>
        <v>0</v>
      </c>
      <c r="T1015" s="167"/>
    </row>
    <row r="1016" customHeight="1" spans="2:20">
      <c r="B1016" s="166"/>
      <c r="C1016" s="164">
        <f t="shared" si="105"/>
        <v>23</v>
      </c>
      <c r="D1016" s="158" t="str">
        <f>VLOOKUP(C1016,DMSP!$A$1:$C$39,2,0)</f>
        <v>6.BVTV</v>
      </c>
      <c r="E1016" s="159" t="str">
        <f>VLOOKUP(C1016,DMSP!$A$1:$C$39,3,0)</f>
        <v>BIOROSAMIL</v>
      </c>
      <c r="F1016" s="160">
        <f t="shared" si="103"/>
        <v>0</v>
      </c>
      <c r="G1016" s="176"/>
      <c r="H1016" s="176"/>
      <c r="I1016" s="176"/>
      <c r="J1016" s="176"/>
      <c r="K1016" s="176"/>
      <c r="L1016" s="176"/>
      <c r="M1016" s="176"/>
      <c r="N1016" s="176"/>
      <c r="O1016" s="176"/>
      <c r="P1016" s="176"/>
      <c r="Q1016" s="176"/>
      <c r="R1016" s="176"/>
      <c r="S1016" s="162">
        <f t="shared" si="106"/>
        <v>0</v>
      </c>
      <c r="T1016" s="167"/>
    </row>
    <row r="1017" customHeight="1" spans="2:20">
      <c r="B1017" s="166"/>
      <c r="C1017" s="164">
        <f t="shared" si="105"/>
        <v>24</v>
      </c>
      <c r="D1017" s="158" t="str">
        <f>VLOOKUP(C1017,DMSP!$A$1:$C$39,2,0)</f>
        <v>6.BVTV</v>
      </c>
      <c r="E1017" s="159" t="str">
        <f>VLOOKUP(C1017,DMSP!$A$1:$C$39,3,0)</f>
        <v>COC 86</v>
      </c>
      <c r="F1017" s="160">
        <f t="shared" si="103"/>
        <v>0</v>
      </c>
      <c r="G1017" s="176"/>
      <c r="H1017" s="176"/>
      <c r="I1017" s="176"/>
      <c r="J1017" s="176"/>
      <c r="K1017" s="176"/>
      <c r="L1017" s="176"/>
      <c r="M1017" s="176"/>
      <c r="N1017" s="176"/>
      <c r="O1017" s="176"/>
      <c r="P1017" s="176"/>
      <c r="Q1017" s="176"/>
      <c r="R1017" s="176"/>
      <c r="S1017" s="162">
        <f t="shared" si="106"/>
        <v>0</v>
      </c>
      <c r="T1017" s="167"/>
    </row>
    <row r="1018" customHeight="1" spans="2:20">
      <c r="B1018" s="166"/>
      <c r="C1018" s="164">
        <f t="shared" si="105"/>
        <v>25</v>
      </c>
      <c r="D1018" s="158" t="str">
        <f>VLOOKUP(C1018,DMSP!$A$1:$C$39,2,0)</f>
        <v>6.BVTV</v>
      </c>
      <c r="E1018" s="159" t="str">
        <f>VLOOKUP(C1018,DMSP!$A$1:$C$39,3,0)</f>
        <v>HEXA 5</v>
      </c>
      <c r="F1018" s="160">
        <f t="shared" si="103"/>
        <v>0</v>
      </c>
      <c r="G1018" s="176"/>
      <c r="H1018" s="176"/>
      <c r="I1018" s="176"/>
      <c r="J1018" s="176"/>
      <c r="K1018" s="176"/>
      <c r="L1018" s="176"/>
      <c r="M1018" s="176"/>
      <c r="N1018" s="176"/>
      <c r="O1018" s="176"/>
      <c r="P1018" s="176"/>
      <c r="Q1018" s="176"/>
      <c r="R1018" s="176"/>
      <c r="S1018" s="162">
        <f t="shared" si="106"/>
        <v>0</v>
      </c>
      <c r="T1018" s="167"/>
    </row>
    <row r="1019" customHeight="1" spans="2:20">
      <c r="B1019" s="166"/>
      <c r="C1019" s="164">
        <f t="shared" si="105"/>
        <v>26</v>
      </c>
      <c r="D1019" s="158" t="str">
        <f>VLOOKUP(C1019,DMSP!$A$1:$C$39,2,0)</f>
        <v>6.BVTV</v>
      </c>
      <c r="E1019" s="159" t="str">
        <f>VLOOKUP(C1019,DMSP!$A$1:$C$39,3,0)</f>
        <v>TAMALA</v>
      </c>
      <c r="F1019" s="160">
        <f t="shared" si="103"/>
        <v>0</v>
      </c>
      <c r="G1019" s="176"/>
      <c r="H1019" s="176"/>
      <c r="I1019" s="176"/>
      <c r="J1019" s="176"/>
      <c r="K1019" s="176"/>
      <c r="L1019" s="176"/>
      <c r="M1019" s="176"/>
      <c r="N1019" s="176"/>
      <c r="O1019" s="176"/>
      <c r="P1019" s="176"/>
      <c r="Q1019" s="176"/>
      <c r="R1019" s="176"/>
      <c r="S1019" s="162">
        <f t="shared" si="106"/>
        <v>0</v>
      </c>
      <c r="T1019" s="167"/>
    </row>
    <row r="1020" customHeight="1" spans="2:20">
      <c r="B1020" s="166"/>
      <c r="C1020" s="164">
        <f t="shared" si="105"/>
        <v>27</v>
      </c>
      <c r="D1020" s="158" t="str">
        <f>VLOOKUP(C1020,DMSP!$A$1:$C$39,2,0)</f>
        <v>7.KHÁC</v>
      </c>
      <c r="E1020" s="159" t="str">
        <f>VLOOKUP(C1020,DMSP!$A$1:$C$39,3,0)</f>
        <v>KẼM VÀNG</v>
      </c>
      <c r="F1020" s="160">
        <f t="shared" si="103"/>
        <v>0</v>
      </c>
      <c r="G1020" s="176"/>
      <c r="H1020" s="176"/>
      <c r="I1020" s="176"/>
      <c r="J1020" s="176"/>
      <c r="K1020" s="176"/>
      <c r="L1020" s="176"/>
      <c r="M1020" s="176"/>
      <c r="N1020" s="176"/>
      <c r="O1020" s="176"/>
      <c r="P1020" s="176"/>
      <c r="Q1020" s="176"/>
      <c r="R1020" s="176"/>
      <c r="S1020" s="162">
        <f t="shared" si="106"/>
        <v>0</v>
      </c>
      <c r="T1020" s="167"/>
    </row>
    <row r="1021" customHeight="1" spans="2:20">
      <c r="B1021" s="166"/>
      <c r="C1021" s="164">
        <f t="shared" si="105"/>
        <v>28</v>
      </c>
      <c r="D1021" s="158" t="str">
        <f>VLOOKUP(C1021,DMSP!$A$1:$C$39,2,0)</f>
        <v>7.KHÁC</v>
      </c>
      <c r="E1021" s="159" t="str">
        <f>VLOOKUP(C1021,DMSP!$A$1:$C$39,3,0)</f>
        <v>KHÁC1</v>
      </c>
      <c r="F1021" s="160">
        <f t="shared" si="103"/>
        <v>0</v>
      </c>
      <c r="G1021" s="176"/>
      <c r="H1021" s="176"/>
      <c r="I1021" s="176"/>
      <c r="J1021" s="176"/>
      <c r="K1021" s="176"/>
      <c r="L1021" s="176"/>
      <c r="M1021" s="176"/>
      <c r="N1021" s="176"/>
      <c r="O1021" s="176"/>
      <c r="P1021" s="176"/>
      <c r="Q1021" s="176"/>
      <c r="R1021" s="176"/>
      <c r="S1021" s="162">
        <f t="shared" si="106"/>
        <v>0</v>
      </c>
      <c r="T1021" s="167"/>
    </row>
    <row r="1022" customHeight="1" spans="2:20">
      <c r="B1022" s="166"/>
      <c r="C1022" s="164">
        <f t="shared" si="105"/>
        <v>29</v>
      </c>
      <c r="D1022" s="158" t="str">
        <f>VLOOKUP(C1022,DMSP!$A$1:$C$39,2,0)</f>
        <v>7.KHÁC</v>
      </c>
      <c r="E1022" s="169" t="s">
        <v>13</v>
      </c>
      <c r="F1022" s="160">
        <f t="shared" si="103"/>
        <v>0</v>
      </c>
      <c r="G1022" s="176"/>
      <c r="H1022" s="176"/>
      <c r="I1022" s="176"/>
      <c r="J1022" s="176"/>
      <c r="K1022" s="176"/>
      <c r="L1022" s="176"/>
      <c r="M1022" s="176"/>
      <c r="N1022" s="176"/>
      <c r="O1022" s="176"/>
      <c r="P1022" s="176"/>
      <c r="Q1022" s="176"/>
      <c r="R1022" s="176"/>
      <c r="S1022" s="162">
        <f t="shared" si="106"/>
        <v>0</v>
      </c>
      <c r="T1022" s="167"/>
    </row>
    <row r="1023" customHeight="1" spans="2:20">
      <c r="B1023" s="166"/>
      <c r="C1023" s="164">
        <f t="shared" si="105"/>
        <v>30</v>
      </c>
      <c r="D1023" s="158" t="str">
        <f>VLOOKUP(C1023,DMSP!$A$1:$C$39,2,0)</f>
        <v>7.KHÁC</v>
      </c>
      <c r="E1023" s="159" t="str">
        <f>VLOOKUP(C1023,DMSP!$A$1:$C$39,3,0)</f>
        <v>RỬA RONG RÊU</v>
      </c>
      <c r="F1023" s="160">
        <f t="shared" si="103"/>
        <v>0</v>
      </c>
      <c r="G1023" s="176"/>
      <c r="H1023" s="176"/>
      <c r="I1023" s="176"/>
      <c r="J1023" s="176"/>
      <c r="K1023" s="176"/>
      <c r="L1023" s="176"/>
      <c r="M1023" s="176"/>
      <c r="N1023" s="176"/>
      <c r="O1023" s="176"/>
      <c r="P1023" s="176"/>
      <c r="Q1023" s="176"/>
      <c r="R1023" s="176"/>
      <c r="S1023" s="162">
        <f t="shared" si="106"/>
        <v>0</v>
      </c>
      <c r="T1023" s="167"/>
    </row>
    <row r="1024" customHeight="1" spans="2:20">
      <c r="B1024" s="166"/>
      <c r="C1024" s="164">
        <f t="shared" si="105"/>
        <v>31</v>
      </c>
      <c r="D1024" s="158" t="str">
        <f>VLOOKUP(C1024,DMSP!$A$1:$C$39,2,0)</f>
        <v>7.KHÁC</v>
      </c>
      <c r="E1024" s="159" t="str">
        <f>VLOOKUP(C1024,DMSP!$A$1:$C$39,3,0)</f>
        <v>TB BO</v>
      </c>
      <c r="F1024" s="160">
        <f t="shared" si="103"/>
        <v>0</v>
      </c>
      <c r="G1024" s="176"/>
      <c r="H1024" s="176"/>
      <c r="I1024" s="176"/>
      <c r="J1024" s="176"/>
      <c r="K1024" s="176"/>
      <c r="L1024" s="176"/>
      <c r="M1024" s="176"/>
      <c r="N1024" s="176"/>
      <c r="O1024" s="176"/>
      <c r="P1024" s="176"/>
      <c r="Q1024" s="176"/>
      <c r="R1024" s="176"/>
      <c r="S1024" s="162">
        <f t="shared" si="106"/>
        <v>0</v>
      </c>
      <c r="T1024" s="167"/>
    </row>
    <row r="1025" customHeight="1" spans="2:20">
      <c r="B1025" s="166"/>
      <c r="C1025" s="164">
        <f t="shared" si="105"/>
        <v>32</v>
      </c>
      <c r="D1025" s="158" t="str">
        <f>VLOOKUP(C1025,DMSP!$A$1:$C$39,2,0)</f>
        <v>7.KHÁC</v>
      </c>
      <c r="E1025" s="159" t="str">
        <f>VLOOKUP(C1025,DMSP!$A$1:$C$39,3,0)</f>
        <v>TB FRUIT</v>
      </c>
      <c r="F1025" s="160">
        <f t="shared" si="103"/>
        <v>0</v>
      </c>
      <c r="G1025" s="176"/>
      <c r="H1025" s="176"/>
      <c r="I1025" s="176"/>
      <c r="J1025" s="176"/>
      <c r="K1025" s="176"/>
      <c r="L1025" s="176"/>
      <c r="M1025" s="176"/>
      <c r="N1025" s="176"/>
      <c r="O1025" s="176"/>
      <c r="P1025" s="176"/>
      <c r="Q1025" s="176"/>
      <c r="R1025" s="176"/>
      <c r="S1025" s="162">
        <f t="shared" si="106"/>
        <v>0</v>
      </c>
      <c r="T1025" s="167"/>
    </row>
    <row r="1026" customHeight="1" spans="2:20">
      <c r="B1026" s="166"/>
      <c r="C1026" s="164">
        <f t="shared" si="105"/>
        <v>33</v>
      </c>
      <c r="D1026" s="158" t="str">
        <f>VLOOKUP(C1026,DMSP!$A$1:$C$39,2,0)</f>
        <v>7.KHÁC</v>
      </c>
      <c r="E1026" s="159" t="str">
        <f>VLOOKUP(C1026,DMSP!$A$1:$C$39,3,0)</f>
        <v>TB PHOS</v>
      </c>
      <c r="F1026" s="160">
        <f t="shared" si="103"/>
        <v>0</v>
      </c>
      <c r="G1026" s="176"/>
      <c r="H1026" s="176"/>
      <c r="I1026" s="176"/>
      <c r="J1026" s="176"/>
      <c r="K1026" s="176"/>
      <c r="L1026" s="176"/>
      <c r="M1026" s="176"/>
      <c r="N1026" s="176"/>
      <c r="O1026" s="176"/>
      <c r="P1026" s="176"/>
      <c r="Q1026" s="176"/>
      <c r="R1026" s="176"/>
      <c r="S1026" s="162">
        <f t="shared" si="106"/>
        <v>0</v>
      </c>
      <c r="T1026" s="167"/>
    </row>
    <row r="1027" customHeight="1" spans="2:20">
      <c r="B1027" s="166"/>
      <c r="C1027" s="164">
        <f t="shared" si="105"/>
        <v>34</v>
      </c>
      <c r="D1027" s="158" t="str">
        <f>VLOOKUP(C1027,DMSP!$A$1:$C$39,2,0)</f>
        <v>7.KHÁC</v>
      </c>
      <c r="E1027" s="159" t="str">
        <f>VLOOKUP(C1027,DMSP!$A$1:$C$39,3,0)</f>
        <v>TOBA BÁM DÍNH</v>
      </c>
      <c r="F1027" s="160">
        <f t="shared" si="103"/>
        <v>0</v>
      </c>
      <c r="G1027" s="176"/>
      <c r="H1027" s="176"/>
      <c r="I1027" s="176"/>
      <c r="J1027" s="176"/>
      <c r="K1027" s="176"/>
      <c r="L1027" s="176"/>
      <c r="M1027" s="176"/>
      <c r="N1027" s="176"/>
      <c r="O1027" s="176"/>
      <c r="P1027" s="176"/>
      <c r="Q1027" s="176"/>
      <c r="R1027" s="176"/>
      <c r="S1027" s="162">
        <f t="shared" si="106"/>
        <v>0</v>
      </c>
      <c r="T1027" s="167"/>
    </row>
    <row r="1028" customHeight="1" spans="2:20">
      <c r="B1028" s="166"/>
      <c r="C1028" s="164">
        <f t="shared" si="105"/>
        <v>35</v>
      </c>
      <c r="D1028" s="158" t="str">
        <f>VLOOKUP(C1028,DMSP!$A$1:$C$39,2,0)</f>
        <v>7.KHÁC</v>
      </c>
      <c r="E1028" s="159" t="str">
        <f>VLOOKUP(C1028,DMSP!$A$1:$C$39,3,0)</f>
        <v>VỌT HOA NHÃN</v>
      </c>
      <c r="F1028" s="160">
        <f t="shared" si="103"/>
        <v>0</v>
      </c>
      <c r="G1028" s="176"/>
      <c r="H1028" s="176"/>
      <c r="I1028" s="176"/>
      <c r="J1028" s="176"/>
      <c r="K1028" s="176"/>
      <c r="L1028" s="176"/>
      <c r="M1028" s="176"/>
      <c r="N1028" s="176"/>
      <c r="O1028" s="176"/>
      <c r="P1028" s="176"/>
      <c r="Q1028" s="176"/>
      <c r="R1028" s="176"/>
      <c r="S1028" s="162">
        <f t="shared" si="106"/>
        <v>0</v>
      </c>
      <c r="T1028" s="167"/>
    </row>
    <row r="1029" customHeight="1" spans="2:20">
      <c r="B1029" s="166"/>
      <c r="C1029" s="164">
        <f t="shared" si="105"/>
        <v>36</v>
      </c>
      <c r="D1029" s="158" t="str">
        <f>VLOOKUP(C1029,DMSP!$A$1:$C$39,2,0)</f>
        <v>7.KHÁC</v>
      </c>
      <c r="E1029" s="159" t="str">
        <f>VLOOKUP(C1029,DMSP!$A$1:$C$39,3,0)</f>
        <v>VỌT HOA XOÀI</v>
      </c>
      <c r="F1029" s="160">
        <f t="shared" si="103"/>
        <v>0</v>
      </c>
      <c r="G1029" s="176"/>
      <c r="H1029" s="176"/>
      <c r="I1029" s="176"/>
      <c r="J1029" s="176"/>
      <c r="K1029" s="176"/>
      <c r="L1029" s="176"/>
      <c r="M1029" s="176"/>
      <c r="N1029" s="176"/>
      <c r="O1029" s="176"/>
      <c r="P1029" s="176"/>
      <c r="Q1029" s="176"/>
      <c r="R1029" s="176"/>
      <c r="S1029" s="162">
        <f t="shared" si="106"/>
        <v>0</v>
      </c>
      <c r="T1029" s="167"/>
    </row>
    <row r="1030" customHeight="1" spans="2:20">
      <c r="B1030" s="166"/>
      <c r="C1030" s="164">
        <f t="shared" si="105"/>
        <v>37</v>
      </c>
      <c r="D1030" s="158" t="str">
        <f>VLOOKUP(C1030,DMSP!$A$1:$C$39,2,0)</f>
        <v>7.KHÁC</v>
      </c>
      <c r="E1030" s="159" t="str">
        <f>VLOOKUP(C1030,DMSP!$A$1:$C$39,3,0)</f>
        <v>VỌT HOA XOÀI</v>
      </c>
      <c r="F1030" s="160">
        <f t="shared" si="103"/>
        <v>0</v>
      </c>
      <c r="G1030" s="176"/>
      <c r="H1030" s="176"/>
      <c r="I1030" s="176"/>
      <c r="J1030" s="176"/>
      <c r="K1030" s="176"/>
      <c r="L1030" s="176"/>
      <c r="M1030" s="176"/>
      <c r="N1030" s="176"/>
      <c r="O1030" s="176"/>
      <c r="P1030" s="176"/>
      <c r="Q1030" s="176"/>
      <c r="R1030" s="176"/>
      <c r="S1030" s="162">
        <f t="shared" si="106"/>
        <v>0</v>
      </c>
      <c r="T1030" s="167"/>
    </row>
    <row r="1031" customHeight="1" spans="2:20">
      <c r="B1031" s="92"/>
      <c r="C1031" s="170">
        <f t="shared" ref="C1031" si="107">B994</f>
        <v>0</v>
      </c>
      <c r="D1031" s="171"/>
      <c r="E1031" s="172" t="str">
        <f>"TOTAL "&amp;B994</f>
        <v>TOTAL </v>
      </c>
      <c r="F1031" s="173">
        <f t="shared" ref="F1031:F1094" si="108">S1031</f>
        <v>0</v>
      </c>
      <c r="G1031" s="174">
        <f>SUM(G994:G1030)</f>
        <v>0</v>
      </c>
      <c r="H1031" s="174">
        <f t="shared" ref="H1031:R1031" si="109">SUM(H994:H1030)</f>
        <v>0</v>
      </c>
      <c r="I1031" s="174">
        <f t="shared" si="109"/>
        <v>0</v>
      </c>
      <c r="J1031" s="174">
        <f t="shared" si="109"/>
        <v>0</v>
      </c>
      <c r="K1031" s="174">
        <f t="shared" si="109"/>
        <v>0</v>
      </c>
      <c r="L1031" s="174">
        <f t="shared" si="109"/>
        <v>0</v>
      </c>
      <c r="M1031" s="174">
        <f t="shared" si="109"/>
        <v>0</v>
      </c>
      <c r="N1031" s="174">
        <f t="shared" si="109"/>
        <v>0</v>
      </c>
      <c r="O1031" s="174">
        <f t="shared" si="109"/>
        <v>0</v>
      </c>
      <c r="P1031" s="174">
        <f t="shared" si="109"/>
        <v>0</v>
      </c>
      <c r="Q1031" s="174">
        <f t="shared" si="109"/>
        <v>0</v>
      </c>
      <c r="R1031" s="174">
        <f t="shared" si="109"/>
        <v>0</v>
      </c>
      <c r="S1031" s="174">
        <f t="shared" si="106"/>
        <v>0</v>
      </c>
      <c r="T1031" s="175"/>
    </row>
    <row r="1032" customHeight="1" spans="2:20">
      <c r="B1032" s="156"/>
      <c r="C1032" s="157">
        <v>1</v>
      </c>
      <c r="D1032" s="158" t="str">
        <f>VLOOKUP(C1032,DMSP!$A$1:$C$39,2,0)</f>
        <v>1.TOBA XANH</v>
      </c>
      <c r="E1032" s="159" t="str">
        <f>VLOOKUP(C1032,DMSP!$A$1:$C$39,3,0)</f>
        <v>TOBA XANH</v>
      </c>
      <c r="F1032" s="160">
        <f t="shared" si="108"/>
        <v>0</v>
      </c>
      <c r="G1032" s="176"/>
      <c r="H1032" s="176"/>
      <c r="I1032" s="176"/>
      <c r="J1032" s="176"/>
      <c r="K1032" s="176"/>
      <c r="L1032" s="176"/>
      <c r="M1032" s="176"/>
      <c r="N1032" s="176"/>
      <c r="O1032" s="176"/>
      <c r="P1032" s="176"/>
      <c r="Q1032" s="176"/>
      <c r="R1032" s="176"/>
      <c r="S1032" s="162">
        <f t="shared" si="106"/>
        <v>0</v>
      </c>
      <c r="T1032" s="163">
        <f>S1069</f>
        <v>0</v>
      </c>
    </row>
    <row r="1033" customHeight="1" spans="2:20">
      <c r="B1033" s="166"/>
      <c r="C1033" s="164">
        <f t="shared" si="105"/>
        <v>2</v>
      </c>
      <c r="D1033" s="158" t="str">
        <f>VLOOKUP(C1033,DMSP!$A$1:$C$39,2,0)</f>
        <v>2.HC</v>
      </c>
      <c r="E1033" s="159" t="str">
        <f>VLOOKUP(C1033,DMSP!$A$1:$C$39,3,0)</f>
        <v>HC BOOSTER</v>
      </c>
      <c r="F1033" s="160">
        <f t="shared" si="108"/>
        <v>0</v>
      </c>
      <c r="G1033" s="176"/>
      <c r="H1033" s="176"/>
      <c r="I1033" s="176"/>
      <c r="J1033" s="176"/>
      <c r="K1033" s="176"/>
      <c r="L1033" s="176"/>
      <c r="M1033" s="176"/>
      <c r="N1033" s="176"/>
      <c r="O1033" s="176"/>
      <c r="P1033" s="176"/>
      <c r="Q1033" s="176"/>
      <c r="R1033" s="176"/>
      <c r="S1033" s="162">
        <f t="shared" ref="S1033:S1070" si="110">SUM(G1033:R1033)</f>
        <v>0</v>
      </c>
      <c r="T1033" s="167"/>
    </row>
    <row r="1034" customHeight="1" spans="2:20">
      <c r="B1034" s="166"/>
      <c r="C1034" s="164">
        <f t="shared" si="105"/>
        <v>3</v>
      </c>
      <c r="D1034" s="158" t="str">
        <f>VLOOKUP(C1034,DMSP!$A$1:$C$39,2,0)</f>
        <v>2.HC</v>
      </c>
      <c r="E1034" s="159" t="str">
        <f>VLOOKUP(C1034,DMSP!$A$1:$C$39,3,0)</f>
        <v>HC KING-ROOT</v>
      </c>
      <c r="F1034" s="160">
        <f t="shared" si="108"/>
        <v>0</v>
      </c>
      <c r="G1034" s="176"/>
      <c r="H1034" s="176"/>
      <c r="I1034" s="176"/>
      <c r="J1034" s="176"/>
      <c r="K1034" s="176"/>
      <c r="L1034" s="176"/>
      <c r="M1034" s="176"/>
      <c r="N1034" s="176"/>
      <c r="O1034" s="176"/>
      <c r="P1034" s="176"/>
      <c r="Q1034" s="176"/>
      <c r="R1034" s="176"/>
      <c r="S1034" s="162">
        <f t="shared" si="110"/>
        <v>0</v>
      </c>
      <c r="T1034" s="167"/>
    </row>
    <row r="1035" customHeight="1" spans="2:20">
      <c r="B1035" s="166"/>
      <c r="C1035" s="164">
        <f t="shared" si="105"/>
        <v>4</v>
      </c>
      <c r="D1035" s="158" t="str">
        <f>VLOOKUP(C1035,DMSP!$A$1:$C$39,2,0)</f>
        <v>2.HC</v>
      </c>
      <c r="E1035" s="159" t="str">
        <f>VLOOKUP(C1035,DMSP!$A$1:$C$39,3,0)</f>
        <v>HAPPY FARM</v>
      </c>
      <c r="F1035" s="160">
        <f t="shared" si="108"/>
        <v>0</v>
      </c>
      <c r="G1035" s="176"/>
      <c r="H1035" s="176"/>
      <c r="I1035" s="176"/>
      <c r="J1035" s="176"/>
      <c r="K1035" s="176"/>
      <c r="L1035" s="176"/>
      <c r="M1035" s="176"/>
      <c r="N1035" s="176"/>
      <c r="O1035" s="176"/>
      <c r="P1035" s="176"/>
      <c r="Q1035" s="176"/>
      <c r="R1035" s="176"/>
      <c r="S1035" s="162">
        <f t="shared" si="110"/>
        <v>0</v>
      </c>
      <c r="T1035" s="167"/>
    </row>
    <row r="1036" customHeight="1" spans="2:20">
      <c r="B1036" s="166"/>
      <c r="C1036" s="164">
        <f t="shared" si="105"/>
        <v>5</v>
      </c>
      <c r="D1036" s="158" t="str">
        <f>VLOOKUP(C1036,DMSP!$A$1:$C$39,2,0)</f>
        <v>2.HC</v>
      </c>
      <c r="E1036" s="159" t="str">
        <f>VLOOKUP(C1036,DMSP!$A$1:$C$39,3,0)</f>
        <v>WOW</v>
      </c>
      <c r="F1036" s="160">
        <f t="shared" si="108"/>
        <v>0</v>
      </c>
      <c r="G1036" s="176"/>
      <c r="H1036" s="176"/>
      <c r="I1036" s="176"/>
      <c r="J1036" s="176"/>
      <c r="K1036" s="176"/>
      <c r="L1036" s="176"/>
      <c r="M1036" s="176"/>
      <c r="N1036" s="176"/>
      <c r="O1036" s="176"/>
      <c r="P1036" s="176"/>
      <c r="Q1036" s="176"/>
      <c r="R1036" s="176"/>
      <c r="S1036" s="162">
        <f t="shared" si="110"/>
        <v>0</v>
      </c>
      <c r="T1036" s="167"/>
    </row>
    <row r="1037" customHeight="1" spans="2:20">
      <c r="B1037" s="166"/>
      <c r="C1037" s="164">
        <f t="shared" si="105"/>
        <v>6</v>
      </c>
      <c r="D1037" s="158" t="str">
        <f>VLOOKUP(C1037,DMSP!$A$1:$C$39,2,0)</f>
        <v>3.SPRAY </v>
      </c>
      <c r="E1037" s="159" t="str">
        <f>VLOOKUP(C1037,DMSP!$A$1:$C$39,3,0)</f>
        <v>KELPIT</v>
      </c>
      <c r="F1037" s="160">
        <f t="shared" si="108"/>
        <v>0</v>
      </c>
      <c r="G1037" s="176"/>
      <c r="H1037" s="176"/>
      <c r="I1037" s="176"/>
      <c r="J1037" s="176"/>
      <c r="K1037" s="176"/>
      <c r="L1037" s="176"/>
      <c r="M1037" s="176"/>
      <c r="N1037" s="176"/>
      <c r="O1037" s="176"/>
      <c r="P1037" s="176"/>
      <c r="Q1037" s="176"/>
      <c r="R1037" s="176"/>
      <c r="S1037" s="162">
        <f t="shared" si="110"/>
        <v>0</v>
      </c>
      <c r="T1037" s="167"/>
    </row>
    <row r="1038" customHeight="1" spans="2:20">
      <c r="B1038" s="166"/>
      <c r="C1038" s="164">
        <f t="shared" si="105"/>
        <v>7</v>
      </c>
      <c r="D1038" s="158" t="str">
        <f>VLOOKUP(C1038,DMSP!$A$1:$C$39,2,0)</f>
        <v>3.SPRAY </v>
      </c>
      <c r="E1038" s="159" t="str">
        <f>VLOOKUP(C1038,DMSP!$A$1:$C$39,3,0)</f>
        <v>SI-K</v>
      </c>
      <c r="F1038" s="160">
        <f t="shared" si="108"/>
        <v>0</v>
      </c>
      <c r="G1038" s="176"/>
      <c r="H1038" s="176"/>
      <c r="I1038" s="176"/>
      <c r="J1038" s="176"/>
      <c r="K1038" s="176"/>
      <c r="L1038" s="176"/>
      <c r="M1038" s="176"/>
      <c r="N1038" s="176"/>
      <c r="O1038" s="176"/>
      <c r="P1038" s="176"/>
      <c r="Q1038" s="176"/>
      <c r="R1038" s="176"/>
      <c r="S1038" s="162">
        <f t="shared" si="110"/>
        <v>0</v>
      </c>
      <c r="T1038" s="167"/>
    </row>
    <row r="1039" customHeight="1" spans="2:20">
      <c r="B1039" s="166"/>
      <c r="C1039" s="164">
        <f t="shared" si="105"/>
        <v>8</v>
      </c>
      <c r="D1039" s="158" t="str">
        <f>VLOOKUP(C1039,DMSP!$A$1:$C$39,2,0)</f>
        <v>3.SPRAY </v>
      </c>
      <c r="E1039" s="159" t="str">
        <f>VLOOKUP(C1039,DMSP!$A$1:$C$39,3,0)</f>
        <v>SPRAY PHOS 620</v>
      </c>
      <c r="F1039" s="160">
        <f t="shared" si="108"/>
        <v>0</v>
      </c>
      <c r="G1039" s="176"/>
      <c r="H1039" s="176"/>
      <c r="I1039" s="176"/>
      <c r="J1039" s="176"/>
      <c r="K1039" s="176"/>
      <c r="L1039" s="176"/>
      <c r="M1039" s="176"/>
      <c r="N1039" s="176"/>
      <c r="O1039" s="176"/>
      <c r="P1039" s="176"/>
      <c r="Q1039" s="176"/>
      <c r="R1039" s="176"/>
      <c r="S1039" s="162">
        <f t="shared" si="110"/>
        <v>0</v>
      </c>
      <c r="T1039" s="167"/>
    </row>
    <row r="1040" customHeight="1" spans="2:20">
      <c r="B1040" s="166"/>
      <c r="C1040" s="164">
        <f t="shared" si="105"/>
        <v>9</v>
      </c>
      <c r="D1040" s="158" t="str">
        <f>VLOOKUP(C1040,DMSP!$A$1:$C$39,2,0)</f>
        <v>4.DƯỠNG RỄ</v>
      </c>
      <c r="E1040" s="159" t="str">
        <f>VLOOKUP(C1040,DMSP!$A$1:$C$39,3,0)</f>
        <v>CHITOSAN</v>
      </c>
      <c r="F1040" s="160">
        <f t="shared" si="108"/>
        <v>0</v>
      </c>
      <c r="G1040" s="176"/>
      <c r="H1040" s="176"/>
      <c r="I1040" s="176"/>
      <c r="J1040" s="176"/>
      <c r="K1040" s="176"/>
      <c r="L1040" s="176"/>
      <c r="M1040" s="176"/>
      <c r="N1040" s="176"/>
      <c r="O1040" s="176"/>
      <c r="P1040" s="176"/>
      <c r="Q1040" s="176"/>
      <c r="R1040" s="176"/>
      <c r="S1040" s="162">
        <f t="shared" si="110"/>
        <v>0</v>
      </c>
      <c r="T1040" s="167"/>
    </row>
    <row r="1041" customHeight="1" spans="2:20">
      <c r="B1041" s="166"/>
      <c r="C1041" s="164">
        <f t="shared" si="105"/>
        <v>10</v>
      </c>
      <c r="D1041" s="158" t="str">
        <f>VLOOKUP(C1041,DMSP!$A$1:$C$39,2,0)</f>
        <v>4.DƯỠNG RỄ</v>
      </c>
      <c r="E1041" s="159" t="str">
        <f>VLOOKUP(C1041,DMSP!$A$1:$C$39,3,0)</f>
        <v>ĐẠM CÁ</v>
      </c>
      <c r="F1041" s="160">
        <f t="shared" si="108"/>
        <v>0</v>
      </c>
      <c r="G1041" s="176"/>
      <c r="H1041" s="176"/>
      <c r="I1041" s="176"/>
      <c r="J1041" s="176"/>
      <c r="K1041" s="176"/>
      <c r="L1041" s="176"/>
      <c r="M1041" s="176"/>
      <c r="N1041" s="176"/>
      <c r="O1041" s="176"/>
      <c r="P1041" s="176"/>
      <c r="Q1041" s="176"/>
      <c r="R1041" s="176"/>
      <c r="S1041" s="162">
        <f t="shared" si="110"/>
        <v>0</v>
      </c>
      <c r="T1041" s="167"/>
    </row>
    <row r="1042" customHeight="1" spans="2:20">
      <c r="B1042" s="166"/>
      <c r="C1042" s="164">
        <f t="shared" si="105"/>
        <v>11</v>
      </c>
      <c r="D1042" s="158" t="str">
        <f>VLOOKUP(C1042,DMSP!$A$1:$C$39,2,0)</f>
        <v>4.DƯỠNG RỄ</v>
      </c>
      <c r="E1042" s="159" t="str">
        <f>VLOOKUP(C1042,DMSP!$A$1:$C$39,3,0)</f>
        <v>ĐẠM TÔM</v>
      </c>
      <c r="F1042" s="160">
        <f t="shared" si="108"/>
        <v>0</v>
      </c>
      <c r="G1042" s="176"/>
      <c r="H1042" s="176"/>
      <c r="I1042" s="176"/>
      <c r="J1042" s="176"/>
      <c r="K1042" s="176"/>
      <c r="L1042" s="176"/>
      <c r="M1042" s="176"/>
      <c r="N1042" s="176"/>
      <c r="O1042" s="176"/>
      <c r="P1042" s="176"/>
      <c r="Q1042" s="176"/>
      <c r="R1042" s="176"/>
      <c r="S1042" s="162">
        <f t="shared" si="110"/>
        <v>0</v>
      </c>
      <c r="T1042" s="167"/>
    </row>
    <row r="1043" customHeight="1" spans="2:20">
      <c r="B1043" s="166"/>
      <c r="C1043" s="164">
        <f t="shared" si="105"/>
        <v>12</v>
      </c>
      <c r="D1043" s="158" t="str">
        <f>VLOOKUP(C1043,DMSP!$A$1:$C$39,2,0)</f>
        <v>4.DƯỠNG RỄ</v>
      </c>
      <c r="E1043" s="159" t="str">
        <f>VLOOKUP(C1043,DMSP!$A$1:$C$39,3,0)</f>
        <v>SUPERMIC</v>
      </c>
      <c r="F1043" s="160">
        <f t="shared" si="108"/>
        <v>0</v>
      </c>
      <c r="G1043" s="176"/>
      <c r="H1043" s="176"/>
      <c r="I1043" s="176"/>
      <c r="J1043" s="176"/>
      <c r="K1043" s="176"/>
      <c r="L1043" s="176"/>
      <c r="M1043" s="176"/>
      <c r="N1043" s="176"/>
      <c r="O1043" s="176"/>
      <c r="P1043" s="176"/>
      <c r="Q1043" s="176"/>
      <c r="R1043" s="176"/>
      <c r="S1043" s="162">
        <f t="shared" si="110"/>
        <v>0</v>
      </c>
      <c r="T1043" s="167"/>
    </row>
    <row r="1044" customHeight="1" spans="2:20">
      <c r="B1044" s="166"/>
      <c r="C1044" s="164">
        <f t="shared" si="105"/>
        <v>13</v>
      </c>
      <c r="D1044" s="158" t="str">
        <f>VLOOKUP(C1044,DMSP!$A$1:$C$39,2,0)</f>
        <v>5.TRUYỀN THỐNG</v>
      </c>
      <c r="E1044" s="159" t="str">
        <f>VLOOKUP(C1044,DMSP!$A$1:$C$39,3,0)</f>
        <v>CABO</v>
      </c>
      <c r="F1044" s="160">
        <f t="shared" si="108"/>
        <v>0</v>
      </c>
      <c r="G1044" s="176"/>
      <c r="H1044" s="176"/>
      <c r="I1044" s="176"/>
      <c r="J1044" s="176"/>
      <c r="K1044" s="176"/>
      <c r="L1044" s="176"/>
      <c r="M1044" s="176"/>
      <c r="N1044" s="176"/>
      <c r="O1044" s="176"/>
      <c r="P1044" s="176"/>
      <c r="Q1044" s="176"/>
      <c r="R1044" s="176"/>
      <c r="S1044" s="162">
        <f t="shared" si="110"/>
        <v>0</v>
      </c>
      <c r="T1044" s="167"/>
    </row>
    <row r="1045" customHeight="1" spans="2:20">
      <c r="B1045" s="166"/>
      <c r="C1045" s="164">
        <f t="shared" si="105"/>
        <v>14</v>
      </c>
      <c r="D1045" s="158" t="str">
        <f>VLOOKUP(C1045,DMSP!$A$1:$C$39,2,0)</f>
        <v>5.TRUYỀN THỐNG</v>
      </c>
      <c r="E1045" s="159" t="str">
        <f>VLOOKUP(C1045,DMSP!$A$1:$C$39,3,0)</f>
        <v>F94</v>
      </c>
      <c r="F1045" s="160">
        <f t="shared" si="108"/>
        <v>0</v>
      </c>
      <c r="G1045" s="176"/>
      <c r="H1045" s="176"/>
      <c r="I1045" s="176"/>
      <c r="J1045" s="176"/>
      <c r="K1045" s="176"/>
      <c r="L1045" s="176"/>
      <c r="M1045" s="176"/>
      <c r="N1045" s="176"/>
      <c r="O1045" s="176"/>
      <c r="P1045" s="176"/>
      <c r="Q1045" s="176"/>
      <c r="R1045" s="176"/>
      <c r="S1045" s="162">
        <f t="shared" si="110"/>
        <v>0</v>
      </c>
      <c r="T1045" s="167"/>
    </row>
    <row r="1046" customHeight="1" spans="2:20">
      <c r="B1046" s="166"/>
      <c r="C1046" s="164">
        <f t="shared" si="105"/>
        <v>15</v>
      </c>
      <c r="D1046" s="158" t="str">
        <f>VLOOKUP(C1046,DMSP!$A$1:$C$39,2,0)</f>
        <v>5.TRUYỀN THỐNG</v>
      </c>
      <c r="E1046" s="159" t="str">
        <f>VLOOKUP(C1046,DMSP!$A$1:$C$39,3,0)</f>
        <v>F95</v>
      </c>
      <c r="F1046" s="160">
        <f t="shared" si="108"/>
        <v>0</v>
      </c>
      <c r="G1046" s="176"/>
      <c r="H1046" s="176"/>
      <c r="I1046" s="176"/>
      <c r="J1046" s="176"/>
      <c r="K1046" s="176"/>
      <c r="L1046" s="176"/>
      <c r="M1046" s="176"/>
      <c r="N1046" s="176"/>
      <c r="O1046" s="176"/>
      <c r="P1046" s="176"/>
      <c r="Q1046" s="176"/>
      <c r="R1046" s="176"/>
      <c r="S1046" s="162">
        <f t="shared" si="110"/>
        <v>0</v>
      </c>
      <c r="T1046" s="167"/>
    </row>
    <row r="1047" customHeight="1" spans="2:20">
      <c r="B1047" s="166"/>
      <c r="C1047" s="164">
        <f t="shared" si="105"/>
        <v>16</v>
      </c>
      <c r="D1047" s="158" t="str">
        <f>VLOOKUP(C1047,DMSP!$A$1:$C$39,2,0)</f>
        <v>5.TRUYỀN THỐNG</v>
      </c>
      <c r="E1047" s="159" t="str">
        <f>VLOOKUP(C1047,DMSP!$A$1:$C$39,3,0)</f>
        <v>THIOURE</v>
      </c>
      <c r="F1047" s="160">
        <f t="shared" si="108"/>
        <v>0</v>
      </c>
      <c r="G1047" s="176"/>
      <c r="H1047" s="176"/>
      <c r="I1047" s="176"/>
      <c r="J1047" s="176"/>
      <c r="K1047" s="176"/>
      <c r="L1047" s="176"/>
      <c r="M1047" s="176"/>
      <c r="N1047" s="176"/>
      <c r="O1047" s="176"/>
      <c r="P1047" s="176"/>
      <c r="Q1047" s="176"/>
      <c r="R1047" s="176"/>
      <c r="S1047" s="162">
        <f t="shared" si="110"/>
        <v>0</v>
      </c>
      <c r="T1047" s="167"/>
    </row>
    <row r="1048" customHeight="1" spans="2:20">
      <c r="B1048" s="166"/>
      <c r="C1048" s="164">
        <f t="shared" si="105"/>
        <v>17</v>
      </c>
      <c r="D1048" s="158" t="str">
        <f>VLOOKUP(C1048,DMSP!$A$1:$C$39,2,0)</f>
        <v>5.TRUYỀN THỐNG</v>
      </c>
      <c r="E1048" s="159" t="str">
        <f>VLOOKUP(C1048,DMSP!$A$1:$C$39,3,0)</f>
        <v>TOBA JUM</v>
      </c>
      <c r="F1048" s="160">
        <f t="shared" si="108"/>
        <v>0</v>
      </c>
      <c r="G1048" s="176"/>
      <c r="H1048" s="176"/>
      <c r="I1048" s="176"/>
      <c r="J1048" s="176"/>
      <c r="K1048" s="176"/>
      <c r="L1048" s="176"/>
      <c r="M1048" s="176"/>
      <c r="N1048" s="176"/>
      <c r="O1048" s="176"/>
      <c r="P1048" s="176"/>
      <c r="Q1048" s="176"/>
      <c r="R1048" s="176"/>
      <c r="S1048" s="162">
        <f t="shared" si="110"/>
        <v>0</v>
      </c>
      <c r="T1048" s="167"/>
    </row>
    <row r="1049" customHeight="1" spans="2:20">
      <c r="B1049" s="166"/>
      <c r="C1049" s="164">
        <f t="shared" si="105"/>
        <v>18</v>
      </c>
      <c r="D1049" s="158" t="str">
        <f>VLOOKUP(C1049,DMSP!$A$1:$C$39,2,0)</f>
        <v>5.TRUYỀN THỐNG</v>
      </c>
      <c r="E1049" s="159" t="str">
        <f>VLOOKUP(C1049,DMSP!$A$1:$C$39,3,0)</f>
        <v>TOBA NET</v>
      </c>
      <c r="F1049" s="160">
        <f t="shared" si="108"/>
        <v>0</v>
      </c>
      <c r="G1049" s="176"/>
      <c r="H1049" s="176"/>
      <c r="I1049" s="176"/>
      <c r="J1049" s="176"/>
      <c r="K1049" s="176"/>
      <c r="L1049" s="176"/>
      <c r="M1049" s="176"/>
      <c r="N1049" s="176"/>
      <c r="O1049" s="176"/>
      <c r="P1049" s="176"/>
      <c r="Q1049" s="176"/>
      <c r="R1049" s="176"/>
      <c r="S1049" s="162">
        <f t="shared" si="110"/>
        <v>0</v>
      </c>
      <c r="T1049" s="167"/>
    </row>
    <row r="1050" customHeight="1" spans="2:20">
      <c r="B1050" s="166"/>
      <c r="C1050" s="164">
        <f t="shared" si="105"/>
        <v>19</v>
      </c>
      <c r="D1050" s="158" t="str">
        <f>VLOOKUP(C1050,DMSP!$A$1:$C$39,2,0)</f>
        <v>6.BVTV</v>
      </c>
      <c r="E1050" s="159" t="str">
        <f>VLOOKUP(C1050,DMSP!$A$1:$C$39,3,0)</f>
        <v>ABAFAX 1.8</v>
      </c>
      <c r="F1050" s="160">
        <f t="shared" si="108"/>
        <v>0</v>
      </c>
      <c r="G1050" s="176"/>
      <c r="H1050" s="176"/>
      <c r="I1050" s="176"/>
      <c r="J1050" s="176"/>
      <c r="K1050" s="176"/>
      <c r="L1050" s="176"/>
      <c r="M1050" s="176"/>
      <c r="N1050" s="176"/>
      <c r="O1050" s="176"/>
      <c r="P1050" s="176"/>
      <c r="Q1050" s="176"/>
      <c r="R1050" s="176"/>
      <c r="S1050" s="162">
        <f t="shared" si="110"/>
        <v>0</v>
      </c>
      <c r="T1050" s="167"/>
    </row>
    <row r="1051" customHeight="1" spans="2:20">
      <c r="B1051" s="166"/>
      <c r="C1051" s="164">
        <f t="shared" si="105"/>
        <v>20</v>
      </c>
      <c r="D1051" s="158" t="str">
        <f>VLOOKUP(C1051,DMSP!$A$1:$C$39,2,0)</f>
        <v>6.BVTV</v>
      </c>
      <c r="E1051" s="159" t="str">
        <f>VLOOKUP(C1051,DMSP!$A$1:$C$39,3,0)</f>
        <v>ABAFAX 3.6</v>
      </c>
      <c r="F1051" s="160">
        <f t="shared" si="108"/>
        <v>0</v>
      </c>
      <c r="G1051" s="176"/>
      <c r="H1051" s="176"/>
      <c r="I1051" s="176"/>
      <c r="J1051" s="176"/>
      <c r="K1051" s="176"/>
      <c r="L1051" s="176"/>
      <c r="M1051" s="176"/>
      <c r="N1051" s="176"/>
      <c r="O1051" s="176"/>
      <c r="P1051" s="176"/>
      <c r="Q1051" s="176"/>
      <c r="R1051" s="176"/>
      <c r="S1051" s="162">
        <f t="shared" si="110"/>
        <v>0</v>
      </c>
      <c r="T1051" s="167"/>
    </row>
    <row r="1052" customHeight="1" spans="2:20">
      <c r="B1052" s="166"/>
      <c r="C1052" s="164">
        <f t="shared" si="105"/>
        <v>21</v>
      </c>
      <c r="D1052" s="158" t="str">
        <f>VLOOKUP(C1052,DMSP!$A$1:$C$39,2,0)</f>
        <v>6.BVTV</v>
      </c>
      <c r="E1052" s="159" t="str">
        <f>VLOOKUP(C1052,DMSP!$A$1:$C$39,3,0)</f>
        <v>AZET</v>
      </c>
      <c r="F1052" s="160">
        <f t="shared" si="108"/>
        <v>0</v>
      </c>
      <c r="G1052" s="176"/>
      <c r="H1052" s="176"/>
      <c r="I1052" s="176"/>
      <c r="J1052" s="176"/>
      <c r="K1052" s="176"/>
      <c r="L1052" s="176"/>
      <c r="M1052" s="176"/>
      <c r="N1052" s="176"/>
      <c r="O1052" s="176"/>
      <c r="P1052" s="176"/>
      <c r="Q1052" s="176"/>
      <c r="R1052" s="176"/>
      <c r="S1052" s="162">
        <f t="shared" si="110"/>
        <v>0</v>
      </c>
      <c r="T1052" s="167"/>
    </row>
    <row r="1053" customHeight="1" spans="2:20">
      <c r="B1053" s="166"/>
      <c r="C1053" s="164">
        <f t="shared" si="105"/>
        <v>22</v>
      </c>
      <c r="D1053" s="158" t="str">
        <f>VLOOKUP(C1053,DMSP!$A$1:$C$39,2,0)</f>
        <v>6.BVTV</v>
      </c>
      <c r="E1053" s="159" t="str">
        <f>VLOOKUP(C1053,DMSP!$A$1:$C$39,3,0)</f>
        <v>BACBA</v>
      </c>
      <c r="F1053" s="160">
        <f t="shared" si="108"/>
        <v>0</v>
      </c>
      <c r="G1053" s="176"/>
      <c r="H1053" s="176"/>
      <c r="I1053" s="176"/>
      <c r="J1053" s="176"/>
      <c r="K1053" s="176"/>
      <c r="L1053" s="176"/>
      <c r="M1053" s="176"/>
      <c r="N1053" s="176"/>
      <c r="O1053" s="176"/>
      <c r="P1053" s="176"/>
      <c r="Q1053" s="176"/>
      <c r="R1053" s="176"/>
      <c r="S1053" s="162">
        <f t="shared" si="110"/>
        <v>0</v>
      </c>
      <c r="T1053" s="167"/>
    </row>
    <row r="1054" customHeight="1" spans="2:20">
      <c r="B1054" s="166"/>
      <c r="C1054" s="164">
        <f t="shared" si="105"/>
        <v>23</v>
      </c>
      <c r="D1054" s="158" t="str">
        <f>VLOOKUP(C1054,DMSP!$A$1:$C$39,2,0)</f>
        <v>6.BVTV</v>
      </c>
      <c r="E1054" s="159" t="str">
        <f>VLOOKUP(C1054,DMSP!$A$1:$C$39,3,0)</f>
        <v>BIOROSAMIL</v>
      </c>
      <c r="F1054" s="160">
        <f t="shared" si="108"/>
        <v>0</v>
      </c>
      <c r="G1054" s="176"/>
      <c r="H1054" s="176"/>
      <c r="I1054" s="176"/>
      <c r="J1054" s="176"/>
      <c r="K1054" s="176"/>
      <c r="L1054" s="176"/>
      <c r="M1054" s="176"/>
      <c r="N1054" s="176"/>
      <c r="O1054" s="176"/>
      <c r="P1054" s="176"/>
      <c r="Q1054" s="176"/>
      <c r="R1054" s="176"/>
      <c r="S1054" s="162">
        <f t="shared" si="110"/>
        <v>0</v>
      </c>
      <c r="T1054" s="167"/>
    </row>
    <row r="1055" customHeight="1" spans="2:20">
      <c r="B1055" s="166"/>
      <c r="C1055" s="164">
        <f t="shared" si="105"/>
        <v>24</v>
      </c>
      <c r="D1055" s="158" t="str">
        <f>VLOOKUP(C1055,DMSP!$A$1:$C$39,2,0)</f>
        <v>6.BVTV</v>
      </c>
      <c r="E1055" s="159" t="str">
        <f>VLOOKUP(C1055,DMSP!$A$1:$C$39,3,0)</f>
        <v>COC 86</v>
      </c>
      <c r="F1055" s="160">
        <f t="shared" si="108"/>
        <v>0</v>
      </c>
      <c r="G1055" s="176"/>
      <c r="H1055" s="176"/>
      <c r="I1055" s="176"/>
      <c r="J1055" s="176"/>
      <c r="K1055" s="176"/>
      <c r="L1055" s="176"/>
      <c r="M1055" s="176"/>
      <c r="N1055" s="176"/>
      <c r="O1055" s="176"/>
      <c r="P1055" s="176"/>
      <c r="Q1055" s="176"/>
      <c r="R1055" s="176"/>
      <c r="S1055" s="162">
        <f t="shared" si="110"/>
        <v>0</v>
      </c>
      <c r="T1055" s="167"/>
    </row>
    <row r="1056" customHeight="1" spans="2:20">
      <c r="B1056" s="166"/>
      <c r="C1056" s="164">
        <f t="shared" si="105"/>
        <v>25</v>
      </c>
      <c r="D1056" s="158" t="str">
        <f>VLOOKUP(C1056,DMSP!$A$1:$C$39,2,0)</f>
        <v>6.BVTV</v>
      </c>
      <c r="E1056" s="159" t="str">
        <f>VLOOKUP(C1056,DMSP!$A$1:$C$39,3,0)</f>
        <v>HEXA 5</v>
      </c>
      <c r="F1056" s="160">
        <f t="shared" si="108"/>
        <v>0</v>
      </c>
      <c r="G1056" s="176"/>
      <c r="H1056" s="176"/>
      <c r="I1056" s="176"/>
      <c r="J1056" s="176"/>
      <c r="K1056" s="176"/>
      <c r="L1056" s="176"/>
      <c r="M1056" s="176"/>
      <c r="N1056" s="176"/>
      <c r="O1056" s="176"/>
      <c r="P1056" s="176"/>
      <c r="Q1056" s="176"/>
      <c r="R1056" s="176"/>
      <c r="S1056" s="162">
        <f t="shared" si="110"/>
        <v>0</v>
      </c>
      <c r="T1056" s="167"/>
    </row>
    <row r="1057" customHeight="1" spans="2:20">
      <c r="B1057" s="166"/>
      <c r="C1057" s="164">
        <f t="shared" si="105"/>
        <v>26</v>
      </c>
      <c r="D1057" s="158" t="str">
        <f>VLOOKUP(C1057,DMSP!$A$1:$C$39,2,0)</f>
        <v>6.BVTV</v>
      </c>
      <c r="E1057" s="159" t="str">
        <f>VLOOKUP(C1057,DMSP!$A$1:$C$39,3,0)</f>
        <v>TAMALA</v>
      </c>
      <c r="F1057" s="160">
        <f t="shared" si="108"/>
        <v>0</v>
      </c>
      <c r="G1057" s="176"/>
      <c r="H1057" s="176"/>
      <c r="I1057" s="176"/>
      <c r="J1057" s="176"/>
      <c r="K1057" s="176"/>
      <c r="L1057" s="176"/>
      <c r="M1057" s="176"/>
      <c r="N1057" s="176"/>
      <c r="O1057" s="176"/>
      <c r="P1057" s="176"/>
      <c r="Q1057" s="176"/>
      <c r="R1057" s="176"/>
      <c r="S1057" s="162">
        <f t="shared" si="110"/>
        <v>0</v>
      </c>
      <c r="T1057" s="167"/>
    </row>
    <row r="1058" customHeight="1" spans="2:20">
      <c r="B1058" s="166"/>
      <c r="C1058" s="164">
        <f t="shared" si="105"/>
        <v>27</v>
      </c>
      <c r="D1058" s="158" t="str">
        <f>VLOOKUP(C1058,DMSP!$A$1:$C$39,2,0)</f>
        <v>7.KHÁC</v>
      </c>
      <c r="E1058" s="159" t="str">
        <f>VLOOKUP(C1058,DMSP!$A$1:$C$39,3,0)</f>
        <v>KẼM VÀNG</v>
      </c>
      <c r="F1058" s="160">
        <f t="shared" si="108"/>
        <v>0</v>
      </c>
      <c r="G1058" s="176"/>
      <c r="H1058" s="176"/>
      <c r="I1058" s="176"/>
      <c r="J1058" s="176"/>
      <c r="K1058" s="176"/>
      <c r="L1058" s="176"/>
      <c r="M1058" s="176"/>
      <c r="N1058" s="176"/>
      <c r="O1058" s="176"/>
      <c r="P1058" s="176"/>
      <c r="Q1058" s="176"/>
      <c r="R1058" s="176"/>
      <c r="S1058" s="162">
        <f t="shared" si="110"/>
        <v>0</v>
      </c>
      <c r="T1058" s="167"/>
    </row>
    <row r="1059" customHeight="1" spans="2:20">
      <c r="B1059" s="166"/>
      <c r="C1059" s="164">
        <f t="shared" ref="C1059:C1068" si="111">C1058+1</f>
        <v>28</v>
      </c>
      <c r="D1059" s="158" t="str">
        <f>VLOOKUP(C1059,DMSP!$A$1:$C$39,2,0)</f>
        <v>7.KHÁC</v>
      </c>
      <c r="E1059" s="159" t="str">
        <f>VLOOKUP(C1059,DMSP!$A$1:$C$39,3,0)</f>
        <v>KHÁC1</v>
      </c>
      <c r="F1059" s="160">
        <f t="shared" si="108"/>
        <v>0</v>
      </c>
      <c r="G1059" s="176"/>
      <c r="H1059" s="176"/>
      <c r="I1059" s="176"/>
      <c r="J1059" s="176"/>
      <c r="K1059" s="176"/>
      <c r="L1059" s="176"/>
      <c r="M1059" s="176"/>
      <c r="N1059" s="176"/>
      <c r="O1059" s="176"/>
      <c r="P1059" s="176"/>
      <c r="Q1059" s="176"/>
      <c r="R1059" s="176"/>
      <c r="S1059" s="162">
        <f t="shared" si="110"/>
        <v>0</v>
      </c>
      <c r="T1059" s="167"/>
    </row>
    <row r="1060" customHeight="1" spans="2:20">
      <c r="B1060" s="166"/>
      <c r="C1060" s="164">
        <f t="shared" si="111"/>
        <v>29</v>
      </c>
      <c r="D1060" s="158" t="str">
        <f>VLOOKUP(C1060,DMSP!$A$1:$C$39,2,0)</f>
        <v>7.KHÁC</v>
      </c>
      <c r="E1060" s="169" t="s">
        <v>13</v>
      </c>
      <c r="F1060" s="160">
        <f t="shared" si="108"/>
        <v>0</v>
      </c>
      <c r="G1060" s="176"/>
      <c r="H1060" s="176"/>
      <c r="I1060" s="176"/>
      <c r="J1060" s="176"/>
      <c r="K1060" s="176"/>
      <c r="L1060" s="176"/>
      <c r="M1060" s="176"/>
      <c r="N1060" s="176"/>
      <c r="O1060" s="176"/>
      <c r="P1060" s="176"/>
      <c r="Q1060" s="176"/>
      <c r="R1060" s="176"/>
      <c r="S1060" s="162">
        <f t="shared" si="110"/>
        <v>0</v>
      </c>
      <c r="T1060" s="167"/>
    </row>
    <row r="1061" customHeight="1" spans="2:20">
      <c r="B1061" s="166"/>
      <c r="C1061" s="164">
        <f t="shared" si="111"/>
        <v>30</v>
      </c>
      <c r="D1061" s="158" t="str">
        <f>VLOOKUP(C1061,DMSP!$A$1:$C$39,2,0)</f>
        <v>7.KHÁC</v>
      </c>
      <c r="E1061" s="159" t="str">
        <f>VLOOKUP(C1061,DMSP!$A$1:$C$39,3,0)</f>
        <v>RỬA RONG RÊU</v>
      </c>
      <c r="F1061" s="160">
        <f t="shared" si="108"/>
        <v>0</v>
      </c>
      <c r="G1061" s="176"/>
      <c r="H1061" s="176"/>
      <c r="I1061" s="176"/>
      <c r="J1061" s="176"/>
      <c r="K1061" s="176"/>
      <c r="L1061" s="176"/>
      <c r="M1061" s="176"/>
      <c r="N1061" s="176"/>
      <c r="O1061" s="176"/>
      <c r="P1061" s="176"/>
      <c r="Q1061" s="176"/>
      <c r="R1061" s="176"/>
      <c r="S1061" s="162">
        <f t="shared" si="110"/>
        <v>0</v>
      </c>
      <c r="T1061" s="167"/>
    </row>
    <row r="1062" customHeight="1" spans="2:20">
      <c r="B1062" s="166"/>
      <c r="C1062" s="164">
        <f t="shared" si="111"/>
        <v>31</v>
      </c>
      <c r="D1062" s="158" t="str">
        <f>VLOOKUP(C1062,DMSP!$A$1:$C$39,2,0)</f>
        <v>7.KHÁC</v>
      </c>
      <c r="E1062" s="159" t="str">
        <f>VLOOKUP(C1062,DMSP!$A$1:$C$39,3,0)</f>
        <v>TB BO</v>
      </c>
      <c r="F1062" s="160">
        <f t="shared" si="108"/>
        <v>0</v>
      </c>
      <c r="G1062" s="176"/>
      <c r="H1062" s="176"/>
      <c r="I1062" s="176"/>
      <c r="J1062" s="176"/>
      <c r="K1062" s="176"/>
      <c r="L1062" s="176"/>
      <c r="M1062" s="176"/>
      <c r="N1062" s="176"/>
      <c r="O1062" s="176"/>
      <c r="P1062" s="176"/>
      <c r="Q1062" s="176"/>
      <c r="R1062" s="176"/>
      <c r="S1062" s="162">
        <f t="shared" si="110"/>
        <v>0</v>
      </c>
      <c r="T1062" s="167"/>
    </row>
    <row r="1063" customHeight="1" spans="2:20">
      <c r="B1063" s="166"/>
      <c r="C1063" s="164">
        <f t="shared" si="111"/>
        <v>32</v>
      </c>
      <c r="D1063" s="158" t="str">
        <f>VLOOKUP(C1063,DMSP!$A$1:$C$39,2,0)</f>
        <v>7.KHÁC</v>
      </c>
      <c r="E1063" s="159" t="str">
        <f>VLOOKUP(C1063,DMSP!$A$1:$C$39,3,0)</f>
        <v>TB FRUIT</v>
      </c>
      <c r="F1063" s="160">
        <f t="shared" si="108"/>
        <v>0</v>
      </c>
      <c r="G1063" s="176"/>
      <c r="H1063" s="176"/>
      <c r="I1063" s="176"/>
      <c r="J1063" s="176"/>
      <c r="K1063" s="176"/>
      <c r="L1063" s="176"/>
      <c r="M1063" s="176"/>
      <c r="N1063" s="176"/>
      <c r="O1063" s="176"/>
      <c r="P1063" s="176"/>
      <c r="Q1063" s="176"/>
      <c r="R1063" s="176"/>
      <c r="S1063" s="162">
        <f t="shared" si="110"/>
        <v>0</v>
      </c>
      <c r="T1063" s="167"/>
    </row>
    <row r="1064" customHeight="1" spans="2:20">
      <c r="B1064" s="166"/>
      <c r="C1064" s="164">
        <f t="shared" si="111"/>
        <v>33</v>
      </c>
      <c r="D1064" s="158" t="str">
        <f>VLOOKUP(C1064,DMSP!$A$1:$C$39,2,0)</f>
        <v>7.KHÁC</v>
      </c>
      <c r="E1064" s="159" t="str">
        <f>VLOOKUP(C1064,DMSP!$A$1:$C$39,3,0)</f>
        <v>TB PHOS</v>
      </c>
      <c r="F1064" s="160">
        <f t="shared" si="108"/>
        <v>0</v>
      </c>
      <c r="G1064" s="176"/>
      <c r="H1064" s="176"/>
      <c r="I1064" s="176"/>
      <c r="J1064" s="176"/>
      <c r="K1064" s="176"/>
      <c r="L1064" s="176"/>
      <c r="M1064" s="176"/>
      <c r="N1064" s="176"/>
      <c r="O1064" s="176"/>
      <c r="P1064" s="176"/>
      <c r="Q1064" s="176"/>
      <c r="R1064" s="176"/>
      <c r="S1064" s="162">
        <f t="shared" si="110"/>
        <v>0</v>
      </c>
      <c r="T1064" s="167"/>
    </row>
    <row r="1065" customHeight="1" spans="2:20">
      <c r="B1065" s="166"/>
      <c r="C1065" s="164">
        <f t="shared" si="111"/>
        <v>34</v>
      </c>
      <c r="D1065" s="158" t="str">
        <f>VLOOKUP(C1065,DMSP!$A$1:$C$39,2,0)</f>
        <v>7.KHÁC</v>
      </c>
      <c r="E1065" s="159" t="str">
        <f>VLOOKUP(C1065,DMSP!$A$1:$C$39,3,0)</f>
        <v>TOBA BÁM DÍNH</v>
      </c>
      <c r="F1065" s="160">
        <f t="shared" si="108"/>
        <v>0</v>
      </c>
      <c r="G1065" s="176"/>
      <c r="H1065" s="176"/>
      <c r="I1065" s="176"/>
      <c r="J1065" s="176"/>
      <c r="K1065" s="176"/>
      <c r="L1065" s="176"/>
      <c r="M1065" s="176"/>
      <c r="N1065" s="176"/>
      <c r="O1065" s="176"/>
      <c r="P1065" s="176"/>
      <c r="Q1065" s="176"/>
      <c r="R1065" s="176"/>
      <c r="S1065" s="162">
        <f t="shared" si="110"/>
        <v>0</v>
      </c>
      <c r="T1065" s="167"/>
    </row>
    <row r="1066" customHeight="1" spans="2:20">
      <c r="B1066" s="166"/>
      <c r="C1066" s="164">
        <f t="shared" si="111"/>
        <v>35</v>
      </c>
      <c r="D1066" s="158" t="str">
        <f>VLOOKUP(C1066,DMSP!$A$1:$C$39,2,0)</f>
        <v>7.KHÁC</v>
      </c>
      <c r="E1066" s="159" t="str">
        <f>VLOOKUP(C1066,DMSP!$A$1:$C$39,3,0)</f>
        <v>VỌT HOA NHÃN</v>
      </c>
      <c r="F1066" s="160">
        <f t="shared" si="108"/>
        <v>0</v>
      </c>
      <c r="G1066" s="176"/>
      <c r="H1066" s="176"/>
      <c r="I1066" s="176"/>
      <c r="J1066" s="176"/>
      <c r="K1066" s="176"/>
      <c r="L1066" s="176"/>
      <c r="M1066" s="176"/>
      <c r="N1066" s="176"/>
      <c r="O1066" s="176"/>
      <c r="P1066" s="176"/>
      <c r="Q1066" s="176"/>
      <c r="R1066" s="176"/>
      <c r="S1066" s="162">
        <f t="shared" si="110"/>
        <v>0</v>
      </c>
      <c r="T1066" s="167"/>
    </row>
    <row r="1067" customHeight="1" spans="2:20">
      <c r="B1067" s="166"/>
      <c r="C1067" s="164">
        <f t="shared" si="111"/>
        <v>36</v>
      </c>
      <c r="D1067" s="158" t="str">
        <f>VLOOKUP(C1067,DMSP!$A$1:$C$39,2,0)</f>
        <v>7.KHÁC</v>
      </c>
      <c r="E1067" s="159" t="str">
        <f>VLOOKUP(C1067,DMSP!$A$1:$C$39,3,0)</f>
        <v>VỌT HOA XOÀI</v>
      </c>
      <c r="F1067" s="160">
        <f t="shared" si="108"/>
        <v>0</v>
      </c>
      <c r="G1067" s="176"/>
      <c r="H1067" s="176"/>
      <c r="I1067" s="176"/>
      <c r="J1067" s="176"/>
      <c r="K1067" s="176"/>
      <c r="L1067" s="176"/>
      <c r="M1067" s="176"/>
      <c r="N1067" s="176"/>
      <c r="O1067" s="176"/>
      <c r="P1067" s="176"/>
      <c r="Q1067" s="176"/>
      <c r="R1067" s="176"/>
      <c r="S1067" s="162">
        <f t="shared" si="110"/>
        <v>0</v>
      </c>
      <c r="T1067" s="167"/>
    </row>
    <row r="1068" customHeight="1" spans="2:20">
      <c r="B1068" s="166"/>
      <c r="C1068" s="164">
        <f t="shared" si="111"/>
        <v>37</v>
      </c>
      <c r="D1068" s="158" t="str">
        <f>VLOOKUP(C1068,DMSP!$A$1:$C$39,2,0)</f>
        <v>7.KHÁC</v>
      </c>
      <c r="E1068" s="159" t="str">
        <f>VLOOKUP(C1068,DMSP!$A$1:$C$39,3,0)</f>
        <v>VỌT HOA XOÀI</v>
      </c>
      <c r="F1068" s="160">
        <f t="shared" si="108"/>
        <v>0</v>
      </c>
      <c r="G1068" s="176"/>
      <c r="H1068" s="176"/>
      <c r="I1068" s="176"/>
      <c r="J1068" s="176"/>
      <c r="K1068" s="176"/>
      <c r="L1068" s="176"/>
      <c r="M1068" s="176"/>
      <c r="N1068" s="176"/>
      <c r="O1068" s="176"/>
      <c r="P1068" s="176"/>
      <c r="Q1068" s="176"/>
      <c r="R1068" s="176"/>
      <c r="S1068" s="162">
        <f t="shared" si="110"/>
        <v>0</v>
      </c>
      <c r="T1068" s="167"/>
    </row>
    <row r="1069" customHeight="1" spans="2:20">
      <c r="B1069" s="92"/>
      <c r="C1069" s="170">
        <f t="shared" ref="C1069" si="112">B1032</f>
        <v>0</v>
      </c>
      <c r="D1069" s="171"/>
      <c r="E1069" s="172" t="str">
        <f>"TOTAL "&amp;B1032</f>
        <v>TOTAL </v>
      </c>
      <c r="F1069" s="173">
        <f t="shared" si="108"/>
        <v>0</v>
      </c>
      <c r="G1069" s="174">
        <f>SUM(G1032:G1068)</f>
        <v>0</v>
      </c>
      <c r="H1069" s="174">
        <f t="shared" ref="H1069:R1069" si="113">SUM(H1032:H1068)</f>
        <v>0</v>
      </c>
      <c r="I1069" s="174">
        <f t="shared" si="113"/>
        <v>0</v>
      </c>
      <c r="J1069" s="174">
        <f t="shared" si="113"/>
        <v>0</v>
      </c>
      <c r="K1069" s="174">
        <f t="shared" si="113"/>
        <v>0</v>
      </c>
      <c r="L1069" s="174">
        <f t="shared" si="113"/>
        <v>0</v>
      </c>
      <c r="M1069" s="174">
        <f t="shared" si="113"/>
        <v>0</v>
      </c>
      <c r="N1069" s="174">
        <f t="shared" si="113"/>
        <v>0</v>
      </c>
      <c r="O1069" s="174">
        <f t="shared" si="113"/>
        <v>0</v>
      </c>
      <c r="P1069" s="174">
        <f t="shared" si="113"/>
        <v>0</v>
      </c>
      <c r="Q1069" s="174">
        <f t="shared" si="113"/>
        <v>0</v>
      </c>
      <c r="R1069" s="174">
        <f t="shared" si="113"/>
        <v>0</v>
      </c>
      <c r="S1069" s="174">
        <f t="shared" si="110"/>
        <v>0</v>
      </c>
      <c r="T1069" s="175"/>
    </row>
    <row r="1070" customHeight="1" spans="2:20">
      <c r="B1070" s="156"/>
      <c r="C1070" s="157">
        <v>1</v>
      </c>
      <c r="D1070" s="158" t="str">
        <f>VLOOKUP(C1070,DMSP!$A$1:$C$39,2,0)</f>
        <v>1.TOBA XANH</v>
      </c>
      <c r="E1070" s="159" t="str">
        <f>VLOOKUP(C1070,DMSP!$A$1:$C$39,3,0)</f>
        <v>TOBA XANH</v>
      </c>
      <c r="F1070" s="160">
        <f t="shared" si="108"/>
        <v>0</v>
      </c>
      <c r="G1070" s="176"/>
      <c r="H1070" s="176"/>
      <c r="I1070" s="176"/>
      <c r="J1070" s="176"/>
      <c r="K1070" s="176"/>
      <c r="L1070" s="176"/>
      <c r="M1070" s="176"/>
      <c r="N1070" s="176"/>
      <c r="O1070" s="176"/>
      <c r="P1070" s="176"/>
      <c r="Q1070" s="176"/>
      <c r="R1070" s="176"/>
      <c r="S1070" s="162">
        <f t="shared" si="110"/>
        <v>0</v>
      </c>
      <c r="T1070" s="163">
        <f>S1107</f>
        <v>0</v>
      </c>
    </row>
    <row r="1071" customHeight="1" spans="2:20">
      <c r="B1071" s="166"/>
      <c r="C1071" s="164">
        <f t="shared" ref="C1071:C1106" si="114">C1070+1</f>
        <v>2</v>
      </c>
      <c r="D1071" s="158" t="str">
        <f>VLOOKUP(C1071,DMSP!$A$1:$C$39,2,0)</f>
        <v>2.HC</v>
      </c>
      <c r="E1071" s="159" t="str">
        <f>VLOOKUP(C1071,DMSP!$A$1:$C$39,3,0)</f>
        <v>HC BOOSTER</v>
      </c>
      <c r="F1071" s="160">
        <f t="shared" si="108"/>
        <v>0</v>
      </c>
      <c r="G1071" s="176"/>
      <c r="H1071" s="176"/>
      <c r="I1071" s="176"/>
      <c r="J1071" s="176"/>
      <c r="K1071" s="176"/>
      <c r="L1071" s="176"/>
      <c r="M1071" s="176"/>
      <c r="N1071" s="176"/>
      <c r="O1071" s="176"/>
      <c r="P1071" s="176"/>
      <c r="Q1071" s="176"/>
      <c r="R1071" s="176"/>
      <c r="S1071" s="162">
        <f t="shared" ref="S1071:S1108" si="115">SUM(G1071:R1071)</f>
        <v>0</v>
      </c>
      <c r="T1071" s="167"/>
    </row>
    <row r="1072" customHeight="1" spans="2:20">
      <c r="B1072" s="166"/>
      <c r="C1072" s="164">
        <f t="shared" si="114"/>
        <v>3</v>
      </c>
      <c r="D1072" s="158" t="str">
        <f>VLOOKUP(C1072,DMSP!$A$1:$C$39,2,0)</f>
        <v>2.HC</v>
      </c>
      <c r="E1072" s="159" t="str">
        <f>VLOOKUP(C1072,DMSP!$A$1:$C$39,3,0)</f>
        <v>HC KING-ROOT</v>
      </c>
      <c r="F1072" s="160">
        <f t="shared" si="108"/>
        <v>0</v>
      </c>
      <c r="G1072" s="176"/>
      <c r="H1072" s="176"/>
      <c r="I1072" s="176"/>
      <c r="J1072" s="176"/>
      <c r="K1072" s="176"/>
      <c r="L1072" s="176"/>
      <c r="M1072" s="176"/>
      <c r="N1072" s="176"/>
      <c r="O1072" s="176"/>
      <c r="P1072" s="176"/>
      <c r="Q1072" s="176"/>
      <c r="R1072" s="176"/>
      <c r="S1072" s="162">
        <f t="shared" si="115"/>
        <v>0</v>
      </c>
      <c r="T1072" s="167"/>
    </row>
    <row r="1073" customHeight="1" spans="2:20">
      <c r="B1073" s="166"/>
      <c r="C1073" s="164">
        <f t="shared" si="114"/>
        <v>4</v>
      </c>
      <c r="D1073" s="158" t="str">
        <f>VLOOKUP(C1073,DMSP!$A$1:$C$39,2,0)</f>
        <v>2.HC</v>
      </c>
      <c r="E1073" s="159" t="str">
        <f>VLOOKUP(C1073,DMSP!$A$1:$C$39,3,0)</f>
        <v>HAPPY FARM</v>
      </c>
      <c r="F1073" s="160">
        <f t="shared" si="108"/>
        <v>0</v>
      </c>
      <c r="G1073" s="176"/>
      <c r="H1073" s="176"/>
      <c r="I1073" s="176"/>
      <c r="J1073" s="176"/>
      <c r="K1073" s="176"/>
      <c r="L1073" s="176"/>
      <c r="M1073" s="176"/>
      <c r="N1073" s="176"/>
      <c r="O1073" s="176"/>
      <c r="P1073" s="176"/>
      <c r="Q1073" s="176"/>
      <c r="R1073" s="176"/>
      <c r="S1073" s="162">
        <f t="shared" si="115"/>
        <v>0</v>
      </c>
      <c r="T1073" s="167"/>
    </row>
    <row r="1074" customHeight="1" spans="2:20">
      <c r="B1074" s="166"/>
      <c r="C1074" s="164">
        <f t="shared" si="114"/>
        <v>5</v>
      </c>
      <c r="D1074" s="158" t="str">
        <f>VLOOKUP(C1074,DMSP!$A$1:$C$39,2,0)</f>
        <v>2.HC</v>
      </c>
      <c r="E1074" s="159" t="str">
        <f>VLOOKUP(C1074,DMSP!$A$1:$C$39,3,0)</f>
        <v>WOW</v>
      </c>
      <c r="F1074" s="160">
        <f t="shared" si="108"/>
        <v>0</v>
      </c>
      <c r="G1074" s="176"/>
      <c r="H1074" s="176"/>
      <c r="I1074" s="176"/>
      <c r="J1074" s="176"/>
      <c r="K1074" s="176"/>
      <c r="L1074" s="176"/>
      <c r="M1074" s="176"/>
      <c r="N1074" s="176"/>
      <c r="O1074" s="176"/>
      <c r="P1074" s="176"/>
      <c r="Q1074" s="176"/>
      <c r="R1074" s="176"/>
      <c r="S1074" s="162">
        <f t="shared" si="115"/>
        <v>0</v>
      </c>
      <c r="T1074" s="167"/>
    </row>
    <row r="1075" customHeight="1" spans="2:20">
      <c r="B1075" s="166"/>
      <c r="C1075" s="164">
        <f t="shared" si="114"/>
        <v>6</v>
      </c>
      <c r="D1075" s="158" t="str">
        <f>VLOOKUP(C1075,DMSP!$A$1:$C$39,2,0)</f>
        <v>3.SPRAY </v>
      </c>
      <c r="E1075" s="159" t="str">
        <f>VLOOKUP(C1075,DMSP!$A$1:$C$39,3,0)</f>
        <v>KELPIT</v>
      </c>
      <c r="F1075" s="160">
        <f t="shared" si="108"/>
        <v>0</v>
      </c>
      <c r="G1075" s="176"/>
      <c r="H1075" s="176"/>
      <c r="I1075" s="176"/>
      <c r="J1075" s="176"/>
      <c r="K1075" s="176"/>
      <c r="L1075" s="176"/>
      <c r="M1075" s="176"/>
      <c r="N1075" s="176"/>
      <c r="O1075" s="176"/>
      <c r="P1075" s="176"/>
      <c r="Q1075" s="176"/>
      <c r="R1075" s="176"/>
      <c r="S1075" s="162">
        <f t="shared" si="115"/>
        <v>0</v>
      </c>
      <c r="T1075" s="167"/>
    </row>
    <row r="1076" customHeight="1" spans="2:20">
      <c r="B1076" s="166"/>
      <c r="C1076" s="164">
        <f t="shared" si="114"/>
        <v>7</v>
      </c>
      <c r="D1076" s="158" t="str">
        <f>VLOOKUP(C1076,DMSP!$A$1:$C$39,2,0)</f>
        <v>3.SPRAY </v>
      </c>
      <c r="E1076" s="159" t="str">
        <f>VLOOKUP(C1076,DMSP!$A$1:$C$39,3,0)</f>
        <v>SI-K</v>
      </c>
      <c r="F1076" s="160">
        <f t="shared" si="108"/>
        <v>0</v>
      </c>
      <c r="G1076" s="176"/>
      <c r="H1076" s="176"/>
      <c r="I1076" s="176"/>
      <c r="J1076" s="176"/>
      <c r="K1076" s="176"/>
      <c r="L1076" s="176"/>
      <c r="M1076" s="176"/>
      <c r="N1076" s="176"/>
      <c r="O1076" s="176"/>
      <c r="P1076" s="176"/>
      <c r="Q1076" s="176"/>
      <c r="R1076" s="176"/>
      <c r="S1076" s="162">
        <f t="shared" si="115"/>
        <v>0</v>
      </c>
      <c r="T1076" s="167"/>
    </row>
    <row r="1077" customHeight="1" spans="2:20">
      <c r="B1077" s="166"/>
      <c r="C1077" s="164">
        <f t="shared" si="114"/>
        <v>8</v>
      </c>
      <c r="D1077" s="158" t="str">
        <f>VLOOKUP(C1077,DMSP!$A$1:$C$39,2,0)</f>
        <v>3.SPRAY </v>
      </c>
      <c r="E1077" s="159" t="str">
        <f>VLOOKUP(C1077,DMSP!$A$1:$C$39,3,0)</f>
        <v>SPRAY PHOS 620</v>
      </c>
      <c r="F1077" s="160">
        <f t="shared" si="108"/>
        <v>0</v>
      </c>
      <c r="G1077" s="176"/>
      <c r="H1077" s="176"/>
      <c r="I1077" s="176"/>
      <c r="J1077" s="176"/>
      <c r="K1077" s="176"/>
      <c r="L1077" s="176"/>
      <c r="M1077" s="176"/>
      <c r="N1077" s="176"/>
      <c r="O1077" s="176"/>
      <c r="P1077" s="176"/>
      <c r="Q1077" s="176"/>
      <c r="R1077" s="176"/>
      <c r="S1077" s="162">
        <f t="shared" si="115"/>
        <v>0</v>
      </c>
      <c r="T1077" s="167"/>
    </row>
    <row r="1078" customHeight="1" spans="2:20">
      <c r="B1078" s="166"/>
      <c r="C1078" s="164">
        <f t="shared" si="114"/>
        <v>9</v>
      </c>
      <c r="D1078" s="158" t="str">
        <f>VLOOKUP(C1078,DMSP!$A$1:$C$39,2,0)</f>
        <v>4.DƯỠNG RỄ</v>
      </c>
      <c r="E1078" s="159" t="str">
        <f>VLOOKUP(C1078,DMSP!$A$1:$C$39,3,0)</f>
        <v>CHITOSAN</v>
      </c>
      <c r="F1078" s="160">
        <f t="shared" si="108"/>
        <v>0</v>
      </c>
      <c r="G1078" s="176"/>
      <c r="H1078" s="176"/>
      <c r="I1078" s="176"/>
      <c r="J1078" s="176"/>
      <c r="K1078" s="176"/>
      <c r="L1078" s="176"/>
      <c r="M1078" s="176"/>
      <c r="N1078" s="176"/>
      <c r="O1078" s="176"/>
      <c r="P1078" s="176"/>
      <c r="Q1078" s="176"/>
      <c r="R1078" s="176"/>
      <c r="S1078" s="162">
        <f t="shared" si="115"/>
        <v>0</v>
      </c>
      <c r="T1078" s="167"/>
    </row>
    <row r="1079" customHeight="1" spans="2:20">
      <c r="B1079" s="166"/>
      <c r="C1079" s="164">
        <f t="shared" si="114"/>
        <v>10</v>
      </c>
      <c r="D1079" s="158" t="str">
        <f>VLOOKUP(C1079,DMSP!$A$1:$C$39,2,0)</f>
        <v>4.DƯỠNG RỄ</v>
      </c>
      <c r="E1079" s="159" t="str">
        <f>VLOOKUP(C1079,DMSP!$A$1:$C$39,3,0)</f>
        <v>ĐẠM CÁ</v>
      </c>
      <c r="F1079" s="160">
        <f t="shared" si="108"/>
        <v>0</v>
      </c>
      <c r="G1079" s="176"/>
      <c r="H1079" s="176"/>
      <c r="I1079" s="176"/>
      <c r="J1079" s="176"/>
      <c r="K1079" s="176"/>
      <c r="L1079" s="176"/>
      <c r="M1079" s="176"/>
      <c r="N1079" s="176"/>
      <c r="O1079" s="176"/>
      <c r="P1079" s="176"/>
      <c r="Q1079" s="176"/>
      <c r="R1079" s="176"/>
      <c r="S1079" s="162">
        <f t="shared" si="115"/>
        <v>0</v>
      </c>
      <c r="T1079" s="167"/>
    </row>
    <row r="1080" customHeight="1" spans="2:20">
      <c r="B1080" s="166"/>
      <c r="C1080" s="164">
        <f t="shared" si="114"/>
        <v>11</v>
      </c>
      <c r="D1080" s="158" t="str">
        <f>VLOOKUP(C1080,DMSP!$A$1:$C$39,2,0)</f>
        <v>4.DƯỠNG RỄ</v>
      </c>
      <c r="E1080" s="159" t="str">
        <f>VLOOKUP(C1080,DMSP!$A$1:$C$39,3,0)</f>
        <v>ĐẠM TÔM</v>
      </c>
      <c r="F1080" s="160">
        <f t="shared" si="108"/>
        <v>0</v>
      </c>
      <c r="G1080" s="176"/>
      <c r="H1080" s="176"/>
      <c r="I1080" s="176"/>
      <c r="J1080" s="176"/>
      <c r="K1080" s="176"/>
      <c r="L1080" s="176"/>
      <c r="M1080" s="176"/>
      <c r="N1080" s="176"/>
      <c r="O1080" s="176"/>
      <c r="P1080" s="176"/>
      <c r="Q1080" s="176"/>
      <c r="R1080" s="176"/>
      <c r="S1080" s="162">
        <f t="shared" si="115"/>
        <v>0</v>
      </c>
      <c r="T1080" s="167"/>
    </row>
    <row r="1081" customHeight="1" spans="2:20">
      <c r="B1081" s="166"/>
      <c r="C1081" s="164">
        <f t="shared" si="114"/>
        <v>12</v>
      </c>
      <c r="D1081" s="158" t="str">
        <f>VLOOKUP(C1081,DMSP!$A$1:$C$39,2,0)</f>
        <v>4.DƯỠNG RỄ</v>
      </c>
      <c r="E1081" s="159" t="str">
        <f>VLOOKUP(C1081,DMSP!$A$1:$C$39,3,0)</f>
        <v>SUPERMIC</v>
      </c>
      <c r="F1081" s="160">
        <f t="shared" si="108"/>
        <v>0</v>
      </c>
      <c r="G1081" s="176"/>
      <c r="H1081" s="176"/>
      <c r="I1081" s="176"/>
      <c r="J1081" s="176"/>
      <c r="K1081" s="176"/>
      <c r="L1081" s="176"/>
      <c r="M1081" s="176"/>
      <c r="N1081" s="176"/>
      <c r="O1081" s="176"/>
      <c r="P1081" s="176"/>
      <c r="Q1081" s="176"/>
      <c r="R1081" s="176"/>
      <c r="S1081" s="162">
        <f t="shared" si="115"/>
        <v>0</v>
      </c>
      <c r="T1081" s="167"/>
    </row>
    <row r="1082" customHeight="1" spans="2:20">
      <c r="B1082" s="166"/>
      <c r="C1082" s="164">
        <f t="shared" si="114"/>
        <v>13</v>
      </c>
      <c r="D1082" s="158" t="str">
        <f>VLOOKUP(C1082,DMSP!$A$1:$C$39,2,0)</f>
        <v>5.TRUYỀN THỐNG</v>
      </c>
      <c r="E1082" s="159" t="str">
        <f>VLOOKUP(C1082,DMSP!$A$1:$C$39,3,0)</f>
        <v>CABO</v>
      </c>
      <c r="F1082" s="160">
        <f t="shared" si="108"/>
        <v>0</v>
      </c>
      <c r="G1082" s="176"/>
      <c r="H1082" s="176"/>
      <c r="I1082" s="176"/>
      <c r="J1082" s="176"/>
      <c r="K1082" s="176"/>
      <c r="L1082" s="176"/>
      <c r="M1082" s="176"/>
      <c r="N1082" s="176"/>
      <c r="O1082" s="176"/>
      <c r="P1082" s="176"/>
      <c r="Q1082" s="176"/>
      <c r="R1082" s="176"/>
      <c r="S1082" s="162">
        <f t="shared" si="115"/>
        <v>0</v>
      </c>
      <c r="T1082" s="167"/>
    </row>
    <row r="1083" customHeight="1" spans="2:20">
      <c r="B1083" s="166"/>
      <c r="C1083" s="164">
        <f t="shared" si="114"/>
        <v>14</v>
      </c>
      <c r="D1083" s="158" t="str">
        <f>VLOOKUP(C1083,DMSP!$A$1:$C$39,2,0)</f>
        <v>5.TRUYỀN THỐNG</v>
      </c>
      <c r="E1083" s="159" t="str">
        <f>VLOOKUP(C1083,DMSP!$A$1:$C$39,3,0)</f>
        <v>F94</v>
      </c>
      <c r="F1083" s="160">
        <f t="shared" si="108"/>
        <v>0</v>
      </c>
      <c r="G1083" s="176"/>
      <c r="H1083" s="176"/>
      <c r="I1083" s="176"/>
      <c r="J1083" s="176"/>
      <c r="K1083" s="176"/>
      <c r="L1083" s="176"/>
      <c r="M1083" s="176"/>
      <c r="N1083" s="176"/>
      <c r="O1083" s="176"/>
      <c r="P1083" s="176"/>
      <c r="Q1083" s="176"/>
      <c r="R1083" s="176"/>
      <c r="S1083" s="162">
        <f t="shared" si="115"/>
        <v>0</v>
      </c>
      <c r="T1083" s="167"/>
    </row>
    <row r="1084" customHeight="1" spans="2:20">
      <c r="B1084" s="166"/>
      <c r="C1084" s="164">
        <f t="shared" si="114"/>
        <v>15</v>
      </c>
      <c r="D1084" s="158" t="str">
        <f>VLOOKUP(C1084,DMSP!$A$1:$C$39,2,0)</f>
        <v>5.TRUYỀN THỐNG</v>
      </c>
      <c r="E1084" s="159" t="str">
        <f>VLOOKUP(C1084,DMSP!$A$1:$C$39,3,0)</f>
        <v>F95</v>
      </c>
      <c r="F1084" s="160">
        <f t="shared" si="108"/>
        <v>0</v>
      </c>
      <c r="G1084" s="176"/>
      <c r="H1084" s="176"/>
      <c r="I1084" s="176"/>
      <c r="J1084" s="176"/>
      <c r="K1084" s="176"/>
      <c r="L1084" s="176"/>
      <c r="M1084" s="176"/>
      <c r="N1084" s="176"/>
      <c r="O1084" s="176"/>
      <c r="P1084" s="176"/>
      <c r="Q1084" s="176"/>
      <c r="R1084" s="176"/>
      <c r="S1084" s="162">
        <f t="shared" si="115"/>
        <v>0</v>
      </c>
      <c r="T1084" s="167"/>
    </row>
    <row r="1085" customHeight="1" spans="2:20">
      <c r="B1085" s="166"/>
      <c r="C1085" s="164">
        <f t="shared" si="114"/>
        <v>16</v>
      </c>
      <c r="D1085" s="158" t="str">
        <f>VLOOKUP(C1085,DMSP!$A$1:$C$39,2,0)</f>
        <v>5.TRUYỀN THỐNG</v>
      </c>
      <c r="E1085" s="159" t="str">
        <f>VLOOKUP(C1085,DMSP!$A$1:$C$39,3,0)</f>
        <v>THIOURE</v>
      </c>
      <c r="F1085" s="160">
        <f t="shared" si="108"/>
        <v>0</v>
      </c>
      <c r="G1085" s="176"/>
      <c r="H1085" s="176"/>
      <c r="I1085" s="176"/>
      <c r="J1085" s="176"/>
      <c r="K1085" s="176"/>
      <c r="L1085" s="176"/>
      <c r="M1085" s="176"/>
      <c r="N1085" s="176"/>
      <c r="O1085" s="176"/>
      <c r="P1085" s="176"/>
      <c r="Q1085" s="176"/>
      <c r="R1085" s="176"/>
      <c r="S1085" s="162">
        <f t="shared" si="115"/>
        <v>0</v>
      </c>
      <c r="T1085" s="167"/>
    </row>
    <row r="1086" customHeight="1" spans="2:20">
      <c r="B1086" s="166"/>
      <c r="C1086" s="164">
        <f t="shared" si="114"/>
        <v>17</v>
      </c>
      <c r="D1086" s="158" t="str">
        <f>VLOOKUP(C1086,DMSP!$A$1:$C$39,2,0)</f>
        <v>5.TRUYỀN THỐNG</v>
      </c>
      <c r="E1086" s="159" t="str">
        <f>VLOOKUP(C1086,DMSP!$A$1:$C$39,3,0)</f>
        <v>TOBA JUM</v>
      </c>
      <c r="F1086" s="160">
        <f t="shared" si="108"/>
        <v>0</v>
      </c>
      <c r="G1086" s="176"/>
      <c r="H1086" s="176"/>
      <c r="I1086" s="176"/>
      <c r="J1086" s="176"/>
      <c r="K1086" s="176"/>
      <c r="L1086" s="176"/>
      <c r="M1086" s="176"/>
      <c r="N1086" s="176"/>
      <c r="O1086" s="176"/>
      <c r="P1086" s="176"/>
      <c r="Q1086" s="176"/>
      <c r="R1086" s="176"/>
      <c r="S1086" s="162">
        <f t="shared" si="115"/>
        <v>0</v>
      </c>
      <c r="T1086" s="167"/>
    </row>
    <row r="1087" customHeight="1" spans="2:20">
      <c r="B1087" s="166"/>
      <c r="C1087" s="164">
        <f t="shared" si="114"/>
        <v>18</v>
      </c>
      <c r="D1087" s="158" t="str">
        <f>VLOOKUP(C1087,DMSP!$A$1:$C$39,2,0)</f>
        <v>5.TRUYỀN THỐNG</v>
      </c>
      <c r="E1087" s="159" t="str">
        <f>VLOOKUP(C1087,DMSP!$A$1:$C$39,3,0)</f>
        <v>TOBA NET</v>
      </c>
      <c r="F1087" s="160">
        <f t="shared" si="108"/>
        <v>0</v>
      </c>
      <c r="G1087" s="176"/>
      <c r="H1087" s="176"/>
      <c r="I1087" s="176"/>
      <c r="J1087" s="176"/>
      <c r="K1087" s="176"/>
      <c r="L1087" s="176"/>
      <c r="M1087" s="176"/>
      <c r="N1087" s="176"/>
      <c r="O1087" s="176"/>
      <c r="P1087" s="176"/>
      <c r="Q1087" s="176"/>
      <c r="R1087" s="176"/>
      <c r="S1087" s="162">
        <f t="shared" si="115"/>
        <v>0</v>
      </c>
      <c r="T1087" s="167"/>
    </row>
    <row r="1088" customHeight="1" spans="2:20">
      <c r="B1088" s="166"/>
      <c r="C1088" s="164">
        <f t="shared" si="114"/>
        <v>19</v>
      </c>
      <c r="D1088" s="158" t="str">
        <f>VLOOKUP(C1088,DMSP!$A$1:$C$39,2,0)</f>
        <v>6.BVTV</v>
      </c>
      <c r="E1088" s="159" t="str">
        <f>VLOOKUP(C1088,DMSP!$A$1:$C$39,3,0)</f>
        <v>ABAFAX 1.8</v>
      </c>
      <c r="F1088" s="160">
        <f t="shared" si="108"/>
        <v>0</v>
      </c>
      <c r="G1088" s="176"/>
      <c r="H1088" s="176"/>
      <c r="I1088" s="176"/>
      <c r="J1088" s="176"/>
      <c r="K1088" s="176"/>
      <c r="L1088" s="176"/>
      <c r="M1088" s="176"/>
      <c r="N1088" s="176"/>
      <c r="O1088" s="176"/>
      <c r="P1088" s="176"/>
      <c r="Q1088" s="176"/>
      <c r="R1088" s="176"/>
      <c r="S1088" s="162">
        <f t="shared" si="115"/>
        <v>0</v>
      </c>
      <c r="T1088" s="167"/>
    </row>
    <row r="1089" customHeight="1" spans="2:20">
      <c r="B1089" s="166"/>
      <c r="C1089" s="164">
        <f t="shared" si="114"/>
        <v>20</v>
      </c>
      <c r="D1089" s="158" t="str">
        <f>VLOOKUP(C1089,DMSP!$A$1:$C$39,2,0)</f>
        <v>6.BVTV</v>
      </c>
      <c r="E1089" s="159" t="str">
        <f>VLOOKUP(C1089,DMSP!$A$1:$C$39,3,0)</f>
        <v>ABAFAX 3.6</v>
      </c>
      <c r="F1089" s="160">
        <f t="shared" si="108"/>
        <v>0</v>
      </c>
      <c r="G1089" s="176"/>
      <c r="H1089" s="176"/>
      <c r="I1089" s="176"/>
      <c r="J1089" s="176"/>
      <c r="K1089" s="176"/>
      <c r="L1089" s="176"/>
      <c r="M1089" s="176"/>
      <c r="N1089" s="176"/>
      <c r="O1089" s="176"/>
      <c r="P1089" s="176"/>
      <c r="Q1089" s="176"/>
      <c r="R1089" s="176"/>
      <c r="S1089" s="162">
        <f t="shared" si="115"/>
        <v>0</v>
      </c>
      <c r="T1089" s="167"/>
    </row>
    <row r="1090" customHeight="1" spans="2:20">
      <c r="B1090" s="166"/>
      <c r="C1090" s="164">
        <f t="shared" si="114"/>
        <v>21</v>
      </c>
      <c r="D1090" s="158" t="str">
        <f>VLOOKUP(C1090,DMSP!$A$1:$C$39,2,0)</f>
        <v>6.BVTV</v>
      </c>
      <c r="E1090" s="159" t="str">
        <f>VLOOKUP(C1090,DMSP!$A$1:$C$39,3,0)</f>
        <v>AZET</v>
      </c>
      <c r="F1090" s="160">
        <f t="shared" si="108"/>
        <v>0</v>
      </c>
      <c r="G1090" s="176"/>
      <c r="H1090" s="176"/>
      <c r="I1090" s="176"/>
      <c r="J1090" s="176"/>
      <c r="K1090" s="176"/>
      <c r="L1090" s="176"/>
      <c r="M1090" s="176"/>
      <c r="N1090" s="176"/>
      <c r="O1090" s="176"/>
      <c r="P1090" s="176"/>
      <c r="Q1090" s="176"/>
      <c r="R1090" s="176"/>
      <c r="S1090" s="162">
        <f t="shared" si="115"/>
        <v>0</v>
      </c>
      <c r="T1090" s="167"/>
    </row>
    <row r="1091" customHeight="1" spans="2:20">
      <c r="B1091" s="166"/>
      <c r="C1091" s="164">
        <f t="shared" si="114"/>
        <v>22</v>
      </c>
      <c r="D1091" s="158" t="str">
        <f>VLOOKUP(C1091,DMSP!$A$1:$C$39,2,0)</f>
        <v>6.BVTV</v>
      </c>
      <c r="E1091" s="159" t="str">
        <f>VLOOKUP(C1091,DMSP!$A$1:$C$39,3,0)</f>
        <v>BACBA</v>
      </c>
      <c r="F1091" s="160">
        <f t="shared" si="108"/>
        <v>0</v>
      </c>
      <c r="G1091" s="176"/>
      <c r="H1091" s="176"/>
      <c r="I1091" s="176"/>
      <c r="J1091" s="176"/>
      <c r="K1091" s="176"/>
      <c r="L1091" s="176"/>
      <c r="M1091" s="176"/>
      <c r="N1091" s="176"/>
      <c r="O1091" s="176"/>
      <c r="P1091" s="176"/>
      <c r="Q1091" s="176"/>
      <c r="R1091" s="176"/>
      <c r="S1091" s="162">
        <f t="shared" si="115"/>
        <v>0</v>
      </c>
      <c r="T1091" s="167"/>
    </row>
    <row r="1092" customHeight="1" spans="2:20">
      <c r="B1092" s="166"/>
      <c r="C1092" s="164">
        <f t="shared" si="114"/>
        <v>23</v>
      </c>
      <c r="D1092" s="158" t="str">
        <f>VLOOKUP(C1092,DMSP!$A$1:$C$39,2,0)</f>
        <v>6.BVTV</v>
      </c>
      <c r="E1092" s="159" t="str">
        <f>VLOOKUP(C1092,DMSP!$A$1:$C$39,3,0)</f>
        <v>BIOROSAMIL</v>
      </c>
      <c r="F1092" s="160">
        <f t="shared" si="108"/>
        <v>0</v>
      </c>
      <c r="G1092" s="176"/>
      <c r="H1092" s="176"/>
      <c r="I1092" s="176"/>
      <c r="J1092" s="176"/>
      <c r="K1092" s="176"/>
      <c r="L1092" s="176"/>
      <c r="M1092" s="176"/>
      <c r="N1092" s="176"/>
      <c r="O1092" s="176"/>
      <c r="P1092" s="176"/>
      <c r="Q1092" s="176"/>
      <c r="R1092" s="176"/>
      <c r="S1092" s="162">
        <f t="shared" si="115"/>
        <v>0</v>
      </c>
      <c r="T1092" s="167"/>
    </row>
    <row r="1093" customHeight="1" spans="2:20">
      <c r="B1093" s="166"/>
      <c r="C1093" s="164">
        <f t="shared" si="114"/>
        <v>24</v>
      </c>
      <c r="D1093" s="158" t="str">
        <f>VLOOKUP(C1093,DMSP!$A$1:$C$39,2,0)</f>
        <v>6.BVTV</v>
      </c>
      <c r="E1093" s="159" t="str">
        <f>VLOOKUP(C1093,DMSP!$A$1:$C$39,3,0)</f>
        <v>COC 86</v>
      </c>
      <c r="F1093" s="160">
        <f t="shared" si="108"/>
        <v>0</v>
      </c>
      <c r="G1093" s="176"/>
      <c r="H1093" s="176"/>
      <c r="I1093" s="176"/>
      <c r="J1093" s="176"/>
      <c r="K1093" s="176"/>
      <c r="L1093" s="176"/>
      <c r="M1093" s="176"/>
      <c r="N1093" s="176"/>
      <c r="O1093" s="176"/>
      <c r="P1093" s="176"/>
      <c r="Q1093" s="176"/>
      <c r="R1093" s="176"/>
      <c r="S1093" s="162">
        <f t="shared" si="115"/>
        <v>0</v>
      </c>
      <c r="T1093" s="167"/>
    </row>
    <row r="1094" customHeight="1" spans="2:20">
      <c r="B1094" s="166"/>
      <c r="C1094" s="164">
        <f t="shared" si="114"/>
        <v>25</v>
      </c>
      <c r="D1094" s="158" t="str">
        <f>VLOOKUP(C1094,DMSP!$A$1:$C$39,2,0)</f>
        <v>6.BVTV</v>
      </c>
      <c r="E1094" s="159" t="str">
        <f>VLOOKUP(C1094,DMSP!$A$1:$C$39,3,0)</f>
        <v>HEXA 5</v>
      </c>
      <c r="F1094" s="160">
        <f t="shared" si="108"/>
        <v>0</v>
      </c>
      <c r="G1094" s="176"/>
      <c r="H1094" s="176"/>
      <c r="I1094" s="176"/>
      <c r="J1094" s="176"/>
      <c r="K1094" s="176"/>
      <c r="L1094" s="176"/>
      <c r="M1094" s="176"/>
      <c r="N1094" s="176"/>
      <c r="O1094" s="176"/>
      <c r="P1094" s="176"/>
      <c r="Q1094" s="176"/>
      <c r="R1094" s="176"/>
      <c r="S1094" s="162">
        <f t="shared" si="115"/>
        <v>0</v>
      </c>
      <c r="T1094" s="167"/>
    </row>
    <row r="1095" customHeight="1" spans="2:20">
      <c r="B1095" s="166"/>
      <c r="C1095" s="164">
        <f t="shared" si="114"/>
        <v>26</v>
      </c>
      <c r="D1095" s="158" t="str">
        <f>VLOOKUP(C1095,DMSP!$A$1:$C$39,2,0)</f>
        <v>6.BVTV</v>
      </c>
      <c r="E1095" s="159" t="str">
        <f>VLOOKUP(C1095,DMSP!$A$1:$C$39,3,0)</f>
        <v>TAMALA</v>
      </c>
      <c r="F1095" s="160">
        <f t="shared" ref="F1095:F1158" si="116">S1095</f>
        <v>0</v>
      </c>
      <c r="G1095" s="176"/>
      <c r="H1095" s="176"/>
      <c r="I1095" s="176"/>
      <c r="J1095" s="176"/>
      <c r="K1095" s="176"/>
      <c r="L1095" s="176"/>
      <c r="M1095" s="176"/>
      <c r="N1095" s="176"/>
      <c r="O1095" s="176"/>
      <c r="P1095" s="176"/>
      <c r="Q1095" s="176"/>
      <c r="R1095" s="176"/>
      <c r="S1095" s="162">
        <f t="shared" si="115"/>
        <v>0</v>
      </c>
      <c r="T1095" s="167"/>
    </row>
    <row r="1096" customHeight="1" spans="2:20">
      <c r="B1096" s="166"/>
      <c r="C1096" s="164">
        <f t="shared" si="114"/>
        <v>27</v>
      </c>
      <c r="D1096" s="158" t="str">
        <f>VLOOKUP(C1096,DMSP!$A$1:$C$39,2,0)</f>
        <v>7.KHÁC</v>
      </c>
      <c r="E1096" s="159" t="str">
        <f>VLOOKUP(C1096,DMSP!$A$1:$C$39,3,0)</f>
        <v>KẼM VÀNG</v>
      </c>
      <c r="F1096" s="160">
        <f t="shared" si="116"/>
        <v>0</v>
      </c>
      <c r="G1096" s="176"/>
      <c r="H1096" s="176"/>
      <c r="I1096" s="176"/>
      <c r="J1096" s="176"/>
      <c r="K1096" s="176"/>
      <c r="L1096" s="176"/>
      <c r="M1096" s="176"/>
      <c r="N1096" s="176"/>
      <c r="O1096" s="176"/>
      <c r="P1096" s="176"/>
      <c r="Q1096" s="176"/>
      <c r="R1096" s="176"/>
      <c r="S1096" s="162">
        <f t="shared" si="115"/>
        <v>0</v>
      </c>
      <c r="T1096" s="167"/>
    </row>
    <row r="1097" customHeight="1" spans="2:20">
      <c r="B1097" s="166"/>
      <c r="C1097" s="164">
        <f t="shared" si="114"/>
        <v>28</v>
      </c>
      <c r="D1097" s="158" t="str">
        <f>VLOOKUP(C1097,DMSP!$A$1:$C$39,2,0)</f>
        <v>7.KHÁC</v>
      </c>
      <c r="E1097" s="159" t="str">
        <f>VLOOKUP(C1097,DMSP!$A$1:$C$39,3,0)</f>
        <v>KHÁC1</v>
      </c>
      <c r="F1097" s="160">
        <f t="shared" si="116"/>
        <v>0</v>
      </c>
      <c r="G1097" s="176"/>
      <c r="H1097" s="176"/>
      <c r="I1097" s="176"/>
      <c r="J1097" s="176"/>
      <c r="K1097" s="176"/>
      <c r="L1097" s="176"/>
      <c r="M1097" s="176"/>
      <c r="N1097" s="176"/>
      <c r="O1097" s="176"/>
      <c r="P1097" s="176"/>
      <c r="Q1097" s="176"/>
      <c r="R1097" s="176"/>
      <c r="S1097" s="162">
        <f t="shared" si="115"/>
        <v>0</v>
      </c>
      <c r="T1097" s="167"/>
    </row>
    <row r="1098" customHeight="1" spans="2:20">
      <c r="B1098" s="166"/>
      <c r="C1098" s="164">
        <f t="shared" si="114"/>
        <v>29</v>
      </c>
      <c r="D1098" s="158" t="str">
        <f>VLOOKUP(C1098,DMSP!$A$1:$C$39,2,0)</f>
        <v>7.KHÁC</v>
      </c>
      <c r="E1098" s="169" t="s">
        <v>13</v>
      </c>
      <c r="F1098" s="160">
        <f t="shared" si="116"/>
        <v>0</v>
      </c>
      <c r="G1098" s="176"/>
      <c r="H1098" s="176"/>
      <c r="I1098" s="176"/>
      <c r="J1098" s="176"/>
      <c r="K1098" s="176"/>
      <c r="L1098" s="176"/>
      <c r="M1098" s="176"/>
      <c r="N1098" s="176"/>
      <c r="O1098" s="176"/>
      <c r="P1098" s="176"/>
      <c r="Q1098" s="176"/>
      <c r="R1098" s="176"/>
      <c r="S1098" s="162">
        <f t="shared" si="115"/>
        <v>0</v>
      </c>
      <c r="T1098" s="167"/>
    </row>
    <row r="1099" customHeight="1" spans="2:20">
      <c r="B1099" s="166"/>
      <c r="C1099" s="164">
        <f t="shared" si="114"/>
        <v>30</v>
      </c>
      <c r="D1099" s="158" t="str">
        <f>VLOOKUP(C1099,DMSP!$A$1:$C$39,2,0)</f>
        <v>7.KHÁC</v>
      </c>
      <c r="E1099" s="159" t="str">
        <f>VLOOKUP(C1099,DMSP!$A$1:$C$39,3,0)</f>
        <v>RỬA RONG RÊU</v>
      </c>
      <c r="F1099" s="160">
        <f t="shared" si="116"/>
        <v>0</v>
      </c>
      <c r="G1099" s="176"/>
      <c r="H1099" s="176"/>
      <c r="I1099" s="176"/>
      <c r="J1099" s="176"/>
      <c r="K1099" s="176"/>
      <c r="L1099" s="176"/>
      <c r="M1099" s="176"/>
      <c r="N1099" s="176"/>
      <c r="O1099" s="176"/>
      <c r="P1099" s="176"/>
      <c r="Q1099" s="176"/>
      <c r="R1099" s="176"/>
      <c r="S1099" s="162">
        <f t="shared" si="115"/>
        <v>0</v>
      </c>
      <c r="T1099" s="167"/>
    </row>
    <row r="1100" customHeight="1" spans="2:20">
      <c r="B1100" s="166"/>
      <c r="C1100" s="164">
        <f t="shared" si="114"/>
        <v>31</v>
      </c>
      <c r="D1100" s="158" t="str">
        <f>VLOOKUP(C1100,DMSP!$A$1:$C$39,2,0)</f>
        <v>7.KHÁC</v>
      </c>
      <c r="E1100" s="159" t="str">
        <f>VLOOKUP(C1100,DMSP!$A$1:$C$39,3,0)</f>
        <v>TB BO</v>
      </c>
      <c r="F1100" s="160">
        <f t="shared" si="116"/>
        <v>0</v>
      </c>
      <c r="G1100" s="176"/>
      <c r="H1100" s="176"/>
      <c r="I1100" s="176"/>
      <c r="J1100" s="176"/>
      <c r="K1100" s="176"/>
      <c r="L1100" s="176"/>
      <c r="M1100" s="176"/>
      <c r="N1100" s="176"/>
      <c r="O1100" s="176"/>
      <c r="P1100" s="176"/>
      <c r="Q1100" s="176"/>
      <c r="R1100" s="176"/>
      <c r="S1100" s="162">
        <f t="shared" si="115"/>
        <v>0</v>
      </c>
      <c r="T1100" s="167"/>
    </row>
    <row r="1101" customHeight="1" spans="2:20">
      <c r="B1101" s="166"/>
      <c r="C1101" s="164">
        <f t="shared" si="114"/>
        <v>32</v>
      </c>
      <c r="D1101" s="158" t="str">
        <f>VLOOKUP(C1101,DMSP!$A$1:$C$39,2,0)</f>
        <v>7.KHÁC</v>
      </c>
      <c r="E1101" s="159" t="str">
        <f>VLOOKUP(C1101,DMSP!$A$1:$C$39,3,0)</f>
        <v>TB FRUIT</v>
      </c>
      <c r="F1101" s="160">
        <f t="shared" si="116"/>
        <v>0</v>
      </c>
      <c r="G1101" s="176"/>
      <c r="H1101" s="176"/>
      <c r="I1101" s="176"/>
      <c r="J1101" s="176"/>
      <c r="K1101" s="176"/>
      <c r="L1101" s="176"/>
      <c r="M1101" s="176"/>
      <c r="N1101" s="176"/>
      <c r="O1101" s="176"/>
      <c r="P1101" s="176"/>
      <c r="Q1101" s="176"/>
      <c r="R1101" s="176"/>
      <c r="S1101" s="162">
        <f t="shared" si="115"/>
        <v>0</v>
      </c>
      <c r="T1101" s="167"/>
    </row>
    <row r="1102" customHeight="1" spans="2:20">
      <c r="B1102" s="166"/>
      <c r="C1102" s="164">
        <f t="shared" si="114"/>
        <v>33</v>
      </c>
      <c r="D1102" s="158" t="str">
        <f>VLOOKUP(C1102,DMSP!$A$1:$C$39,2,0)</f>
        <v>7.KHÁC</v>
      </c>
      <c r="E1102" s="159" t="str">
        <f>VLOOKUP(C1102,DMSP!$A$1:$C$39,3,0)</f>
        <v>TB PHOS</v>
      </c>
      <c r="F1102" s="160">
        <f t="shared" si="116"/>
        <v>0</v>
      </c>
      <c r="G1102" s="176"/>
      <c r="H1102" s="176"/>
      <c r="I1102" s="176"/>
      <c r="J1102" s="176"/>
      <c r="K1102" s="176"/>
      <c r="L1102" s="176"/>
      <c r="M1102" s="176"/>
      <c r="N1102" s="176"/>
      <c r="O1102" s="176"/>
      <c r="P1102" s="176"/>
      <c r="Q1102" s="176"/>
      <c r="R1102" s="176"/>
      <c r="S1102" s="162">
        <f t="shared" si="115"/>
        <v>0</v>
      </c>
      <c r="T1102" s="167"/>
    </row>
    <row r="1103" customHeight="1" spans="2:20">
      <c r="B1103" s="166"/>
      <c r="C1103" s="164">
        <f t="shared" si="114"/>
        <v>34</v>
      </c>
      <c r="D1103" s="158" t="str">
        <f>VLOOKUP(C1103,DMSP!$A$1:$C$39,2,0)</f>
        <v>7.KHÁC</v>
      </c>
      <c r="E1103" s="159" t="str">
        <f>VLOOKUP(C1103,DMSP!$A$1:$C$39,3,0)</f>
        <v>TOBA BÁM DÍNH</v>
      </c>
      <c r="F1103" s="160">
        <f t="shared" si="116"/>
        <v>0</v>
      </c>
      <c r="G1103" s="176"/>
      <c r="H1103" s="176"/>
      <c r="I1103" s="176"/>
      <c r="J1103" s="176"/>
      <c r="K1103" s="176"/>
      <c r="L1103" s="176"/>
      <c r="M1103" s="176"/>
      <c r="N1103" s="176"/>
      <c r="O1103" s="176"/>
      <c r="P1103" s="176"/>
      <c r="Q1103" s="176"/>
      <c r="R1103" s="176"/>
      <c r="S1103" s="162">
        <f t="shared" si="115"/>
        <v>0</v>
      </c>
      <c r="T1103" s="167"/>
    </row>
    <row r="1104" customHeight="1" spans="2:20">
      <c r="B1104" s="166"/>
      <c r="C1104" s="164">
        <f t="shared" si="114"/>
        <v>35</v>
      </c>
      <c r="D1104" s="158" t="str">
        <f>VLOOKUP(C1104,DMSP!$A$1:$C$39,2,0)</f>
        <v>7.KHÁC</v>
      </c>
      <c r="E1104" s="159" t="str">
        <f>VLOOKUP(C1104,DMSP!$A$1:$C$39,3,0)</f>
        <v>VỌT HOA NHÃN</v>
      </c>
      <c r="F1104" s="160">
        <f t="shared" si="116"/>
        <v>0</v>
      </c>
      <c r="G1104" s="176"/>
      <c r="H1104" s="176"/>
      <c r="I1104" s="176"/>
      <c r="J1104" s="176"/>
      <c r="K1104" s="176"/>
      <c r="L1104" s="176"/>
      <c r="M1104" s="176"/>
      <c r="N1104" s="176"/>
      <c r="O1104" s="176"/>
      <c r="P1104" s="176"/>
      <c r="Q1104" s="176"/>
      <c r="R1104" s="176"/>
      <c r="S1104" s="162">
        <f t="shared" si="115"/>
        <v>0</v>
      </c>
      <c r="T1104" s="167"/>
    </row>
    <row r="1105" customHeight="1" spans="2:20">
      <c r="B1105" s="166"/>
      <c r="C1105" s="164">
        <f t="shared" si="114"/>
        <v>36</v>
      </c>
      <c r="D1105" s="158" t="str">
        <f>VLOOKUP(C1105,DMSP!$A$1:$C$39,2,0)</f>
        <v>7.KHÁC</v>
      </c>
      <c r="E1105" s="159" t="str">
        <f>VLOOKUP(C1105,DMSP!$A$1:$C$39,3,0)</f>
        <v>VỌT HOA XOÀI</v>
      </c>
      <c r="F1105" s="160">
        <f t="shared" si="116"/>
        <v>0</v>
      </c>
      <c r="G1105" s="176"/>
      <c r="H1105" s="176"/>
      <c r="I1105" s="176"/>
      <c r="J1105" s="176"/>
      <c r="K1105" s="176"/>
      <c r="L1105" s="176"/>
      <c r="M1105" s="176"/>
      <c r="N1105" s="176"/>
      <c r="O1105" s="176"/>
      <c r="P1105" s="176"/>
      <c r="Q1105" s="176"/>
      <c r="R1105" s="176"/>
      <c r="S1105" s="162">
        <f t="shared" si="115"/>
        <v>0</v>
      </c>
      <c r="T1105" s="167"/>
    </row>
    <row r="1106" customHeight="1" spans="2:20">
      <c r="B1106" s="166"/>
      <c r="C1106" s="164">
        <f t="shared" si="114"/>
        <v>37</v>
      </c>
      <c r="D1106" s="158" t="str">
        <f>VLOOKUP(C1106,DMSP!$A$1:$C$39,2,0)</f>
        <v>7.KHÁC</v>
      </c>
      <c r="E1106" s="159" t="str">
        <f>VLOOKUP(C1106,DMSP!$A$1:$C$39,3,0)</f>
        <v>VỌT HOA XOÀI</v>
      </c>
      <c r="F1106" s="160">
        <f t="shared" si="116"/>
        <v>0</v>
      </c>
      <c r="G1106" s="176"/>
      <c r="H1106" s="176"/>
      <c r="I1106" s="176"/>
      <c r="J1106" s="176"/>
      <c r="K1106" s="176"/>
      <c r="L1106" s="176"/>
      <c r="M1106" s="176"/>
      <c r="N1106" s="176"/>
      <c r="O1106" s="176"/>
      <c r="P1106" s="176"/>
      <c r="Q1106" s="176"/>
      <c r="R1106" s="176"/>
      <c r="S1106" s="162">
        <f t="shared" si="115"/>
        <v>0</v>
      </c>
      <c r="T1106" s="167"/>
    </row>
    <row r="1107" customHeight="1" spans="2:20">
      <c r="B1107" s="92"/>
      <c r="C1107" s="170">
        <f>B1070</f>
        <v>0</v>
      </c>
      <c r="D1107" s="171"/>
      <c r="E1107" s="172" t="str">
        <f>"TOTAL "&amp;B1070</f>
        <v>TOTAL </v>
      </c>
      <c r="F1107" s="173">
        <f t="shared" si="116"/>
        <v>0</v>
      </c>
      <c r="G1107" s="174">
        <f>SUM(G1070:G1106)</f>
        <v>0</v>
      </c>
      <c r="H1107" s="174">
        <f t="shared" ref="H1107:R1107" si="117">SUM(H1070:H1106)</f>
        <v>0</v>
      </c>
      <c r="I1107" s="174">
        <f t="shared" si="117"/>
        <v>0</v>
      </c>
      <c r="J1107" s="174">
        <f t="shared" si="117"/>
        <v>0</v>
      </c>
      <c r="K1107" s="174">
        <f t="shared" si="117"/>
        <v>0</v>
      </c>
      <c r="L1107" s="174">
        <f t="shared" si="117"/>
        <v>0</v>
      </c>
      <c r="M1107" s="174">
        <f t="shared" si="117"/>
        <v>0</v>
      </c>
      <c r="N1107" s="174">
        <f t="shared" si="117"/>
        <v>0</v>
      </c>
      <c r="O1107" s="174">
        <f t="shared" si="117"/>
        <v>0</v>
      </c>
      <c r="P1107" s="174">
        <f t="shared" si="117"/>
        <v>0</v>
      </c>
      <c r="Q1107" s="174">
        <f t="shared" si="117"/>
        <v>0</v>
      </c>
      <c r="R1107" s="174">
        <f t="shared" si="117"/>
        <v>0</v>
      </c>
      <c r="S1107" s="174">
        <f t="shared" si="115"/>
        <v>0</v>
      </c>
      <c r="T1107" s="175"/>
    </row>
    <row r="1108" customHeight="1" spans="2:20">
      <c r="B1108" s="156"/>
      <c r="C1108" s="157">
        <v>1</v>
      </c>
      <c r="D1108" s="158" t="str">
        <f>VLOOKUP(C1108,DMSP!$A$1:$C$39,2,0)</f>
        <v>1.TOBA XANH</v>
      </c>
      <c r="E1108" s="159" t="str">
        <f>VLOOKUP(C1108,DMSP!$A$1:$C$39,3,0)</f>
        <v>TOBA XANH</v>
      </c>
      <c r="F1108" s="160">
        <f t="shared" si="116"/>
        <v>0</v>
      </c>
      <c r="G1108" s="176"/>
      <c r="H1108" s="176"/>
      <c r="I1108" s="176"/>
      <c r="J1108" s="176"/>
      <c r="K1108" s="176"/>
      <c r="L1108" s="176"/>
      <c r="M1108" s="176"/>
      <c r="N1108" s="176"/>
      <c r="O1108" s="176"/>
      <c r="P1108" s="176"/>
      <c r="Q1108" s="176"/>
      <c r="R1108" s="176"/>
      <c r="S1108" s="162">
        <f t="shared" si="115"/>
        <v>0</v>
      </c>
      <c r="T1108" s="163">
        <f>S1145</f>
        <v>0</v>
      </c>
    </row>
    <row r="1109" customHeight="1" spans="2:20">
      <c r="B1109" s="166"/>
      <c r="C1109" s="164">
        <f t="shared" ref="C1109:C1144" si="118">C1108+1</f>
        <v>2</v>
      </c>
      <c r="D1109" s="158" t="str">
        <f>VLOOKUP(C1109,DMSP!$A$1:$C$39,2,0)</f>
        <v>2.HC</v>
      </c>
      <c r="E1109" s="159" t="str">
        <f>VLOOKUP(C1109,DMSP!$A$1:$C$39,3,0)</f>
        <v>HC BOOSTER</v>
      </c>
      <c r="F1109" s="160">
        <f t="shared" si="116"/>
        <v>0</v>
      </c>
      <c r="G1109" s="176"/>
      <c r="H1109" s="176"/>
      <c r="I1109" s="176"/>
      <c r="J1109" s="176"/>
      <c r="K1109" s="176"/>
      <c r="L1109" s="176"/>
      <c r="M1109" s="176"/>
      <c r="N1109" s="176"/>
      <c r="O1109" s="176"/>
      <c r="P1109" s="176"/>
      <c r="Q1109" s="176"/>
      <c r="R1109" s="176"/>
      <c r="S1109" s="162">
        <f t="shared" ref="S1109:S1146" si="119">SUM(G1109:R1109)</f>
        <v>0</v>
      </c>
      <c r="T1109" s="167"/>
    </row>
    <row r="1110" customHeight="1" spans="2:20">
      <c r="B1110" s="166"/>
      <c r="C1110" s="164">
        <f t="shared" si="118"/>
        <v>3</v>
      </c>
      <c r="D1110" s="158" t="str">
        <f>VLOOKUP(C1110,DMSP!$A$1:$C$39,2,0)</f>
        <v>2.HC</v>
      </c>
      <c r="E1110" s="159" t="str">
        <f>VLOOKUP(C1110,DMSP!$A$1:$C$39,3,0)</f>
        <v>HC KING-ROOT</v>
      </c>
      <c r="F1110" s="160">
        <f t="shared" si="116"/>
        <v>0</v>
      </c>
      <c r="G1110" s="176"/>
      <c r="H1110" s="176"/>
      <c r="I1110" s="176"/>
      <c r="J1110" s="176"/>
      <c r="K1110" s="176"/>
      <c r="L1110" s="176"/>
      <c r="M1110" s="176"/>
      <c r="N1110" s="176"/>
      <c r="O1110" s="176"/>
      <c r="P1110" s="176"/>
      <c r="Q1110" s="176"/>
      <c r="R1110" s="176"/>
      <c r="S1110" s="162">
        <f t="shared" si="119"/>
        <v>0</v>
      </c>
      <c r="T1110" s="167"/>
    </row>
    <row r="1111" customHeight="1" spans="2:20">
      <c r="B1111" s="166"/>
      <c r="C1111" s="164">
        <f t="shared" si="118"/>
        <v>4</v>
      </c>
      <c r="D1111" s="158" t="str">
        <f>VLOOKUP(C1111,DMSP!$A$1:$C$39,2,0)</f>
        <v>2.HC</v>
      </c>
      <c r="E1111" s="159" t="str">
        <f>VLOOKUP(C1111,DMSP!$A$1:$C$39,3,0)</f>
        <v>HAPPY FARM</v>
      </c>
      <c r="F1111" s="160">
        <f t="shared" si="116"/>
        <v>0</v>
      </c>
      <c r="G1111" s="176"/>
      <c r="H1111" s="176"/>
      <c r="I1111" s="176"/>
      <c r="J1111" s="176"/>
      <c r="K1111" s="176"/>
      <c r="L1111" s="176"/>
      <c r="M1111" s="176"/>
      <c r="N1111" s="176"/>
      <c r="O1111" s="176"/>
      <c r="P1111" s="176"/>
      <c r="Q1111" s="176"/>
      <c r="R1111" s="176"/>
      <c r="S1111" s="162">
        <f t="shared" si="119"/>
        <v>0</v>
      </c>
      <c r="T1111" s="167"/>
    </row>
    <row r="1112" customHeight="1" spans="2:20">
      <c r="B1112" s="166"/>
      <c r="C1112" s="164">
        <f t="shared" si="118"/>
        <v>5</v>
      </c>
      <c r="D1112" s="158" t="str">
        <f>VLOOKUP(C1112,DMSP!$A$1:$C$39,2,0)</f>
        <v>2.HC</v>
      </c>
      <c r="E1112" s="159" t="str">
        <f>VLOOKUP(C1112,DMSP!$A$1:$C$39,3,0)</f>
        <v>WOW</v>
      </c>
      <c r="F1112" s="160">
        <f t="shared" si="116"/>
        <v>0</v>
      </c>
      <c r="G1112" s="176"/>
      <c r="H1112" s="176"/>
      <c r="I1112" s="176"/>
      <c r="J1112" s="176"/>
      <c r="K1112" s="176"/>
      <c r="L1112" s="176"/>
      <c r="M1112" s="176"/>
      <c r="N1112" s="176"/>
      <c r="O1112" s="176"/>
      <c r="P1112" s="176"/>
      <c r="Q1112" s="176"/>
      <c r="R1112" s="176"/>
      <c r="S1112" s="162">
        <f t="shared" si="119"/>
        <v>0</v>
      </c>
      <c r="T1112" s="167"/>
    </row>
    <row r="1113" customHeight="1" spans="2:20">
      <c r="B1113" s="166"/>
      <c r="C1113" s="164">
        <f t="shared" si="118"/>
        <v>6</v>
      </c>
      <c r="D1113" s="158" t="str">
        <f>VLOOKUP(C1113,DMSP!$A$1:$C$39,2,0)</f>
        <v>3.SPRAY </v>
      </c>
      <c r="E1113" s="159" t="str">
        <f>VLOOKUP(C1113,DMSP!$A$1:$C$39,3,0)</f>
        <v>KELPIT</v>
      </c>
      <c r="F1113" s="160">
        <f t="shared" si="116"/>
        <v>0</v>
      </c>
      <c r="G1113" s="176"/>
      <c r="H1113" s="176"/>
      <c r="I1113" s="176"/>
      <c r="J1113" s="176"/>
      <c r="K1113" s="176"/>
      <c r="L1113" s="176"/>
      <c r="M1113" s="176"/>
      <c r="N1113" s="176"/>
      <c r="O1113" s="176"/>
      <c r="P1113" s="176"/>
      <c r="Q1113" s="176"/>
      <c r="R1113" s="176"/>
      <c r="S1113" s="162">
        <f t="shared" si="119"/>
        <v>0</v>
      </c>
      <c r="T1113" s="167"/>
    </row>
    <row r="1114" customHeight="1" spans="2:20">
      <c r="B1114" s="166"/>
      <c r="C1114" s="164">
        <f t="shared" si="118"/>
        <v>7</v>
      </c>
      <c r="D1114" s="158" t="str">
        <f>VLOOKUP(C1114,DMSP!$A$1:$C$39,2,0)</f>
        <v>3.SPRAY </v>
      </c>
      <c r="E1114" s="159" t="str">
        <f>VLOOKUP(C1114,DMSP!$A$1:$C$39,3,0)</f>
        <v>SI-K</v>
      </c>
      <c r="F1114" s="160">
        <f t="shared" si="116"/>
        <v>0</v>
      </c>
      <c r="G1114" s="176"/>
      <c r="H1114" s="176"/>
      <c r="I1114" s="176"/>
      <c r="J1114" s="176"/>
      <c r="K1114" s="176"/>
      <c r="L1114" s="176"/>
      <c r="M1114" s="176"/>
      <c r="N1114" s="176"/>
      <c r="O1114" s="176"/>
      <c r="P1114" s="176"/>
      <c r="Q1114" s="176"/>
      <c r="R1114" s="176"/>
      <c r="S1114" s="162">
        <f t="shared" si="119"/>
        <v>0</v>
      </c>
      <c r="T1114" s="167"/>
    </row>
    <row r="1115" customHeight="1" spans="2:20">
      <c r="B1115" s="166"/>
      <c r="C1115" s="164">
        <f t="shared" si="118"/>
        <v>8</v>
      </c>
      <c r="D1115" s="158" t="str">
        <f>VLOOKUP(C1115,DMSP!$A$1:$C$39,2,0)</f>
        <v>3.SPRAY </v>
      </c>
      <c r="E1115" s="159" t="str">
        <f>VLOOKUP(C1115,DMSP!$A$1:$C$39,3,0)</f>
        <v>SPRAY PHOS 620</v>
      </c>
      <c r="F1115" s="160">
        <f t="shared" si="116"/>
        <v>0</v>
      </c>
      <c r="G1115" s="176"/>
      <c r="H1115" s="176"/>
      <c r="I1115" s="176"/>
      <c r="J1115" s="176"/>
      <c r="K1115" s="176"/>
      <c r="L1115" s="176"/>
      <c r="M1115" s="176"/>
      <c r="N1115" s="176"/>
      <c r="O1115" s="176"/>
      <c r="P1115" s="176"/>
      <c r="Q1115" s="176"/>
      <c r="R1115" s="176"/>
      <c r="S1115" s="162">
        <f t="shared" si="119"/>
        <v>0</v>
      </c>
      <c r="T1115" s="167"/>
    </row>
    <row r="1116" customHeight="1" spans="2:20">
      <c r="B1116" s="166"/>
      <c r="C1116" s="164">
        <f t="shared" si="118"/>
        <v>9</v>
      </c>
      <c r="D1116" s="158" t="str">
        <f>VLOOKUP(C1116,DMSP!$A$1:$C$39,2,0)</f>
        <v>4.DƯỠNG RỄ</v>
      </c>
      <c r="E1116" s="159" t="str">
        <f>VLOOKUP(C1116,DMSP!$A$1:$C$39,3,0)</f>
        <v>CHITOSAN</v>
      </c>
      <c r="F1116" s="160">
        <f t="shared" si="116"/>
        <v>0</v>
      </c>
      <c r="G1116" s="176"/>
      <c r="H1116" s="176"/>
      <c r="I1116" s="176"/>
      <c r="J1116" s="176"/>
      <c r="K1116" s="176"/>
      <c r="L1116" s="176"/>
      <c r="M1116" s="176"/>
      <c r="N1116" s="176"/>
      <c r="O1116" s="176"/>
      <c r="P1116" s="176"/>
      <c r="Q1116" s="176"/>
      <c r="R1116" s="176"/>
      <c r="S1116" s="162">
        <f t="shared" si="119"/>
        <v>0</v>
      </c>
      <c r="T1116" s="167"/>
    </row>
    <row r="1117" customHeight="1" spans="2:20">
      <c r="B1117" s="166"/>
      <c r="C1117" s="164">
        <f t="shared" si="118"/>
        <v>10</v>
      </c>
      <c r="D1117" s="158" t="str">
        <f>VLOOKUP(C1117,DMSP!$A$1:$C$39,2,0)</f>
        <v>4.DƯỠNG RỄ</v>
      </c>
      <c r="E1117" s="159" t="str">
        <f>VLOOKUP(C1117,DMSP!$A$1:$C$39,3,0)</f>
        <v>ĐẠM CÁ</v>
      </c>
      <c r="F1117" s="160">
        <f t="shared" si="116"/>
        <v>0</v>
      </c>
      <c r="G1117" s="176"/>
      <c r="H1117" s="176"/>
      <c r="I1117" s="176"/>
      <c r="J1117" s="176"/>
      <c r="K1117" s="176"/>
      <c r="L1117" s="176"/>
      <c r="M1117" s="176"/>
      <c r="N1117" s="176"/>
      <c r="O1117" s="176"/>
      <c r="P1117" s="176"/>
      <c r="Q1117" s="176"/>
      <c r="R1117" s="176"/>
      <c r="S1117" s="162">
        <f t="shared" si="119"/>
        <v>0</v>
      </c>
      <c r="T1117" s="167"/>
    </row>
    <row r="1118" customHeight="1" spans="2:20">
      <c r="B1118" s="166"/>
      <c r="C1118" s="164">
        <f t="shared" si="118"/>
        <v>11</v>
      </c>
      <c r="D1118" s="158" t="str">
        <f>VLOOKUP(C1118,DMSP!$A$1:$C$39,2,0)</f>
        <v>4.DƯỠNG RỄ</v>
      </c>
      <c r="E1118" s="159" t="str">
        <f>VLOOKUP(C1118,DMSP!$A$1:$C$39,3,0)</f>
        <v>ĐẠM TÔM</v>
      </c>
      <c r="F1118" s="160">
        <f t="shared" si="116"/>
        <v>0</v>
      </c>
      <c r="G1118" s="176"/>
      <c r="H1118" s="176"/>
      <c r="I1118" s="176"/>
      <c r="J1118" s="176"/>
      <c r="K1118" s="176"/>
      <c r="L1118" s="176"/>
      <c r="M1118" s="176"/>
      <c r="N1118" s="176"/>
      <c r="O1118" s="176"/>
      <c r="P1118" s="176"/>
      <c r="Q1118" s="176"/>
      <c r="R1118" s="176"/>
      <c r="S1118" s="162">
        <f t="shared" si="119"/>
        <v>0</v>
      </c>
      <c r="T1118" s="167"/>
    </row>
    <row r="1119" customHeight="1" spans="2:20">
      <c r="B1119" s="166"/>
      <c r="C1119" s="164">
        <f t="shared" si="118"/>
        <v>12</v>
      </c>
      <c r="D1119" s="158" t="str">
        <f>VLOOKUP(C1119,DMSP!$A$1:$C$39,2,0)</f>
        <v>4.DƯỠNG RỄ</v>
      </c>
      <c r="E1119" s="159" t="str">
        <f>VLOOKUP(C1119,DMSP!$A$1:$C$39,3,0)</f>
        <v>SUPERMIC</v>
      </c>
      <c r="F1119" s="160">
        <f t="shared" si="116"/>
        <v>0</v>
      </c>
      <c r="G1119" s="176"/>
      <c r="H1119" s="176"/>
      <c r="I1119" s="176"/>
      <c r="J1119" s="176"/>
      <c r="K1119" s="176"/>
      <c r="L1119" s="176"/>
      <c r="M1119" s="176"/>
      <c r="N1119" s="176"/>
      <c r="O1119" s="176"/>
      <c r="P1119" s="176"/>
      <c r="Q1119" s="176"/>
      <c r="R1119" s="176"/>
      <c r="S1119" s="162">
        <f t="shared" si="119"/>
        <v>0</v>
      </c>
      <c r="T1119" s="167"/>
    </row>
    <row r="1120" customHeight="1" spans="2:20">
      <c r="B1120" s="166"/>
      <c r="C1120" s="164">
        <f t="shared" si="118"/>
        <v>13</v>
      </c>
      <c r="D1120" s="158" t="str">
        <f>VLOOKUP(C1120,DMSP!$A$1:$C$39,2,0)</f>
        <v>5.TRUYỀN THỐNG</v>
      </c>
      <c r="E1120" s="159" t="str">
        <f>VLOOKUP(C1120,DMSP!$A$1:$C$39,3,0)</f>
        <v>CABO</v>
      </c>
      <c r="F1120" s="160">
        <f t="shared" si="116"/>
        <v>0</v>
      </c>
      <c r="G1120" s="176"/>
      <c r="H1120" s="176"/>
      <c r="I1120" s="176"/>
      <c r="J1120" s="176"/>
      <c r="K1120" s="176"/>
      <c r="L1120" s="176"/>
      <c r="M1120" s="176"/>
      <c r="N1120" s="176"/>
      <c r="O1120" s="176"/>
      <c r="P1120" s="176"/>
      <c r="Q1120" s="176"/>
      <c r="R1120" s="176"/>
      <c r="S1120" s="162">
        <f t="shared" si="119"/>
        <v>0</v>
      </c>
      <c r="T1120" s="167"/>
    </row>
    <row r="1121" customHeight="1" spans="2:20">
      <c r="B1121" s="166"/>
      <c r="C1121" s="164">
        <f t="shared" si="118"/>
        <v>14</v>
      </c>
      <c r="D1121" s="158" t="str">
        <f>VLOOKUP(C1121,DMSP!$A$1:$C$39,2,0)</f>
        <v>5.TRUYỀN THỐNG</v>
      </c>
      <c r="E1121" s="159" t="str">
        <f>VLOOKUP(C1121,DMSP!$A$1:$C$39,3,0)</f>
        <v>F94</v>
      </c>
      <c r="F1121" s="160">
        <f t="shared" si="116"/>
        <v>0</v>
      </c>
      <c r="G1121" s="176"/>
      <c r="H1121" s="176"/>
      <c r="I1121" s="176"/>
      <c r="J1121" s="176"/>
      <c r="K1121" s="176"/>
      <c r="L1121" s="176"/>
      <c r="M1121" s="176"/>
      <c r="N1121" s="176"/>
      <c r="O1121" s="176"/>
      <c r="P1121" s="176"/>
      <c r="Q1121" s="176"/>
      <c r="R1121" s="176"/>
      <c r="S1121" s="162">
        <f t="shared" si="119"/>
        <v>0</v>
      </c>
      <c r="T1121" s="167"/>
    </row>
    <row r="1122" customHeight="1" spans="2:20">
      <c r="B1122" s="166"/>
      <c r="C1122" s="164">
        <f t="shared" si="118"/>
        <v>15</v>
      </c>
      <c r="D1122" s="158" t="str">
        <f>VLOOKUP(C1122,DMSP!$A$1:$C$39,2,0)</f>
        <v>5.TRUYỀN THỐNG</v>
      </c>
      <c r="E1122" s="159" t="str">
        <f>VLOOKUP(C1122,DMSP!$A$1:$C$39,3,0)</f>
        <v>F95</v>
      </c>
      <c r="F1122" s="160">
        <f t="shared" si="116"/>
        <v>0</v>
      </c>
      <c r="G1122" s="176"/>
      <c r="H1122" s="176"/>
      <c r="I1122" s="176"/>
      <c r="J1122" s="176"/>
      <c r="K1122" s="176"/>
      <c r="L1122" s="176"/>
      <c r="M1122" s="176"/>
      <c r="N1122" s="176"/>
      <c r="O1122" s="176"/>
      <c r="P1122" s="176"/>
      <c r="Q1122" s="176"/>
      <c r="R1122" s="176"/>
      <c r="S1122" s="162">
        <f t="shared" si="119"/>
        <v>0</v>
      </c>
      <c r="T1122" s="167"/>
    </row>
    <row r="1123" customHeight="1" spans="2:20">
      <c r="B1123" s="166"/>
      <c r="C1123" s="164">
        <f t="shared" si="118"/>
        <v>16</v>
      </c>
      <c r="D1123" s="158" t="str">
        <f>VLOOKUP(C1123,DMSP!$A$1:$C$39,2,0)</f>
        <v>5.TRUYỀN THỐNG</v>
      </c>
      <c r="E1123" s="159" t="str">
        <f>VLOOKUP(C1123,DMSP!$A$1:$C$39,3,0)</f>
        <v>THIOURE</v>
      </c>
      <c r="F1123" s="160">
        <f t="shared" si="116"/>
        <v>0</v>
      </c>
      <c r="G1123" s="176"/>
      <c r="H1123" s="176"/>
      <c r="I1123" s="176"/>
      <c r="J1123" s="176"/>
      <c r="K1123" s="176"/>
      <c r="L1123" s="176"/>
      <c r="M1123" s="176"/>
      <c r="N1123" s="176"/>
      <c r="O1123" s="176"/>
      <c r="P1123" s="176"/>
      <c r="Q1123" s="176"/>
      <c r="R1123" s="176"/>
      <c r="S1123" s="162">
        <f t="shared" si="119"/>
        <v>0</v>
      </c>
      <c r="T1123" s="167"/>
    </row>
    <row r="1124" customHeight="1" spans="2:20">
      <c r="B1124" s="166"/>
      <c r="C1124" s="164">
        <f t="shared" si="118"/>
        <v>17</v>
      </c>
      <c r="D1124" s="158" t="str">
        <f>VLOOKUP(C1124,DMSP!$A$1:$C$39,2,0)</f>
        <v>5.TRUYỀN THỐNG</v>
      </c>
      <c r="E1124" s="159" t="str">
        <f>VLOOKUP(C1124,DMSP!$A$1:$C$39,3,0)</f>
        <v>TOBA JUM</v>
      </c>
      <c r="F1124" s="160">
        <f t="shared" si="116"/>
        <v>0</v>
      </c>
      <c r="G1124" s="176"/>
      <c r="H1124" s="176"/>
      <c r="I1124" s="176"/>
      <c r="J1124" s="176"/>
      <c r="K1124" s="176"/>
      <c r="L1124" s="176"/>
      <c r="M1124" s="176"/>
      <c r="N1124" s="176"/>
      <c r="O1124" s="176"/>
      <c r="P1124" s="176"/>
      <c r="Q1124" s="176"/>
      <c r="R1124" s="176"/>
      <c r="S1124" s="162">
        <f t="shared" si="119"/>
        <v>0</v>
      </c>
      <c r="T1124" s="167"/>
    </row>
    <row r="1125" customHeight="1" spans="2:20">
      <c r="B1125" s="166"/>
      <c r="C1125" s="164">
        <f t="shared" si="118"/>
        <v>18</v>
      </c>
      <c r="D1125" s="158" t="str">
        <f>VLOOKUP(C1125,DMSP!$A$1:$C$39,2,0)</f>
        <v>5.TRUYỀN THỐNG</v>
      </c>
      <c r="E1125" s="159" t="str">
        <f>VLOOKUP(C1125,DMSP!$A$1:$C$39,3,0)</f>
        <v>TOBA NET</v>
      </c>
      <c r="F1125" s="160">
        <f t="shared" si="116"/>
        <v>0</v>
      </c>
      <c r="G1125" s="176"/>
      <c r="H1125" s="176"/>
      <c r="I1125" s="176"/>
      <c r="J1125" s="176"/>
      <c r="K1125" s="176"/>
      <c r="L1125" s="176"/>
      <c r="M1125" s="176"/>
      <c r="N1125" s="176"/>
      <c r="O1125" s="176"/>
      <c r="P1125" s="176"/>
      <c r="Q1125" s="176"/>
      <c r="R1125" s="176"/>
      <c r="S1125" s="162">
        <f t="shared" si="119"/>
        <v>0</v>
      </c>
      <c r="T1125" s="167"/>
    </row>
    <row r="1126" customHeight="1" spans="2:20">
      <c r="B1126" s="166"/>
      <c r="C1126" s="164">
        <f t="shared" si="118"/>
        <v>19</v>
      </c>
      <c r="D1126" s="158" t="str">
        <f>VLOOKUP(C1126,DMSP!$A$1:$C$39,2,0)</f>
        <v>6.BVTV</v>
      </c>
      <c r="E1126" s="159" t="str">
        <f>VLOOKUP(C1126,DMSP!$A$1:$C$39,3,0)</f>
        <v>ABAFAX 1.8</v>
      </c>
      <c r="F1126" s="160">
        <f t="shared" si="116"/>
        <v>0</v>
      </c>
      <c r="G1126" s="176"/>
      <c r="H1126" s="176"/>
      <c r="I1126" s="176"/>
      <c r="J1126" s="176"/>
      <c r="K1126" s="176"/>
      <c r="L1126" s="176"/>
      <c r="M1126" s="176"/>
      <c r="N1126" s="176"/>
      <c r="O1126" s="176"/>
      <c r="P1126" s="176"/>
      <c r="Q1126" s="176"/>
      <c r="R1126" s="176"/>
      <c r="S1126" s="162">
        <f t="shared" si="119"/>
        <v>0</v>
      </c>
      <c r="T1126" s="167"/>
    </row>
    <row r="1127" customHeight="1" spans="2:20">
      <c r="B1127" s="166"/>
      <c r="C1127" s="164">
        <f t="shared" si="118"/>
        <v>20</v>
      </c>
      <c r="D1127" s="158" t="str">
        <f>VLOOKUP(C1127,DMSP!$A$1:$C$39,2,0)</f>
        <v>6.BVTV</v>
      </c>
      <c r="E1127" s="159" t="str">
        <f>VLOOKUP(C1127,DMSP!$A$1:$C$39,3,0)</f>
        <v>ABAFAX 3.6</v>
      </c>
      <c r="F1127" s="160">
        <f t="shared" si="116"/>
        <v>0</v>
      </c>
      <c r="G1127" s="176"/>
      <c r="H1127" s="176"/>
      <c r="I1127" s="176"/>
      <c r="J1127" s="176"/>
      <c r="K1127" s="176"/>
      <c r="L1127" s="176"/>
      <c r="M1127" s="176"/>
      <c r="N1127" s="176"/>
      <c r="O1127" s="176"/>
      <c r="P1127" s="176"/>
      <c r="Q1127" s="176"/>
      <c r="R1127" s="176"/>
      <c r="S1127" s="162">
        <f t="shared" si="119"/>
        <v>0</v>
      </c>
      <c r="T1127" s="167"/>
    </row>
    <row r="1128" customHeight="1" spans="2:20">
      <c r="B1128" s="166"/>
      <c r="C1128" s="164">
        <f t="shared" si="118"/>
        <v>21</v>
      </c>
      <c r="D1128" s="158" t="str">
        <f>VLOOKUP(C1128,DMSP!$A$1:$C$39,2,0)</f>
        <v>6.BVTV</v>
      </c>
      <c r="E1128" s="159" t="str">
        <f>VLOOKUP(C1128,DMSP!$A$1:$C$39,3,0)</f>
        <v>AZET</v>
      </c>
      <c r="F1128" s="160">
        <f t="shared" si="116"/>
        <v>0</v>
      </c>
      <c r="G1128" s="176"/>
      <c r="H1128" s="176"/>
      <c r="I1128" s="176"/>
      <c r="J1128" s="176"/>
      <c r="K1128" s="176"/>
      <c r="L1128" s="176"/>
      <c r="M1128" s="176"/>
      <c r="N1128" s="176"/>
      <c r="O1128" s="176"/>
      <c r="P1128" s="176"/>
      <c r="Q1128" s="176"/>
      <c r="R1128" s="176"/>
      <c r="S1128" s="162">
        <f t="shared" si="119"/>
        <v>0</v>
      </c>
      <c r="T1128" s="167"/>
    </row>
    <row r="1129" customHeight="1" spans="2:20">
      <c r="B1129" s="166"/>
      <c r="C1129" s="164">
        <f t="shared" si="118"/>
        <v>22</v>
      </c>
      <c r="D1129" s="158" t="str">
        <f>VLOOKUP(C1129,DMSP!$A$1:$C$39,2,0)</f>
        <v>6.BVTV</v>
      </c>
      <c r="E1129" s="159" t="str">
        <f>VLOOKUP(C1129,DMSP!$A$1:$C$39,3,0)</f>
        <v>BACBA</v>
      </c>
      <c r="F1129" s="160">
        <f t="shared" si="116"/>
        <v>0</v>
      </c>
      <c r="G1129" s="176"/>
      <c r="H1129" s="176"/>
      <c r="I1129" s="176"/>
      <c r="J1129" s="176"/>
      <c r="K1129" s="176"/>
      <c r="L1129" s="176"/>
      <c r="M1129" s="176"/>
      <c r="N1129" s="176"/>
      <c r="O1129" s="176"/>
      <c r="P1129" s="176"/>
      <c r="Q1129" s="176"/>
      <c r="R1129" s="176"/>
      <c r="S1129" s="162">
        <f t="shared" si="119"/>
        <v>0</v>
      </c>
      <c r="T1129" s="167"/>
    </row>
    <row r="1130" customHeight="1" spans="2:20">
      <c r="B1130" s="166"/>
      <c r="C1130" s="164">
        <f t="shared" si="118"/>
        <v>23</v>
      </c>
      <c r="D1130" s="158" t="str">
        <f>VLOOKUP(C1130,DMSP!$A$1:$C$39,2,0)</f>
        <v>6.BVTV</v>
      </c>
      <c r="E1130" s="159" t="str">
        <f>VLOOKUP(C1130,DMSP!$A$1:$C$39,3,0)</f>
        <v>BIOROSAMIL</v>
      </c>
      <c r="F1130" s="160">
        <f t="shared" si="116"/>
        <v>0</v>
      </c>
      <c r="G1130" s="176"/>
      <c r="H1130" s="176"/>
      <c r="I1130" s="176"/>
      <c r="J1130" s="176"/>
      <c r="K1130" s="176"/>
      <c r="L1130" s="176"/>
      <c r="M1130" s="176"/>
      <c r="N1130" s="176"/>
      <c r="O1130" s="176"/>
      <c r="P1130" s="176"/>
      <c r="Q1130" s="176"/>
      <c r="R1130" s="176"/>
      <c r="S1130" s="162">
        <f t="shared" si="119"/>
        <v>0</v>
      </c>
      <c r="T1130" s="167"/>
    </row>
    <row r="1131" customHeight="1" spans="2:20">
      <c r="B1131" s="166"/>
      <c r="C1131" s="164">
        <f t="shared" si="118"/>
        <v>24</v>
      </c>
      <c r="D1131" s="158" t="str">
        <f>VLOOKUP(C1131,DMSP!$A$1:$C$39,2,0)</f>
        <v>6.BVTV</v>
      </c>
      <c r="E1131" s="159" t="str">
        <f>VLOOKUP(C1131,DMSP!$A$1:$C$39,3,0)</f>
        <v>COC 86</v>
      </c>
      <c r="F1131" s="160">
        <f t="shared" si="116"/>
        <v>0</v>
      </c>
      <c r="G1131" s="176"/>
      <c r="H1131" s="176"/>
      <c r="I1131" s="176"/>
      <c r="J1131" s="176"/>
      <c r="K1131" s="176"/>
      <c r="L1131" s="176"/>
      <c r="M1131" s="176"/>
      <c r="N1131" s="176"/>
      <c r="O1131" s="176"/>
      <c r="P1131" s="176"/>
      <c r="Q1131" s="176"/>
      <c r="R1131" s="176"/>
      <c r="S1131" s="162">
        <f t="shared" si="119"/>
        <v>0</v>
      </c>
      <c r="T1131" s="167"/>
    </row>
    <row r="1132" customHeight="1" spans="2:20">
      <c r="B1132" s="166"/>
      <c r="C1132" s="164">
        <f t="shared" si="118"/>
        <v>25</v>
      </c>
      <c r="D1132" s="158" t="str">
        <f>VLOOKUP(C1132,DMSP!$A$1:$C$39,2,0)</f>
        <v>6.BVTV</v>
      </c>
      <c r="E1132" s="159" t="str">
        <f>VLOOKUP(C1132,DMSP!$A$1:$C$39,3,0)</f>
        <v>HEXA 5</v>
      </c>
      <c r="F1132" s="160">
        <f t="shared" si="116"/>
        <v>0</v>
      </c>
      <c r="G1132" s="176"/>
      <c r="H1132" s="176"/>
      <c r="I1132" s="176"/>
      <c r="J1132" s="176"/>
      <c r="K1132" s="176"/>
      <c r="L1132" s="176"/>
      <c r="M1132" s="176"/>
      <c r="N1132" s="176"/>
      <c r="O1132" s="176"/>
      <c r="P1132" s="176"/>
      <c r="Q1132" s="176"/>
      <c r="R1132" s="176"/>
      <c r="S1132" s="162">
        <f t="shared" si="119"/>
        <v>0</v>
      </c>
      <c r="T1132" s="167"/>
    </row>
    <row r="1133" customHeight="1" spans="2:20">
      <c r="B1133" s="166"/>
      <c r="C1133" s="164">
        <f t="shared" si="118"/>
        <v>26</v>
      </c>
      <c r="D1133" s="158" t="str">
        <f>VLOOKUP(C1133,DMSP!$A$1:$C$39,2,0)</f>
        <v>6.BVTV</v>
      </c>
      <c r="E1133" s="159" t="str">
        <f>VLOOKUP(C1133,DMSP!$A$1:$C$39,3,0)</f>
        <v>TAMALA</v>
      </c>
      <c r="F1133" s="160">
        <f t="shared" si="116"/>
        <v>0</v>
      </c>
      <c r="G1133" s="176"/>
      <c r="H1133" s="176"/>
      <c r="I1133" s="176"/>
      <c r="J1133" s="176"/>
      <c r="K1133" s="176"/>
      <c r="L1133" s="176"/>
      <c r="M1133" s="176"/>
      <c r="N1133" s="176"/>
      <c r="O1133" s="176"/>
      <c r="P1133" s="176"/>
      <c r="Q1133" s="176"/>
      <c r="R1133" s="176"/>
      <c r="S1133" s="162">
        <f t="shared" si="119"/>
        <v>0</v>
      </c>
      <c r="T1133" s="167"/>
    </row>
    <row r="1134" customHeight="1" spans="2:20">
      <c r="B1134" s="166"/>
      <c r="C1134" s="164">
        <f t="shared" si="118"/>
        <v>27</v>
      </c>
      <c r="D1134" s="158" t="str">
        <f>VLOOKUP(C1134,DMSP!$A$1:$C$39,2,0)</f>
        <v>7.KHÁC</v>
      </c>
      <c r="E1134" s="159" t="str">
        <f>VLOOKUP(C1134,DMSP!$A$1:$C$39,3,0)</f>
        <v>KẼM VÀNG</v>
      </c>
      <c r="F1134" s="160">
        <f t="shared" si="116"/>
        <v>0</v>
      </c>
      <c r="G1134" s="176"/>
      <c r="H1134" s="176"/>
      <c r="I1134" s="176"/>
      <c r="J1134" s="176"/>
      <c r="K1134" s="176"/>
      <c r="L1134" s="176"/>
      <c r="M1134" s="176"/>
      <c r="N1134" s="176"/>
      <c r="O1134" s="176"/>
      <c r="P1134" s="176"/>
      <c r="Q1134" s="176"/>
      <c r="R1134" s="176"/>
      <c r="S1134" s="162">
        <f t="shared" si="119"/>
        <v>0</v>
      </c>
      <c r="T1134" s="167"/>
    </row>
    <row r="1135" customHeight="1" spans="2:20">
      <c r="B1135" s="166"/>
      <c r="C1135" s="164">
        <f t="shared" si="118"/>
        <v>28</v>
      </c>
      <c r="D1135" s="158" t="str">
        <f>VLOOKUP(C1135,DMSP!$A$1:$C$39,2,0)</f>
        <v>7.KHÁC</v>
      </c>
      <c r="E1135" s="159" t="str">
        <f>VLOOKUP(C1135,DMSP!$A$1:$C$39,3,0)</f>
        <v>KHÁC1</v>
      </c>
      <c r="F1135" s="160">
        <f t="shared" si="116"/>
        <v>0</v>
      </c>
      <c r="G1135" s="176"/>
      <c r="H1135" s="176"/>
      <c r="I1135" s="176"/>
      <c r="J1135" s="176"/>
      <c r="K1135" s="176"/>
      <c r="L1135" s="176"/>
      <c r="M1135" s="176"/>
      <c r="N1135" s="176"/>
      <c r="O1135" s="176"/>
      <c r="P1135" s="176"/>
      <c r="Q1135" s="176"/>
      <c r="R1135" s="176"/>
      <c r="S1135" s="162">
        <f t="shared" si="119"/>
        <v>0</v>
      </c>
      <c r="T1135" s="167"/>
    </row>
    <row r="1136" customHeight="1" spans="2:20">
      <c r="B1136" s="166"/>
      <c r="C1136" s="164">
        <f t="shared" si="118"/>
        <v>29</v>
      </c>
      <c r="D1136" s="158" t="str">
        <f>VLOOKUP(C1136,DMSP!$A$1:$C$39,2,0)</f>
        <v>7.KHÁC</v>
      </c>
      <c r="E1136" s="169" t="s">
        <v>13</v>
      </c>
      <c r="F1136" s="160">
        <f t="shared" si="116"/>
        <v>0</v>
      </c>
      <c r="G1136" s="176"/>
      <c r="H1136" s="176"/>
      <c r="I1136" s="176"/>
      <c r="J1136" s="176"/>
      <c r="K1136" s="176"/>
      <c r="L1136" s="176"/>
      <c r="M1136" s="176"/>
      <c r="N1136" s="176"/>
      <c r="O1136" s="176"/>
      <c r="P1136" s="176"/>
      <c r="Q1136" s="176"/>
      <c r="R1136" s="176"/>
      <c r="S1136" s="162">
        <f t="shared" si="119"/>
        <v>0</v>
      </c>
      <c r="T1136" s="167"/>
    </row>
    <row r="1137" customHeight="1" spans="2:20">
      <c r="B1137" s="166"/>
      <c r="C1137" s="164">
        <f t="shared" si="118"/>
        <v>30</v>
      </c>
      <c r="D1137" s="158" t="str">
        <f>VLOOKUP(C1137,DMSP!$A$1:$C$39,2,0)</f>
        <v>7.KHÁC</v>
      </c>
      <c r="E1137" s="159" t="str">
        <f>VLOOKUP(C1137,DMSP!$A$1:$C$39,3,0)</f>
        <v>RỬA RONG RÊU</v>
      </c>
      <c r="F1137" s="160">
        <f t="shared" si="116"/>
        <v>0</v>
      </c>
      <c r="G1137" s="176"/>
      <c r="H1137" s="176"/>
      <c r="I1137" s="176"/>
      <c r="J1137" s="176"/>
      <c r="K1137" s="176"/>
      <c r="L1137" s="176"/>
      <c r="M1137" s="176"/>
      <c r="N1137" s="176"/>
      <c r="O1137" s="176"/>
      <c r="P1137" s="176"/>
      <c r="Q1137" s="176"/>
      <c r="R1137" s="176"/>
      <c r="S1137" s="162">
        <f t="shared" si="119"/>
        <v>0</v>
      </c>
      <c r="T1137" s="167"/>
    </row>
    <row r="1138" customHeight="1" spans="2:20">
      <c r="B1138" s="166"/>
      <c r="C1138" s="164">
        <f t="shared" si="118"/>
        <v>31</v>
      </c>
      <c r="D1138" s="158" t="str">
        <f>VLOOKUP(C1138,DMSP!$A$1:$C$39,2,0)</f>
        <v>7.KHÁC</v>
      </c>
      <c r="E1138" s="159" t="str">
        <f>VLOOKUP(C1138,DMSP!$A$1:$C$39,3,0)</f>
        <v>TB BO</v>
      </c>
      <c r="F1138" s="160">
        <f t="shared" si="116"/>
        <v>0</v>
      </c>
      <c r="G1138" s="176"/>
      <c r="H1138" s="176"/>
      <c r="I1138" s="176"/>
      <c r="J1138" s="176"/>
      <c r="K1138" s="176"/>
      <c r="L1138" s="176"/>
      <c r="M1138" s="176"/>
      <c r="N1138" s="176"/>
      <c r="O1138" s="176"/>
      <c r="P1138" s="176"/>
      <c r="Q1138" s="176"/>
      <c r="R1138" s="176"/>
      <c r="S1138" s="162">
        <f t="shared" si="119"/>
        <v>0</v>
      </c>
      <c r="T1138" s="167"/>
    </row>
    <row r="1139" customHeight="1" spans="2:20">
      <c r="B1139" s="166"/>
      <c r="C1139" s="164">
        <f t="shared" si="118"/>
        <v>32</v>
      </c>
      <c r="D1139" s="158" t="str">
        <f>VLOOKUP(C1139,DMSP!$A$1:$C$39,2,0)</f>
        <v>7.KHÁC</v>
      </c>
      <c r="E1139" s="159" t="str">
        <f>VLOOKUP(C1139,DMSP!$A$1:$C$39,3,0)</f>
        <v>TB FRUIT</v>
      </c>
      <c r="F1139" s="160">
        <f t="shared" si="116"/>
        <v>0</v>
      </c>
      <c r="G1139" s="176"/>
      <c r="H1139" s="176"/>
      <c r="I1139" s="176"/>
      <c r="J1139" s="176"/>
      <c r="K1139" s="176"/>
      <c r="L1139" s="176"/>
      <c r="M1139" s="176"/>
      <c r="N1139" s="176"/>
      <c r="O1139" s="176"/>
      <c r="P1139" s="176"/>
      <c r="Q1139" s="176"/>
      <c r="R1139" s="176"/>
      <c r="S1139" s="162">
        <f t="shared" si="119"/>
        <v>0</v>
      </c>
      <c r="T1139" s="167"/>
    </row>
    <row r="1140" customHeight="1" spans="2:20">
      <c r="B1140" s="166"/>
      <c r="C1140" s="164">
        <f t="shared" si="118"/>
        <v>33</v>
      </c>
      <c r="D1140" s="158" t="str">
        <f>VLOOKUP(C1140,DMSP!$A$1:$C$39,2,0)</f>
        <v>7.KHÁC</v>
      </c>
      <c r="E1140" s="159" t="str">
        <f>VLOOKUP(C1140,DMSP!$A$1:$C$39,3,0)</f>
        <v>TB PHOS</v>
      </c>
      <c r="F1140" s="160">
        <f t="shared" si="116"/>
        <v>0</v>
      </c>
      <c r="G1140" s="176"/>
      <c r="H1140" s="176"/>
      <c r="I1140" s="176"/>
      <c r="J1140" s="176"/>
      <c r="K1140" s="176"/>
      <c r="L1140" s="176"/>
      <c r="M1140" s="176"/>
      <c r="N1140" s="176"/>
      <c r="O1140" s="176"/>
      <c r="P1140" s="176"/>
      <c r="Q1140" s="176"/>
      <c r="R1140" s="176"/>
      <c r="S1140" s="162">
        <f t="shared" si="119"/>
        <v>0</v>
      </c>
      <c r="T1140" s="167"/>
    </row>
    <row r="1141" customHeight="1" spans="2:20">
      <c r="B1141" s="166"/>
      <c r="C1141" s="164">
        <f t="shared" si="118"/>
        <v>34</v>
      </c>
      <c r="D1141" s="158" t="str">
        <f>VLOOKUP(C1141,DMSP!$A$1:$C$39,2,0)</f>
        <v>7.KHÁC</v>
      </c>
      <c r="E1141" s="159" t="str">
        <f>VLOOKUP(C1141,DMSP!$A$1:$C$39,3,0)</f>
        <v>TOBA BÁM DÍNH</v>
      </c>
      <c r="F1141" s="160">
        <f t="shared" si="116"/>
        <v>0</v>
      </c>
      <c r="G1141" s="176"/>
      <c r="H1141" s="176"/>
      <c r="I1141" s="176"/>
      <c r="J1141" s="176"/>
      <c r="K1141" s="176"/>
      <c r="L1141" s="176"/>
      <c r="M1141" s="176"/>
      <c r="N1141" s="176"/>
      <c r="O1141" s="176"/>
      <c r="P1141" s="176"/>
      <c r="Q1141" s="176"/>
      <c r="R1141" s="176"/>
      <c r="S1141" s="162">
        <f t="shared" si="119"/>
        <v>0</v>
      </c>
      <c r="T1141" s="167"/>
    </row>
    <row r="1142" customHeight="1" spans="2:20">
      <c r="B1142" s="166"/>
      <c r="C1142" s="164">
        <f t="shared" si="118"/>
        <v>35</v>
      </c>
      <c r="D1142" s="158" t="str">
        <f>VLOOKUP(C1142,DMSP!$A$1:$C$39,2,0)</f>
        <v>7.KHÁC</v>
      </c>
      <c r="E1142" s="159" t="str">
        <f>VLOOKUP(C1142,DMSP!$A$1:$C$39,3,0)</f>
        <v>VỌT HOA NHÃN</v>
      </c>
      <c r="F1142" s="160">
        <f t="shared" si="116"/>
        <v>0</v>
      </c>
      <c r="G1142" s="176"/>
      <c r="H1142" s="176"/>
      <c r="I1142" s="176"/>
      <c r="J1142" s="176"/>
      <c r="K1142" s="176"/>
      <c r="L1142" s="176"/>
      <c r="M1142" s="176"/>
      <c r="N1142" s="176"/>
      <c r="O1142" s="176"/>
      <c r="P1142" s="176"/>
      <c r="Q1142" s="176"/>
      <c r="R1142" s="176"/>
      <c r="S1142" s="162">
        <f t="shared" si="119"/>
        <v>0</v>
      </c>
      <c r="T1142" s="167"/>
    </row>
    <row r="1143" customHeight="1" spans="2:20">
      <c r="B1143" s="166"/>
      <c r="C1143" s="164">
        <f t="shared" si="118"/>
        <v>36</v>
      </c>
      <c r="D1143" s="158" t="str">
        <f>VLOOKUP(C1143,DMSP!$A$1:$C$39,2,0)</f>
        <v>7.KHÁC</v>
      </c>
      <c r="E1143" s="159" t="str">
        <f>VLOOKUP(C1143,DMSP!$A$1:$C$39,3,0)</f>
        <v>VỌT HOA XOÀI</v>
      </c>
      <c r="F1143" s="160">
        <f t="shared" si="116"/>
        <v>0</v>
      </c>
      <c r="G1143" s="176"/>
      <c r="H1143" s="176"/>
      <c r="I1143" s="176"/>
      <c r="J1143" s="176"/>
      <c r="K1143" s="176"/>
      <c r="L1143" s="176"/>
      <c r="M1143" s="176"/>
      <c r="N1143" s="176"/>
      <c r="O1143" s="176"/>
      <c r="P1143" s="176"/>
      <c r="Q1143" s="176"/>
      <c r="R1143" s="176"/>
      <c r="S1143" s="162">
        <f t="shared" si="119"/>
        <v>0</v>
      </c>
      <c r="T1143" s="167"/>
    </row>
    <row r="1144" customHeight="1" spans="2:20">
      <c r="B1144" s="166"/>
      <c r="C1144" s="164">
        <f t="shared" si="118"/>
        <v>37</v>
      </c>
      <c r="D1144" s="158" t="str">
        <f>VLOOKUP(C1144,DMSP!$A$1:$C$39,2,0)</f>
        <v>7.KHÁC</v>
      </c>
      <c r="E1144" s="159" t="str">
        <f>VLOOKUP(C1144,DMSP!$A$1:$C$39,3,0)</f>
        <v>VỌT HOA XOÀI</v>
      </c>
      <c r="F1144" s="160">
        <f t="shared" si="116"/>
        <v>0</v>
      </c>
      <c r="G1144" s="176"/>
      <c r="H1144" s="176"/>
      <c r="I1144" s="176"/>
      <c r="J1144" s="176"/>
      <c r="K1144" s="176"/>
      <c r="L1144" s="176"/>
      <c r="M1144" s="176"/>
      <c r="N1144" s="176"/>
      <c r="O1144" s="176"/>
      <c r="P1144" s="176"/>
      <c r="Q1144" s="176"/>
      <c r="R1144" s="176"/>
      <c r="S1144" s="162">
        <f t="shared" si="119"/>
        <v>0</v>
      </c>
      <c r="T1144" s="167"/>
    </row>
    <row r="1145" customHeight="1" spans="2:20">
      <c r="B1145" s="92"/>
      <c r="C1145" s="170">
        <f>B1108</f>
        <v>0</v>
      </c>
      <c r="D1145" s="171"/>
      <c r="E1145" s="172" t="str">
        <f>"TOTAL "&amp;B1108</f>
        <v>TOTAL </v>
      </c>
      <c r="F1145" s="173">
        <f t="shared" si="116"/>
        <v>0</v>
      </c>
      <c r="G1145" s="174">
        <f>SUM(G1108:G1144)</f>
        <v>0</v>
      </c>
      <c r="H1145" s="174">
        <f t="shared" ref="H1145:R1145" si="120">SUM(H1108:H1144)</f>
        <v>0</v>
      </c>
      <c r="I1145" s="174">
        <f t="shared" si="120"/>
        <v>0</v>
      </c>
      <c r="J1145" s="174">
        <f t="shared" si="120"/>
        <v>0</v>
      </c>
      <c r="K1145" s="174">
        <f t="shared" si="120"/>
        <v>0</v>
      </c>
      <c r="L1145" s="174">
        <f t="shared" si="120"/>
        <v>0</v>
      </c>
      <c r="M1145" s="174">
        <f t="shared" si="120"/>
        <v>0</v>
      </c>
      <c r="N1145" s="174">
        <f t="shared" si="120"/>
        <v>0</v>
      </c>
      <c r="O1145" s="174">
        <f t="shared" si="120"/>
        <v>0</v>
      </c>
      <c r="P1145" s="174">
        <f t="shared" si="120"/>
        <v>0</v>
      </c>
      <c r="Q1145" s="174">
        <f t="shared" si="120"/>
        <v>0</v>
      </c>
      <c r="R1145" s="174">
        <f t="shared" si="120"/>
        <v>0</v>
      </c>
      <c r="S1145" s="174">
        <f t="shared" si="119"/>
        <v>0</v>
      </c>
      <c r="T1145" s="175"/>
    </row>
    <row r="1146" customHeight="1" spans="2:20">
      <c r="B1146" s="156"/>
      <c r="C1146" s="157">
        <v>1</v>
      </c>
      <c r="D1146" s="158" t="str">
        <f>VLOOKUP(C1146,DMSP!$A$1:$C$39,2,0)</f>
        <v>1.TOBA XANH</v>
      </c>
      <c r="E1146" s="159" t="str">
        <f>VLOOKUP(C1146,DMSP!$A$1:$C$39,3,0)</f>
        <v>TOBA XANH</v>
      </c>
      <c r="F1146" s="160">
        <f t="shared" si="116"/>
        <v>0</v>
      </c>
      <c r="G1146" s="176"/>
      <c r="H1146" s="176"/>
      <c r="I1146" s="176"/>
      <c r="J1146" s="176"/>
      <c r="K1146" s="176"/>
      <c r="L1146" s="176"/>
      <c r="M1146" s="176"/>
      <c r="N1146" s="176"/>
      <c r="O1146" s="176"/>
      <c r="P1146" s="176"/>
      <c r="Q1146" s="176"/>
      <c r="R1146" s="176"/>
      <c r="S1146" s="162">
        <f t="shared" si="119"/>
        <v>0</v>
      </c>
      <c r="T1146" s="163">
        <f t="shared" ref="T1146" si="121">S1183</f>
        <v>0</v>
      </c>
    </row>
    <row r="1147" customHeight="1" spans="2:20">
      <c r="B1147" s="166"/>
      <c r="C1147" s="164">
        <f t="shared" ref="C1147:C1182" si="122">C1146+1</f>
        <v>2</v>
      </c>
      <c r="D1147" s="158" t="str">
        <f>VLOOKUP(C1147,DMSP!$A$1:$C$39,2,0)</f>
        <v>2.HC</v>
      </c>
      <c r="E1147" s="159" t="str">
        <f>VLOOKUP(C1147,DMSP!$A$1:$C$39,3,0)</f>
        <v>HC BOOSTER</v>
      </c>
      <c r="F1147" s="160">
        <f t="shared" si="116"/>
        <v>0</v>
      </c>
      <c r="G1147" s="176"/>
      <c r="H1147" s="176"/>
      <c r="I1147" s="176"/>
      <c r="J1147" s="176"/>
      <c r="K1147" s="176"/>
      <c r="L1147" s="176"/>
      <c r="M1147" s="176"/>
      <c r="N1147" s="176"/>
      <c r="O1147" s="176"/>
      <c r="P1147" s="176"/>
      <c r="Q1147" s="176"/>
      <c r="R1147" s="176"/>
      <c r="S1147" s="162">
        <f t="shared" ref="S1147:S1184" si="123">SUM(G1147:R1147)</f>
        <v>0</v>
      </c>
      <c r="T1147" s="167"/>
    </row>
    <row r="1148" customHeight="1" spans="2:20">
      <c r="B1148" s="166"/>
      <c r="C1148" s="164">
        <f t="shared" si="122"/>
        <v>3</v>
      </c>
      <c r="D1148" s="158" t="str">
        <f>VLOOKUP(C1148,DMSP!$A$1:$C$39,2,0)</f>
        <v>2.HC</v>
      </c>
      <c r="E1148" s="159" t="str">
        <f>VLOOKUP(C1148,DMSP!$A$1:$C$39,3,0)</f>
        <v>HC KING-ROOT</v>
      </c>
      <c r="F1148" s="160">
        <f t="shared" si="116"/>
        <v>0</v>
      </c>
      <c r="G1148" s="176"/>
      <c r="H1148" s="176"/>
      <c r="I1148" s="176"/>
      <c r="J1148" s="176"/>
      <c r="K1148" s="176"/>
      <c r="L1148" s="176"/>
      <c r="M1148" s="176"/>
      <c r="N1148" s="176"/>
      <c r="O1148" s="176"/>
      <c r="P1148" s="176"/>
      <c r="Q1148" s="176"/>
      <c r="R1148" s="176"/>
      <c r="S1148" s="162">
        <f t="shared" si="123"/>
        <v>0</v>
      </c>
      <c r="T1148" s="167"/>
    </row>
    <row r="1149" customHeight="1" spans="2:20">
      <c r="B1149" s="166"/>
      <c r="C1149" s="164">
        <f t="shared" si="122"/>
        <v>4</v>
      </c>
      <c r="D1149" s="158" t="str">
        <f>VLOOKUP(C1149,DMSP!$A$1:$C$39,2,0)</f>
        <v>2.HC</v>
      </c>
      <c r="E1149" s="159" t="str">
        <f>VLOOKUP(C1149,DMSP!$A$1:$C$39,3,0)</f>
        <v>HAPPY FARM</v>
      </c>
      <c r="F1149" s="160">
        <f t="shared" si="116"/>
        <v>0</v>
      </c>
      <c r="G1149" s="176"/>
      <c r="H1149" s="176"/>
      <c r="I1149" s="176"/>
      <c r="J1149" s="176"/>
      <c r="K1149" s="176"/>
      <c r="L1149" s="176"/>
      <c r="M1149" s="176"/>
      <c r="N1149" s="176"/>
      <c r="O1149" s="176"/>
      <c r="P1149" s="176"/>
      <c r="Q1149" s="176"/>
      <c r="R1149" s="176"/>
      <c r="S1149" s="162">
        <f t="shared" si="123"/>
        <v>0</v>
      </c>
      <c r="T1149" s="167"/>
    </row>
    <row r="1150" customHeight="1" spans="2:20">
      <c r="B1150" s="166"/>
      <c r="C1150" s="164">
        <f t="shared" si="122"/>
        <v>5</v>
      </c>
      <c r="D1150" s="158" t="str">
        <f>VLOOKUP(C1150,DMSP!$A$1:$C$39,2,0)</f>
        <v>2.HC</v>
      </c>
      <c r="E1150" s="159" t="str">
        <f>VLOOKUP(C1150,DMSP!$A$1:$C$39,3,0)</f>
        <v>WOW</v>
      </c>
      <c r="F1150" s="160">
        <f t="shared" si="116"/>
        <v>0</v>
      </c>
      <c r="G1150" s="176"/>
      <c r="H1150" s="176"/>
      <c r="I1150" s="176"/>
      <c r="J1150" s="176"/>
      <c r="K1150" s="176"/>
      <c r="L1150" s="176"/>
      <c r="M1150" s="176"/>
      <c r="N1150" s="176"/>
      <c r="O1150" s="176"/>
      <c r="P1150" s="176"/>
      <c r="Q1150" s="176"/>
      <c r="R1150" s="176"/>
      <c r="S1150" s="162">
        <f t="shared" si="123"/>
        <v>0</v>
      </c>
      <c r="T1150" s="167"/>
    </row>
    <row r="1151" customHeight="1" spans="2:20">
      <c r="B1151" s="166"/>
      <c r="C1151" s="164">
        <f t="shared" si="122"/>
        <v>6</v>
      </c>
      <c r="D1151" s="158" t="str">
        <f>VLOOKUP(C1151,DMSP!$A$1:$C$39,2,0)</f>
        <v>3.SPRAY </v>
      </c>
      <c r="E1151" s="159" t="str">
        <f>VLOOKUP(C1151,DMSP!$A$1:$C$39,3,0)</f>
        <v>KELPIT</v>
      </c>
      <c r="F1151" s="160">
        <f t="shared" si="116"/>
        <v>0</v>
      </c>
      <c r="G1151" s="176"/>
      <c r="H1151" s="176"/>
      <c r="I1151" s="176"/>
      <c r="J1151" s="176"/>
      <c r="K1151" s="176"/>
      <c r="L1151" s="176"/>
      <c r="M1151" s="176"/>
      <c r="N1151" s="176"/>
      <c r="O1151" s="176"/>
      <c r="P1151" s="176"/>
      <c r="Q1151" s="176"/>
      <c r="R1151" s="176"/>
      <c r="S1151" s="162">
        <f t="shared" si="123"/>
        <v>0</v>
      </c>
      <c r="T1151" s="167"/>
    </row>
    <row r="1152" customHeight="1" spans="2:20">
      <c r="B1152" s="166"/>
      <c r="C1152" s="164">
        <f t="shared" si="122"/>
        <v>7</v>
      </c>
      <c r="D1152" s="158" t="str">
        <f>VLOOKUP(C1152,DMSP!$A$1:$C$39,2,0)</f>
        <v>3.SPRAY </v>
      </c>
      <c r="E1152" s="159" t="str">
        <f>VLOOKUP(C1152,DMSP!$A$1:$C$39,3,0)</f>
        <v>SI-K</v>
      </c>
      <c r="F1152" s="160">
        <f t="shared" si="116"/>
        <v>0</v>
      </c>
      <c r="G1152" s="176"/>
      <c r="H1152" s="176"/>
      <c r="I1152" s="176"/>
      <c r="J1152" s="176"/>
      <c r="K1152" s="176"/>
      <c r="L1152" s="176"/>
      <c r="M1152" s="176"/>
      <c r="N1152" s="176"/>
      <c r="O1152" s="176"/>
      <c r="P1152" s="176"/>
      <c r="Q1152" s="176"/>
      <c r="R1152" s="176"/>
      <c r="S1152" s="162">
        <f t="shared" si="123"/>
        <v>0</v>
      </c>
      <c r="T1152" s="167"/>
    </row>
    <row r="1153" customHeight="1" spans="2:20">
      <c r="B1153" s="166"/>
      <c r="C1153" s="164">
        <f t="shared" si="122"/>
        <v>8</v>
      </c>
      <c r="D1153" s="158" t="str">
        <f>VLOOKUP(C1153,DMSP!$A$1:$C$39,2,0)</f>
        <v>3.SPRAY </v>
      </c>
      <c r="E1153" s="159" t="str">
        <f>VLOOKUP(C1153,DMSP!$A$1:$C$39,3,0)</f>
        <v>SPRAY PHOS 620</v>
      </c>
      <c r="F1153" s="160">
        <f t="shared" si="116"/>
        <v>0</v>
      </c>
      <c r="G1153" s="176"/>
      <c r="H1153" s="176"/>
      <c r="I1153" s="176"/>
      <c r="J1153" s="176"/>
      <c r="K1153" s="176"/>
      <c r="L1153" s="176"/>
      <c r="M1153" s="176"/>
      <c r="N1153" s="176"/>
      <c r="O1153" s="176"/>
      <c r="P1153" s="176"/>
      <c r="Q1153" s="176"/>
      <c r="R1153" s="176"/>
      <c r="S1153" s="162">
        <f t="shared" si="123"/>
        <v>0</v>
      </c>
      <c r="T1153" s="167"/>
    </row>
    <row r="1154" customHeight="1" spans="2:20">
      <c r="B1154" s="166"/>
      <c r="C1154" s="164">
        <f t="shared" si="122"/>
        <v>9</v>
      </c>
      <c r="D1154" s="158" t="str">
        <f>VLOOKUP(C1154,DMSP!$A$1:$C$39,2,0)</f>
        <v>4.DƯỠNG RỄ</v>
      </c>
      <c r="E1154" s="159" t="str">
        <f>VLOOKUP(C1154,DMSP!$A$1:$C$39,3,0)</f>
        <v>CHITOSAN</v>
      </c>
      <c r="F1154" s="160">
        <f t="shared" si="116"/>
        <v>0</v>
      </c>
      <c r="G1154" s="176"/>
      <c r="H1154" s="176"/>
      <c r="I1154" s="176"/>
      <c r="J1154" s="176"/>
      <c r="K1154" s="176"/>
      <c r="L1154" s="176"/>
      <c r="M1154" s="176"/>
      <c r="N1154" s="176"/>
      <c r="O1154" s="176"/>
      <c r="P1154" s="176"/>
      <c r="Q1154" s="176"/>
      <c r="R1154" s="176"/>
      <c r="S1154" s="162">
        <f t="shared" si="123"/>
        <v>0</v>
      </c>
      <c r="T1154" s="167"/>
    </row>
    <row r="1155" customHeight="1" spans="2:20">
      <c r="B1155" s="166"/>
      <c r="C1155" s="164">
        <f t="shared" si="122"/>
        <v>10</v>
      </c>
      <c r="D1155" s="158" t="str">
        <f>VLOOKUP(C1155,DMSP!$A$1:$C$39,2,0)</f>
        <v>4.DƯỠNG RỄ</v>
      </c>
      <c r="E1155" s="159" t="str">
        <f>VLOOKUP(C1155,DMSP!$A$1:$C$39,3,0)</f>
        <v>ĐẠM CÁ</v>
      </c>
      <c r="F1155" s="160">
        <f t="shared" si="116"/>
        <v>0</v>
      </c>
      <c r="G1155" s="176"/>
      <c r="H1155" s="176"/>
      <c r="I1155" s="176"/>
      <c r="J1155" s="176"/>
      <c r="K1155" s="176"/>
      <c r="L1155" s="176"/>
      <c r="M1155" s="176"/>
      <c r="N1155" s="176"/>
      <c r="O1155" s="176"/>
      <c r="P1155" s="176"/>
      <c r="Q1155" s="176"/>
      <c r="R1155" s="176"/>
      <c r="S1155" s="162">
        <f t="shared" si="123"/>
        <v>0</v>
      </c>
      <c r="T1155" s="167"/>
    </row>
    <row r="1156" customHeight="1" spans="2:20">
      <c r="B1156" s="166"/>
      <c r="C1156" s="164">
        <f t="shared" si="122"/>
        <v>11</v>
      </c>
      <c r="D1156" s="158" t="str">
        <f>VLOOKUP(C1156,DMSP!$A$1:$C$39,2,0)</f>
        <v>4.DƯỠNG RỄ</v>
      </c>
      <c r="E1156" s="159" t="str">
        <f>VLOOKUP(C1156,DMSP!$A$1:$C$39,3,0)</f>
        <v>ĐẠM TÔM</v>
      </c>
      <c r="F1156" s="160">
        <f t="shared" si="116"/>
        <v>0</v>
      </c>
      <c r="G1156" s="176"/>
      <c r="H1156" s="176"/>
      <c r="I1156" s="176"/>
      <c r="J1156" s="176"/>
      <c r="K1156" s="176"/>
      <c r="L1156" s="176"/>
      <c r="M1156" s="176"/>
      <c r="N1156" s="176"/>
      <c r="O1156" s="176"/>
      <c r="P1156" s="176"/>
      <c r="Q1156" s="176"/>
      <c r="R1156" s="176"/>
      <c r="S1156" s="162">
        <f t="shared" si="123"/>
        <v>0</v>
      </c>
      <c r="T1156" s="167"/>
    </row>
    <row r="1157" customHeight="1" spans="2:20">
      <c r="B1157" s="166"/>
      <c r="C1157" s="164">
        <f t="shared" si="122"/>
        <v>12</v>
      </c>
      <c r="D1157" s="158" t="str">
        <f>VLOOKUP(C1157,DMSP!$A$1:$C$39,2,0)</f>
        <v>4.DƯỠNG RỄ</v>
      </c>
      <c r="E1157" s="159" t="str">
        <f>VLOOKUP(C1157,DMSP!$A$1:$C$39,3,0)</f>
        <v>SUPERMIC</v>
      </c>
      <c r="F1157" s="160">
        <f t="shared" si="116"/>
        <v>0</v>
      </c>
      <c r="G1157" s="176"/>
      <c r="H1157" s="176"/>
      <c r="I1157" s="176"/>
      <c r="J1157" s="176"/>
      <c r="K1157" s="176"/>
      <c r="L1157" s="176"/>
      <c r="M1157" s="176"/>
      <c r="N1157" s="176"/>
      <c r="O1157" s="176"/>
      <c r="P1157" s="176"/>
      <c r="Q1157" s="176"/>
      <c r="R1157" s="176"/>
      <c r="S1157" s="162">
        <f t="shared" si="123"/>
        <v>0</v>
      </c>
      <c r="T1157" s="167"/>
    </row>
    <row r="1158" customHeight="1" spans="2:20">
      <c r="B1158" s="166"/>
      <c r="C1158" s="164">
        <f t="shared" si="122"/>
        <v>13</v>
      </c>
      <c r="D1158" s="158" t="str">
        <f>VLOOKUP(C1158,DMSP!$A$1:$C$39,2,0)</f>
        <v>5.TRUYỀN THỐNG</v>
      </c>
      <c r="E1158" s="159" t="str">
        <f>VLOOKUP(C1158,DMSP!$A$1:$C$39,3,0)</f>
        <v>CABO</v>
      </c>
      <c r="F1158" s="160">
        <f t="shared" si="116"/>
        <v>0</v>
      </c>
      <c r="G1158" s="176"/>
      <c r="H1158" s="176"/>
      <c r="I1158" s="176"/>
      <c r="J1158" s="176"/>
      <c r="K1158" s="176"/>
      <c r="L1158" s="176"/>
      <c r="M1158" s="176"/>
      <c r="N1158" s="176"/>
      <c r="O1158" s="176"/>
      <c r="P1158" s="176"/>
      <c r="Q1158" s="176"/>
      <c r="R1158" s="176"/>
      <c r="S1158" s="162">
        <f t="shared" si="123"/>
        <v>0</v>
      </c>
      <c r="T1158" s="167"/>
    </row>
    <row r="1159" customHeight="1" spans="2:20">
      <c r="B1159" s="166"/>
      <c r="C1159" s="164">
        <f t="shared" si="122"/>
        <v>14</v>
      </c>
      <c r="D1159" s="158" t="str">
        <f>VLOOKUP(C1159,DMSP!$A$1:$C$39,2,0)</f>
        <v>5.TRUYỀN THỐNG</v>
      </c>
      <c r="E1159" s="159" t="str">
        <f>VLOOKUP(C1159,DMSP!$A$1:$C$39,3,0)</f>
        <v>F94</v>
      </c>
      <c r="F1159" s="160">
        <f t="shared" ref="F1159:F1222" si="124">S1159</f>
        <v>0</v>
      </c>
      <c r="G1159" s="176"/>
      <c r="H1159" s="176"/>
      <c r="I1159" s="176"/>
      <c r="J1159" s="176"/>
      <c r="K1159" s="176"/>
      <c r="L1159" s="176"/>
      <c r="M1159" s="176"/>
      <c r="N1159" s="176"/>
      <c r="O1159" s="176"/>
      <c r="P1159" s="176"/>
      <c r="Q1159" s="176"/>
      <c r="R1159" s="176"/>
      <c r="S1159" s="162">
        <f t="shared" si="123"/>
        <v>0</v>
      </c>
      <c r="T1159" s="167"/>
    </row>
    <row r="1160" customHeight="1" spans="2:20">
      <c r="B1160" s="166"/>
      <c r="C1160" s="164">
        <f t="shared" si="122"/>
        <v>15</v>
      </c>
      <c r="D1160" s="158" t="str">
        <f>VLOOKUP(C1160,DMSP!$A$1:$C$39,2,0)</f>
        <v>5.TRUYỀN THỐNG</v>
      </c>
      <c r="E1160" s="159" t="str">
        <f>VLOOKUP(C1160,DMSP!$A$1:$C$39,3,0)</f>
        <v>F95</v>
      </c>
      <c r="F1160" s="160">
        <f t="shared" si="124"/>
        <v>0</v>
      </c>
      <c r="G1160" s="176"/>
      <c r="H1160" s="176"/>
      <c r="I1160" s="176"/>
      <c r="J1160" s="176"/>
      <c r="K1160" s="176"/>
      <c r="L1160" s="176"/>
      <c r="M1160" s="176"/>
      <c r="N1160" s="176"/>
      <c r="O1160" s="176"/>
      <c r="P1160" s="176"/>
      <c r="Q1160" s="176"/>
      <c r="R1160" s="176"/>
      <c r="S1160" s="162">
        <f t="shared" si="123"/>
        <v>0</v>
      </c>
      <c r="T1160" s="167"/>
    </row>
    <row r="1161" customHeight="1" spans="2:20">
      <c r="B1161" s="166"/>
      <c r="C1161" s="164">
        <f t="shared" si="122"/>
        <v>16</v>
      </c>
      <c r="D1161" s="158" t="str">
        <f>VLOOKUP(C1161,DMSP!$A$1:$C$39,2,0)</f>
        <v>5.TRUYỀN THỐNG</v>
      </c>
      <c r="E1161" s="159" t="str">
        <f>VLOOKUP(C1161,DMSP!$A$1:$C$39,3,0)</f>
        <v>THIOURE</v>
      </c>
      <c r="F1161" s="160">
        <f t="shared" si="124"/>
        <v>0</v>
      </c>
      <c r="G1161" s="176"/>
      <c r="H1161" s="176"/>
      <c r="I1161" s="176"/>
      <c r="J1161" s="176"/>
      <c r="K1161" s="176"/>
      <c r="L1161" s="176"/>
      <c r="M1161" s="176"/>
      <c r="N1161" s="176"/>
      <c r="O1161" s="176"/>
      <c r="P1161" s="176"/>
      <c r="Q1161" s="176"/>
      <c r="R1161" s="176"/>
      <c r="S1161" s="162">
        <f t="shared" si="123"/>
        <v>0</v>
      </c>
      <c r="T1161" s="167"/>
    </row>
    <row r="1162" customHeight="1" spans="2:20">
      <c r="B1162" s="166"/>
      <c r="C1162" s="164">
        <f t="shared" si="122"/>
        <v>17</v>
      </c>
      <c r="D1162" s="158" t="str">
        <f>VLOOKUP(C1162,DMSP!$A$1:$C$39,2,0)</f>
        <v>5.TRUYỀN THỐNG</v>
      </c>
      <c r="E1162" s="159" t="str">
        <f>VLOOKUP(C1162,DMSP!$A$1:$C$39,3,0)</f>
        <v>TOBA JUM</v>
      </c>
      <c r="F1162" s="160">
        <f t="shared" si="124"/>
        <v>0</v>
      </c>
      <c r="G1162" s="176"/>
      <c r="H1162" s="176"/>
      <c r="I1162" s="176"/>
      <c r="J1162" s="176"/>
      <c r="K1162" s="176"/>
      <c r="L1162" s="176"/>
      <c r="M1162" s="176"/>
      <c r="N1162" s="176"/>
      <c r="O1162" s="176"/>
      <c r="P1162" s="176"/>
      <c r="Q1162" s="176"/>
      <c r="R1162" s="176"/>
      <c r="S1162" s="162">
        <f t="shared" si="123"/>
        <v>0</v>
      </c>
      <c r="T1162" s="167"/>
    </row>
    <row r="1163" customHeight="1" spans="2:20">
      <c r="B1163" s="166"/>
      <c r="C1163" s="164">
        <f t="shared" si="122"/>
        <v>18</v>
      </c>
      <c r="D1163" s="158" t="str">
        <f>VLOOKUP(C1163,DMSP!$A$1:$C$39,2,0)</f>
        <v>5.TRUYỀN THỐNG</v>
      </c>
      <c r="E1163" s="159" t="str">
        <f>VLOOKUP(C1163,DMSP!$A$1:$C$39,3,0)</f>
        <v>TOBA NET</v>
      </c>
      <c r="F1163" s="160">
        <f t="shared" si="124"/>
        <v>0</v>
      </c>
      <c r="G1163" s="176"/>
      <c r="H1163" s="176"/>
      <c r="I1163" s="176"/>
      <c r="J1163" s="176"/>
      <c r="K1163" s="176"/>
      <c r="L1163" s="176"/>
      <c r="M1163" s="176"/>
      <c r="N1163" s="176"/>
      <c r="O1163" s="176"/>
      <c r="P1163" s="176"/>
      <c r="Q1163" s="176"/>
      <c r="R1163" s="176"/>
      <c r="S1163" s="162">
        <f t="shared" si="123"/>
        <v>0</v>
      </c>
      <c r="T1163" s="167"/>
    </row>
    <row r="1164" customHeight="1" spans="2:20">
      <c r="B1164" s="166"/>
      <c r="C1164" s="164">
        <f t="shared" si="122"/>
        <v>19</v>
      </c>
      <c r="D1164" s="158" t="str">
        <f>VLOOKUP(C1164,DMSP!$A$1:$C$39,2,0)</f>
        <v>6.BVTV</v>
      </c>
      <c r="E1164" s="159" t="str">
        <f>VLOOKUP(C1164,DMSP!$A$1:$C$39,3,0)</f>
        <v>ABAFAX 1.8</v>
      </c>
      <c r="F1164" s="160">
        <f t="shared" si="124"/>
        <v>0</v>
      </c>
      <c r="G1164" s="176"/>
      <c r="H1164" s="176"/>
      <c r="I1164" s="176"/>
      <c r="J1164" s="176"/>
      <c r="K1164" s="176"/>
      <c r="L1164" s="176"/>
      <c r="M1164" s="176"/>
      <c r="N1164" s="176"/>
      <c r="O1164" s="176"/>
      <c r="P1164" s="176"/>
      <c r="Q1164" s="176"/>
      <c r="R1164" s="176"/>
      <c r="S1164" s="162">
        <f t="shared" si="123"/>
        <v>0</v>
      </c>
      <c r="T1164" s="167"/>
    </row>
    <row r="1165" customHeight="1" spans="2:20">
      <c r="B1165" s="166"/>
      <c r="C1165" s="164">
        <f t="shared" si="122"/>
        <v>20</v>
      </c>
      <c r="D1165" s="158" t="str">
        <f>VLOOKUP(C1165,DMSP!$A$1:$C$39,2,0)</f>
        <v>6.BVTV</v>
      </c>
      <c r="E1165" s="159" t="str">
        <f>VLOOKUP(C1165,DMSP!$A$1:$C$39,3,0)</f>
        <v>ABAFAX 3.6</v>
      </c>
      <c r="F1165" s="160">
        <f t="shared" si="124"/>
        <v>0</v>
      </c>
      <c r="G1165" s="176"/>
      <c r="H1165" s="176"/>
      <c r="I1165" s="176"/>
      <c r="J1165" s="176"/>
      <c r="K1165" s="176"/>
      <c r="L1165" s="176"/>
      <c r="M1165" s="176"/>
      <c r="N1165" s="176"/>
      <c r="O1165" s="176"/>
      <c r="P1165" s="176"/>
      <c r="Q1165" s="176"/>
      <c r="R1165" s="176"/>
      <c r="S1165" s="162">
        <f t="shared" si="123"/>
        <v>0</v>
      </c>
      <c r="T1165" s="167"/>
    </row>
    <row r="1166" customHeight="1" spans="2:20">
      <c r="B1166" s="166"/>
      <c r="C1166" s="164">
        <f t="shared" si="122"/>
        <v>21</v>
      </c>
      <c r="D1166" s="158" t="str">
        <f>VLOOKUP(C1166,DMSP!$A$1:$C$39,2,0)</f>
        <v>6.BVTV</v>
      </c>
      <c r="E1166" s="159" t="str">
        <f>VLOOKUP(C1166,DMSP!$A$1:$C$39,3,0)</f>
        <v>AZET</v>
      </c>
      <c r="F1166" s="160">
        <f t="shared" si="124"/>
        <v>0</v>
      </c>
      <c r="G1166" s="176"/>
      <c r="H1166" s="176"/>
      <c r="I1166" s="176"/>
      <c r="J1166" s="176"/>
      <c r="K1166" s="176"/>
      <c r="L1166" s="176"/>
      <c r="M1166" s="176"/>
      <c r="N1166" s="176"/>
      <c r="O1166" s="176"/>
      <c r="P1166" s="176"/>
      <c r="Q1166" s="176"/>
      <c r="R1166" s="176"/>
      <c r="S1166" s="162">
        <f t="shared" si="123"/>
        <v>0</v>
      </c>
      <c r="T1166" s="167"/>
    </row>
    <row r="1167" customHeight="1" spans="2:20">
      <c r="B1167" s="166"/>
      <c r="C1167" s="164">
        <f t="shared" si="122"/>
        <v>22</v>
      </c>
      <c r="D1167" s="158" t="str">
        <f>VLOOKUP(C1167,DMSP!$A$1:$C$39,2,0)</f>
        <v>6.BVTV</v>
      </c>
      <c r="E1167" s="159" t="str">
        <f>VLOOKUP(C1167,DMSP!$A$1:$C$39,3,0)</f>
        <v>BACBA</v>
      </c>
      <c r="F1167" s="160">
        <f t="shared" si="124"/>
        <v>0</v>
      </c>
      <c r="G1167" s="176"/>
      <c r="H1167" s="176"/>
      <c r="I1167" s="176"/>
      <c r="J1167" s="176"/>
      <c r="K1167" s="176"/>
      <c r="L1167" s="176"/>
      <c r="M1167" s="176"/>
      <c r="N1167" s="176"/>
      <c r="O1167" s="176"/>
      <c r="P1167" s="176"/>
      <c r="Q1167" s="176"/>
      <c r="R1167" s="176"/>
      <c r="S1167" s="162">
        <f t="shared" si="123"/>
        <v>0</v>
      </c>
      <c r="T1167" s="167"/>
    </row>
    <row r="1168" customHeight="1" spans="2:20">
      <c r="B1168" s="166"/>
      <c r="C1168" s="164">
        <f t="shared" si="122"/>
        <v>23</v>
      </c>
      <c r="D1168" s="158" t="str">
        <f>VLOOKUP(C1168,DMSP!$A$1:$C$39,2,0)</f>
        <v>6.BVTV</v>
      </c>
      <c r="E1168" s="159" t="str">
        <f>VLOOKUP(C1168,DMSP!$A$1:$C$39,3,0)</f>
        <v>BIOROSAMIL</v>
      </c>
      <c r="F1168" s="160">
        <f t="shared" si="124"/>
        <v>0</v>
      </c>
      <c r="G1168" s="176"/>
      <c r="H1168" s="176"/>
      <c r="I1168" s="176"/>
      <c r="J1168" s="176"/>
      <c r="K1168" s="176"/>
      <c r="L1168" s="176"/>
      <c r="M1168" s="176"/>
      <c r="N1168" s="176"/>
      <c r="O1168" s="176"/>
      <c r="P1168" s="176"/>
      <c r="Q1168" s="176"/>
      <c r="R1168" s="176"/>
      <c r="S1168" s="162">
        <f t="shared" si="123"/>
        <v>0</v>
      </c>
      <c r="T1168" s="167"/>
    </row>
    <row r="1169" customHeight="1" spans="2:20">
      <c r="B1169" s="166"/>
      <c r="C1169" s="164">
        <f t="shared" si="122"/>
        <v>24</v>
      </c>
      <c r="D1169" s="158" t="str">
        <f>VLOOKUP(C1169,DMSP!$A$1:$C$39,2,0)</f>
        <v>6.BVTV</v>
      </c>
      <c r="E1169" s="159" t="str">
        <f>VLOOKUP(C1169,DMSP!$A$1:$C$39,3,0)</f>
        <v>COC 86</v>
      </c>
      <c r="F1169" s="160">
        <f t="shared" si="124"/>
        <v>0</v>
      </c>
      <c r="G1169" s="176"/>
      <c r="H1169" s="176"/>
      <c r="I1169" s="176"/>
      <c r="J1169" s="176"/>
      <c r="K1169" s="176"/>
      <c r="L1169" s="176"/>
      <c r="M1169" s="176"/>
      <c r="N1169" s="176"/>
      <c r="O1169" s="176"/>
      <c r="P1169" s="176"/>
      <c r="Q1169" s="176"/>
      <c r="R1169" s="176"/>
      <c r="S1169" s="162">
        <f t="shared" si="123"/>
        <v>0</v>
      </c>
      <c r="T1169" s="167"/>
    </row>
    <row r="1170" customHeight="1" spans="2:20">
      <c r="B1170" s="166"/>
      <c r="C1170" s="164">
        <f t="shared" si="122"/>
        <v>25</v>
      </c>
      <c r="D1170" s="158" t="str">
        <f>VLOOKUP(C1170,DMSP!$A$1:$C$39,2,0)</f>
        <v>6.BVTV</v>
      </c>
      <c r="E1170" s="159" t="str">
        <f>VLOOKUP(C1170,DMSP!$A$1:$C$39,3,0)</f>
        <v>HEXA 5</v>
      </c>
      <c r="F1170" s="160">
        <f t="shared" si="124"/>
        <v>0</v>
      </c>
      <c r="G1170" s="176"/>
      <c r="H1170" s="176"/>
      <c r="I1170" s="176"/>
      <c r="J1170" s="176"/>
      <c r="K1170" s="176"/>
      <c r="L1170" s="176"/>
      <c r="M1170" s="176"/>
      <c r="N1170" s="176"/>
      <c r="O1170" s="176"/>
      <c r="P1170" s="176"/>
      <c r="Q1170" s="176"/>
      <c r="R1170" s="176"/>
      <c r="S1170" s="162">
        <f t="shared" si="123"/>
        <v>0</v>
      </c>
      <c r="T1170" s="167"/>
    </row>
    <row r="1171" customHeight="1" spans="2:20">
      <c r="B1171" s="166"/>
      <c r="C1171" s="164">
        <f t="shared" si="122"/>
        <v>26</v>
      </c>
      <c r="D1171" s="158" t="str">
        <f>VLOOKUP(C1171,DMSP!$A$1:$C$39,2,0)</f>
        <v>6.BVTV</v>
      </c>
      <c r="E1171" s="159" t="str">
        <f>VLOOKUP(C1171,DMSP!$A$1:$C$39,3,0)</f>
        <v>TAMALA</v>
      </c>
      <c r="F1171" s="160">
        <f t="shared" si="124"/>
        <v>0</v>
      </c>
      <c r="G1171" s="176"/>
      <c r="H1171" s="176"/>
      <c r="I1171" s="176"/>
      <c r="J1171" s="176"/>
      <c r="K1171" s="176"/>
      <c r="L1171" s="176"/>
      <c r="M1171" s="176"/>
      <c r="N1171" s="176"/>
      <c r="O1171" s="176"/>
      <c r="P1171" s="176"/>
      <c r="Q1171" s="176"/>
      <c r="R1171" s="176"/>
      <c r="S1171" s="162">
        <f t="shared" si="123"/>
        <v>0</v>
      </c>
      <c r="T1171" s="167"/>
    </row>
    <row r="1172" customHeight="1" spans="2:20">
      <c r="B1172" s="166"/>
      <c r="C1172" s="164">
        <f t="shared" si="122"/>
        <v>27</v>
      </c>
      <c r="D1172" s="158" t="str">
        <f>VLOOKUP(C1172,DMSP!$A$1:$C$39,2,0)</f>
        <v>7.KHÁC</v>
      </c>
      <c r="E1172" s="159" t="str">
        <f>VLOOKUP(C1172,DMSP!$A$1:$C$39,3,0)</f>
        <v>KẼM VÀNG</v>
      </c>
      <c r="F1172" s="160">
        <f t="shared" si="124"/>
        <v>0</v>
      </c>
      <c r="G1172" s="176"/>
      <c r="H1172" s="176"/>
      <c r="I1172" s="176"/>
      <c r="J1172" s="176"/>
      <c r="K1172" s="176"/>
      <c r="L1172" s="176"/>
      <c r="M1172" s="176"/>
      <c r="N1172" s="176"/>
      <c r="O1172" s="176"/>
      <c r="P1172" s="176"/>
      <c r="Q1172" s="176"/>
      <c r="R1172" s="176"/>
      <c r="S1172" s="162">
        <f t="shared" si="123"/>
        <v>0</v>
      </c>
      <c r="T1172" s="167"/>
    </row>
    <row r="1173" customHeight="1" spans="2:20">
      <c r="B1173" s="166"/>
      <c r="C1173" s="164">
        <f t="shared" si="122"/>
        <v>28</v>
      </c>
      <c r="D1173" s="158" t="str">
        <f>VLOOKUP(C1173,DMSP!$A$1:$C$39,2,0)</f>
        <v>7.KHÁC</v>
      </c>
      <c r="E1173" s="159" t="str">
        <f>VLOOKUP(C1173,DMSP!$A$1:$C$39,3,0)</f>
        <v>KHÁC1</v>
      </c>
      <c r="F1173" s="160">
        <f t="shared" si="124"/>
        <v>0</v>
      </c>
      <c r="G1173" s="176"/>
      <c r="H1173" s="176"/>
      <c r="I1173" s="176"/>
      <c r="J1173" s="176"/>
      <c r="K1173" s="176"/>
      <c r="L1173" s="176"/>
      <c r="M1173" s="176"/>
      <c r="N1173" s="176"/>
      <c r="O1173" s="176"/>
      <c r="P1173" s="176"/>
      <c r="Q1173" s="176"/>
      <c r="R1173" s="176"/>
      <c r="S1173" s="162">
        <f t="shared" si="123"/>
        <v>0</v>
      </c>
      <c r="T1173" s="167"/>
    </row>
    <row r="1174" customHeight="1" spans="2:20">
      <c r="B1174" s="166"/>
      <c r="C1174" s="164">
        <f t="shared" si="122"/>
        <v>29</v>
      </c>
      <c r="D1174" s="158" t="str">
        <f>VLOOKUP(C1174,DMSP!$A$1:$C$39,2,0)</f>
        <v>7.KHÁC</v>
      </c>
      <c r="E1174" s="169" t="s">
        <v>13</v>
      </c>
      <c r="F1174" s="160">
        <f t="shared" si="124"/>
        <v>0</v>
      </c>
      <c r="G1174" s="176"/>
      <c r="H1174" s="176"/>
      <c r="I1174" s="176"/>
      <c r="J1174" s="176"/>
      <c r="K1174" s="176"/>
      <c r="L1174" s="176"/>
      <c r="M1174" s="176"/>
      <c r="N1174" s="176"/>
      <c r="O1174" s="176"/>
      <c r="P1174" s="176"/>
      <c r="Q1174" s="176"/>
      <c r="R1174" s="176"/>
      <c r="S1174" s="162">
        <f t="shared" si="123"/>
        <v>0</v>
      </c>
      <c r="T1174" s="167"/>
    </row>
    <row r="1175" customHeight="1" spans="2:20">
      <c r="B1175" s="166"/>
      <c r="C1175" s="164">
        <f t="shared" si="122"/>
        <v>30</v>
      </c>
      <c r="D1175" s="158" t="str">
        <f>VLOOKUP(C1175,DMSP!$A$1:$C$39,2,0)</f>
        <v>7.KHÁC</v>
      </c>
      <c r="E1175" s="159" t="str">
        <f>VLOOKUP(C1175,DMSP!$A$1:$C$39,3,0)</f>
        <v>RỬA RONG RÊU</v>
      </c>
      <c r="F1175" s="160">
        <f t="shared" si="124"/>
        <v>0</v>
      </c>
      <c r="G1175" s="176"/>
      <c r="H1175" s="176"/>
      <c r="I1175" s="176"/>
      <c r="J1175" s="176"/>
      <c r="K1175" s="176"/>
      <c r="L1175" s="176"/>
      <c r="M1175" s="176"/>
      <c r="N1175" s="176"/>
      <c r="O1175" s="176"/>
      <c r="P1175" s="176"/>
      <c r="Q1175" s="176"/>
      <c r="R1175" s="176"/>
      <c r="S1175" s="162">
        <f t="shared" si="123"/>
        <v>0</v>
      </c>
      <c r="T1175" s="167"/>
    </row>
    <row r="1176" customHeight="1" spans="2:20">
      <c r="B1176" s="166"/>
      <c r="C1176" s="164">
        <f t="shared" si="122"/>
        <v>31</v>
      </c>
      <c r="D1176" s="158" t="str">
        <f>VLOOKUP(C1176,DMSP!$A$1:$C$39,2,0)</f>
        <v>7.KHÁC</v>
      </c>
      <c r="E1176" s="159" t="str">
        <f>VLOOKUP(C1176,DMSP!$A$1:$C$39,3,0)</f>
        <v>TB BO</v>
      </c>
      <c r="F1176" s="160">
        <f t="shared" si="124"/>
        <v>0</v>
      </c>
      <c r="G1176" s="176"/>
      <c r="H1176" s="176"/>
      <c r="I1176" s="176"/>
      <c r="J1176" s="176"/>
      <c r="K1176" s="176"/>
      <c r="L1176" s="176"/>
      <c r="M1176" s="176"/>
      <c r="N1176" s="176"/>
      <c r="O1176" s="176"/>
      <c r="P1176" s="176"/>
      <c r="Q1176" s="176"/>
      <c r="R1176" s="176"/>
      <c r="S1176" s="162">
        <f t="shared" si="123"/>
        <v>0</v>
      </c>
      <c r="T1176" s="167"/>
    </row>
    <row r="1177" customHeight="1" spans="2:20">
      <c r="B1177" s="166"/>
      <c r="C1177" s="164">
        <f t="shared" si="122"/>
        <v>32</v>
      </c>
      <c r="D1177" s="158" t="str">
        <f>VLOOKUP(C1177,DMSP!$A$1:$C$39,2,0)</f>
        <v>7.KHÁC</v>
      </c>
      <c r="E1177" s="159" t="str">
        <f>VLOOKUP(C1177,DMSP!$A$1:$C$39,3,0)</f>
        <v>TB FRUIT</v>
      </c>
      <c r="F1177" s="160">
        <f t="shared" si="124"/>
        <v>0</v>
      </c>
      <c r="G1177" s="176"/>
      <c r="H1177" s="176"/>
      <c r="I1177" s="176"/>
      <c r="J1177" s="176"/>
      <c r="K1177" s="176"/>
      <c r="L1177" s="176"/>
      <c r="M1177" s="176"/>
      <c r="N1177" s="176"/>
      <c r="O1177" s="176"/>
      <c r="P1177" s="176"/>
      <c r="Q1177" s="176"/>
      <c r="R1177" s="176"/>
      <c r="S1177" s="162">
        <f t="shared" si="123"/>
        <v>0</v>
      </c>
      <c r="T1177" s="167"/>
    </row>
    <row r="1178" customHeight="1" spans="2:20">
      <c r="B1178" s="166"/>
      <c r="C1178" s="164">
        <f t="shared" si="122"/>
        <v>33</v>
      </c>
      <c r="D1178" s="158" t="str">
        <f>VLOOKUP(C1178,DMSP!$A$1:$C$39,2,0)</f>
        <v>7.KHÁC</v>
      </c>
      <c r="E1178" s="159" t="str">
        <f>VLOOKUP(C1178,DMSP!$A$1:$C$39,3,0)</f>
        <v>TB PHOS</v>
      </c>
      <c r="F1178" s="160">
        <f t="shared" si="124"/>
        <v>0</v>
      </c>
      <c r="G1178" s="176"/>
      <c r="H1178" s="176"/>
      <c r="I1178" s="176"/>
      <c r="J1178" s="176"/>
      <c r="K1178" s="176"/>
      <c r="L1178" s="176"/>
      <c r="M1178" s="176"/>
      <c r="N1178" s="176"/>
      <c r="O1178" s="176"/>
      <c r="P1178" s="176"/>
      <c r="Q1178" s="176"/>
      <c r="R1178" s="176"/>
      <c r="S1178" s="162">
        <f t="shared" si="123"/>
        <v>0</v>
      </c>
      <c r="T1178" s="167"/>
    </row>
    <row r="1179" customHeight="1" spans="2:20">
      <c r="B1179" s="166"/>
      <c r="C1179" s="164">
        <f t="shared" si="122"/>
        <v>34</v>
      </c>
      <c r="D1179" s="158" t="str">
        <f>VLOOKUP(C1179,DMSP!$A$1:$C$39,2,0)</f>
        <v>7.KHÁC</v>
      </c>
      <c r="E1179" s="159" t="str">
        <f>VLOOKUP(C1179,DMSP!$A$1:$C$39,3,0)</f>
        <v>TOBA BÁM DÍNH</v>
      </c>
      <c r="F1179" s="160">
        <f t="shared" si="124"/>
        <v>0</v>
      </c>
      <c r="G1179" s="176"/>
      <c r="H1179" s="176"/>
      <c r="I1179" s="176"/>
      <c r="J1179" s="176"/>
      <c r="K1179" s="176"/>
      <c r="L1179" s="176"/>
      <c r="M1179" s="176"/>
      <c r="N1179" s="176"/>
      <c r="O1179" s="176"/>
      <c r="P1179" s="176"/>
      <c r="Q1179" s="176"/>
      <c r="R1179" s="176"/>
      <c r="S1179" s="162">
        <f t="shared" si="123"/>
        <v>0</v>
      </c>
      <c r="T1179" s="167"/>
    </row>
    <row r="1180" customHeight="1" spans="2:20">
      <c r="B1180" s="166"/>
      <c r="C1180" s="164">
        <f t="shared" si="122"/>
        <v>35</v>
      </c>
      <c r="D1180" s="158" t="str">
        <f>VLOOKUP(C1180,DMSP!$A$1:$C$39,2,0)</f>
        <v>7.KHÁC</v>
      </c>
      <c r="E1180" s="159" t="str">
        <f>VLOOKUP(C1180,DMSP!$A$1:$C$39,3,0)</f>
        <v>VỌT HOA NHÃN</v>
      </c>
      <c r="F1180" s="160">
        <f t="shared" si="124"/>
        <v>0</v>
      </c>
      <c r="G1180" s="176"/>
      <c r="H1180" s="176"/>
      <c r="I1180" s="176"/>
      <c r="J1180" s="176"/>
      <c r="K1180" s="176"/>
      <c r="L1180" s="176"/>
      <c r="M1180" s="176"/>
      <c r="N1180" s="176"/>
      <c r="O1180" s="176"/>
      <c r="P1180" s="176"/>
      <c r="Q1180" s="176"/>
      <c r="R1180" s="176"/>
      <c r="S1180" s="162">
        <f t="shared" si="123"/>
        <v>0</v>
      </c>
      <c r="T1180" s="167"/>
    </row>
    <row r="1181" customHeight="1" spans="2:20">
      <c r="B1181" s="166"/>
      <c r="C1181" s="164">
        <f t="shared" si="122"/>
        <v>36</v>
      </c>
      <c r="D1181" s="158" t="str">
        <f>VLOOKUP(C1181,DMSP!$A$1:$C$39,2,0)</f>
        <v>7.KHÁC</v>
      </c>
      <c r="E1181" s="159" t="str">
        <f>VLOOKUP(C1181,DMSP!$A$1:$C$39,3,0)</f>
        <v>VỌT HOA XOÀI</v>
      </c>
      <c r="F1181" s="160">
        <f t="shared" si="124"/>
        <v>0</v>
      </c>
      <c r="G1181" s="176"/>
      <c r="H1181" s="176"/>
      <c r="I1181" s="176"/>
      <c r="J1181" s="176"/>
      <c r="K1181" s="176"/>
      <c r="L1181" s="176"/>
      <c r="M1181" s="176"/>
      <c r="N1181" s="176"/>
      <c r="O1181" s="176"/>
      <c r="P1181" s="176"/>
      <c r="Q1181" s="176"/>
      <c r="R1181" s="176"/>
      <c r="S1181" s="162">
        <f t="shared" si="123"/>
        <v>0</v>
      </c>
      <c r="T1181" s="167"/>
    </row>
    <row r="1182" customHeight="1" spans="2:20">
      <c r="B1182" s="166"/>
      <c r="C1182" s="164">
        <f t="shared" si="122"/>
        <v>37</v>
      </c>
      <c r="D1182" s="158" t="str">
        <f>VLOOKUP(C1182,DMSP!$A$1:$C$39,2,0)</f>
        <v>7.KHÁC</v>
      </c>
      <c r="E1182" s="159" t="str">
        <f>VLOOKUP(C1182,DMSP!$A$1:$C$39,3,0)</f>
        <v>VỌT HOA XOÀI</v>
      </c>
      <c r="F1182" s="160">
        <f t="shared" si="124"/>
        <v>0</v>
      </c>
      <c r="G1182" s="176"/>
      <c r="H1182" s="176"/>
      <c r="I1182" s="176"/>
      <c r="J1182" s="176"/>
      <c r="K1182" s="176"/>
      <c r="L1182" s="176"/>
      <c r="M1182" s="176"/>
      <c r="N1182" s="176"/>
      <c r="O1182" s="176"/>
      <c r="P1182" s="176"/>
      <c r="Q1182" s="176"/>
      <c r="R1182" s="176"/>
      <c r="S1182" s="162">
        <f t="shared" si="123"/>
        <v>0</v>
      </c>
      <c r="T1182" s="167"/>
    </row>
    <row r="1183" customHeight="1" spans="2:20">
      <c r="B1183" s="92"/>
      <c r="C1183" s="170">
        <f>B1146</f>
        <v>0</v>
      </c>
      <c r="D1183" s="171"/>
      <c r="E1183" s="172" t="str">
        <f>"TOTAL "&amp;B1146</f>
        <v>TOTAL </v>
      </c>
      <c r="F1183" s="173">
        <f t="shared" si="124"/>
        <v>0</v>
      </c>
      <c r="G1183" s="174">
        <f>SUM(G1146:G1182)</f>
        <v>0</v>
      </c>
      <c r="H1183" s="174">
        <f t="shared" ref="H1183:R1183" si="125">SUM(H1146:H1182)</f>
        <v>0</v>
      </c>
      <c r="I1183" s="174">
        <f t="shared" si="125"/>
        <v>0</v>
      </c>
      <c r="J1183" s="174">
        <f t="shared" si="125"/>
        <v>0</v>
      </c>
      <c r="K1183" s="174">
        <f t="shared" si="125"/>
        <v>0</v>
      </c>
      <c r="L1183" s="174">
        <f t="shared" si="125"/>
        <v>0</v>
      </c>
      <c r="M1183" s="174">
        <f t="shared" si="125"/>
        <v>0</v>
      </c>
      <c r="N1183" s="174">
        <f t="shared" si="125"/>
        <v>0</v>
      </c>
      <c r="O1183" s="174">
        <f t="shared" si="125"/>
        <v>0</v>
      </c>
      <c r="P1183" s="174">
        <f t="shared" si="125"/>
        <v>0</v>
      </c>
      <c r="Q1183" s="174">
        <f t="shared" si="125"/>
        <v>0</v>
      </c>
      <c r="R1183" s="174">
        <f t="shared" si="125"/>
        <v>0</v>
      </c>
      <c r="S1183" s="174">
        <f t="shared" si="123"/>
        <v>0</v>
      </c>
      <c r="T1183" s="175"/>
    </row>
    <row r="1184" customHeight="1" spans="2:20">
      <c r="B1184" s="156"/>
      <c r="C1184" s="157">
        <v>1</v>
      </c>
      <c r="D1184" s="158" t="str">
        <f>VLOOKUP(C1184,DMSP!$A$1:$C$39,2,0)</f>
        <v>1.TOBA XANH</v>
      </c>
      <c r="E1184" s="159" t="str">
        <f>VLOOKUP(C1184,DMSP!$A$1:$C$39,3,0)</f>
        <v>TOBA XANH</v>
      </c>
      <c r="F1184" s="160">
        <f t="shared" si="124"/>
        <v>0</v>
      </c>
      <c r="G1184" s="176"/>
      <c r="H1184" s="176"/>
      <c r="I1184" s="176"/>
      <c r="J1184" s="176"/>
      <c r="K1184" s="176"/>
      <c r="L1184" s="176"/>
      <c r="M1184" s="176"/>
      <c r="N1184" s="176"/>
      <c r="O1184" s="176"/>
      <c r="P1184" s="176"/>
      <c r="Q1184" s="176"/>
      <c r="R1184" s="176"/>
      <c r="S1184" s="162">
        <f t="shared" si="123"/>
        <v>0</v>
      </c>
      <c r="T1184" s="163">
        <f>S1221</f>
        <v>0</v>
      </c>
    </row>
    <row r="1185" customHeight="1" spans="2:20">
      <c r="B1185" s="166"/>
      <c r="C1185" s="164">
        <f t="shared" ref="C1185:C1220" si="126">C1184+1</f>
        <v>2</v>
      </c>
      <c r="D1185" s="158" t="str">
        <f>VLOOKUP(C1185,DMSP!$A$1:$C$39,2,0)</f>
        <v>2.HC</v>
      </c>
      <c r="E1185" s="159" t="str">
        <f>VLOOKUP(C1185,DMSP!$A$1:$C$39,3,0)</f>
        <v>HC BOOSTER</v>
      </c>
      <c r="F1185" s="160">
        <f t="shared" si="124"/>
        <v>0</v>
      </c>
      <c r="G1185" s="176"/>
      <c r="H1185" s="176"/>
      <c r="I1185" s="176"/>
      <c r="J1185" s="176"/>
      <c r="K1185" s="176"/>
      <c r="L1185" s="176"/>
      <c r="M1185" s="176"/>
      <c r="N1185" s="176"/>
      <c r="O1185" s="176"/>
      <c r="P1185" s="176"/>
      <c r="Q1185" s="176"/>
      <c r="R1185" s="176"/>
      <c r="S1185" s="162">
        <f t="shared" ref="S1185:S1222" si="127">SUM(G1185:R1185)</f>
        <v>0</v>
      </c>
      <c r="T1185" s="167"/>
    </row>
    <row r="1186" customHeight="1" spans="2:20">
      <c r="B1186" s="166"/>
      <c r="C1186" s="164">
        <f t="shared" si="126"/>
        <v>3</v>
      </c>
      <c r="D1186" s="158" t="str">
        <f>VLOOKUP(C1186,DMSP!$A$1:$C$39,2,0)</f>
        <v>2.HC</v>
      </c>
      <c r="E1186" s="159" t="str">
        <f>VLOOKUP(C1186,DMSP!$A$1:$C$39,3,0)</f>
        <v>HC KING-ROOT</v>
      </c>
      <c r="F1186" s="160">
        <f t="shared" si="124"/>
        <v>0</v>
      </c>
      <c r="G1186" s="176"/>
      <c r="H1186" s="176"/>
      <c r="I1186" s="176"/>
      <c r="J1186" s="176"/>
      <c r="K1186" s="176"/>
      <c r="L1186" s="176"/>
      <c r="M1186" s="176"/>
      <c r="N1186" s="176"/>
      <c r="O1186" s="176"/>
      <c r="P1186" s="176"/>
      <c r="Q1186" s="176"/>
      <c r="R1186" s="176"/>
      <c r="S1186" s="162">
        <f t="shared" si="127"/>
        <v>0</v>
      </c>
      <c r="T1186" s="167"/>
    </row>
    <row r="1187" customHeight="1" spans="2:20">
      <c r="B1187" s="166"/>
      <c r="C1187" s="164">
        <f t="shared" si="126"/>
        <v>4</v>
      </c>
      <c r="D1187" s="158" t="str">
        <f>VLOOKUP(C1187,DMSP!$A$1:$C$39,2,0)</f>
        <v>2.HC</v>
      </c>
      <c r="E1187" s="159" t="str">
        <f>VLOOKUP(C1187,DMSP!$A$1:$C$39,3,0)</f>
        <v>HAPPY FARM</v>
      </c>
      <c r="F1187" s="160">
        <f t="shared" si="124"/>
        <v>0</v>
      </c>
      <c r="G1187" s="176"/>
      <c r="H1187" s="176"/>
      <c r="I1187" s="176"/>
      <c r="J1187" s="176"/>
      <c r="K1187" s="176"/>
      <c r="L1187" s="176"/>
      <c r="M1187" s="176"/>
      <c r="N1187" s="176"/>
      <c r="O1187" s="176"/>
      <c r="P1187" s="176"/>
      <c r="Q1187" s="176"/>
      <c r="R1187" s="176"/>
      <c r="S1187" s="162">
        <f t="shared" si="127"/>
        <v>0</v>
      </c>
      <c r="T1187" s="167"/>
    </row>
    <row r="1188" customHeight="1" spans="2:20">
      <c r="B1188" s="166"/>
      <c r="C1188" s="164">
        <f t="shared" si="126"/>
        <v>5</v>
      </c>
      <c r="D1188" s="158" t="str">
        <f>VLOOKUP(C1188,DMSP!$A$1:$C$39,2,0)</f>
        <v>2.HC</v>
      </c>
      <c r="E1188" s="159" t="str">
        <f>VLOOKUP(C1188,DMSP!$A$1:$C$39,3,0)</f>
        <v>WOW</v>
      </c>
      <c r="F1188" s="160">
        <f t="shared" si="124"/>
        <v>0</v>
      </c>
      <c r="G1188" s="176"/>
      <c r="H1188" s="176"/>
      <c r="I1188" s="176"/>
      <c r="J1188" s="176"/>
      <c r="K1188" s="176"/>
      <c r="L1188" s="176"/>
      <c r="M1188" s="176"/>
      <c r="N1188" s="176"/>
      <c r="O1188" s="176"/>
      <c r="P1188" s="176"/>
      <c r="Q1188" s="176"/>
      <c r="R1188" s="176"/>
      <c r="S1188" s="162">
        <f t="shared" si="127"/>
        <v>0</v>
      </c>
      <c r="T1188" s="167"/>
    </row>
    <row r="1189" customHeight="1" spans="2:20">
      <c r="B1189" s="166"/>
      <c r="C1189" s="164">
        <f t="shared" si="126"/>
        <v>6</v>
      </c>
      <c r="D1189" s="158" t="str">
        <f>VLOOKUP(C1189,DMSP!$A$1:$C$39,2,0)</f>
        <v>3.SPRAY </v>
      </c>
      <c r="E1189" s="159" t="str">
        <f>VLOOKUP(C1189,DMSP!$A$1:$C$39,3,0)</f>
        <v>KELPIT</v>
      </c>
      <c r="F1189" s="160">
        <f t="shared" si="124"/>
        <v>0</v>
      </c>
      <c r="G1189" s="176"/>
      <c r="H1189" s="176"/>
      <c r="I1189" s="176"/>
      <c r="J1189" s="176"/>
      <c r="K1189" s="176"/>
      <c r="L1189" s="176"/>
      <c r="M1189" s="176"/>
      <c r="N1189" s="176"/>
      <c r="O1189" s="176"/>
      <c r="P1189" s="176"/>
      <c r="Q1189" s="176"/>
      <c r="R1189" s="176"/>
      <c r="S1189" s="162">
        <f t="shared" si="127"/>
        <v>0</v>
      </c>
      <c r="T1189" s="167"/>
    </row>
    <row r="1190" customHeight="1" spans="2:20">
      <c r="B1190" s="166"/>
      <c r="C1190" s="164">
        <f t="shared" si="126"/>
        <v>7</v>
      </c>
      <c r="D1190" s="158" t="str">
        <f>VLOOKUP(C1190,DMSP!$A$1:$C$39,2,0)</f>
        <v>3.SPRAY </v>
      </c>
      <c r="E1190" s="159" t="str">
        <f>VLOOKUP(C1190,DMSP!$A$1:$C$39,3,0)</f>
        <v>SI-K</v>
      </c>
      <c r="F1190" s="160">
        <f t="shared" si="124"/>
        <v>0</v>
      </c>
      <c r="G1190" s="176"/>
      <c r="H1190" s="176"/>
      <c r="I1190" s="176"/>
      <c r="J1190" s="176"/>
      <c r="K1190" s="176"/>
      <c r="L1190" s="176"/>
      <c r="M1190" s="176"/>
      <c r="N1190" s="176"/>
      <c r="O1190" s="176"/>
      <c r="P1190" s="176"/>
      <c r="Q1190" s="176"/>
      <c r="R1190" s="176"/>
      <c r="S1190" s="162">
        <f t="shared" si="127"/>
        <v>0</v>
      </c>
      <c r="T1190" s="167"/>
    </row>
    <row r="1191" customHeight="1" spans="2:20">
      <c r="B1191" s="166"/>
      <c r="C1191" s="164">
        <f t="shared" si="126"/>
        <v>8</v>
      </c>
      <c r="D1191" s="158" t="str">
        <f>VLOOKUP(C1191,DMSP!$A$1:$C$39,2,0)</f>
        <v>3.SPRAY </v>
      </c>
      <c r="E1191" s="159" t="str">
        <f>VLOOKUP(C1191,DMSP!$A$1:$C$39,3,0)</f>
        <v>SPRAY PHOS 620</v>
      </c>
      <c r="F1191" s="160">
        <f t="shared" si="124"/>
        <v>0</v>
      </c>
      <c r="G1191" s="176"/>
      <c r="H1191" s="176"/>
      <c r="I1191" s="176"/>
      <c r="J1191" s="176"/>
      <c r="K1191" s="176"/>
      <c r="L1191" s="176"/>
      <c r="M1191" s="176"/>
      <c r="N1191" s="176"/>
      <c r="O1191" s="176"/>
      <c r="P1191" s="176"/>
      <c r="Q1191" s="176"/>
      <c r="R1191" s="176"/>
      <c r="S1191" s="162">
        <f t="shared" si="127"/>
        <v>0</v>
      </c>
      <c r="T1191" s="167"/>
    </row>
    <row r="1192" customHeight="1" spans="2:20">
      <c r="B1192" s="166"/>
      <c r="C1192" s="164">
        <f t="shared" si="126"/>
        <v>9</v>
      </c>
      <c r="D1192" s="158" t="str">
        <f>VLOOKUP(C1192,DMSP!$A$1:$C$39,2,0)</f>
        <v>4.DƯỠNG RỄ</v>
      </c>
      <c r="E1192" s="159" t="str">
        <f>VLOOKUP(C1192,DMSP!$A$1:$C$39,3,0)</f>
        <v>CHITOSAN</v>
      </c>
      <c r="F1192" s="160">
        <f t="shared" si="124"/>
        <v>0</v>
      </c>
      <c r="G1192" s="176"/>
      <c r="H1192" s="176"/>
      <c r="I1192" s="176"/>
      <c r="J1192" s="176"/>
      <c r="K1192" s="176"/>
      <c r="L1192" s="176"/>
      <c r="M1192" s="176"/>
      <c r="N1192" s="176"/>
      <c r="O1192" s="176"/>
      <c r="P1192" s="176"/>
      <c r="Q1192" s="176"/>
      <c r="R1192" s="176"/>
      <c r="S1192" s="162">
        <f t="shared" si="127"/>
        <v>0</v>
      </c>
      <c r="T1192" s="167"/>
    </row>
    <row r="1193" customHeight="1" spans="2:20">
      <c r="B1193" s="166"/>
      <c r="C1193" s="164">
        <f t="shared" si="126"/>
        <v>10</v>
      </c>
      <c r="D1193" s="158" t="str">
        <f>VLOOKUP(C1193,DMSP!$A$1:$C$39,2,0)</f>
        <v>4.DƯỠNG RỄ</v>
      </c>
      <c r="E1193" s="159" t="str">
        <f>VLOOKUP(C1193,DMSP!$A$1:$C$39,3,0)</f>
        <v>ĐẠM CÁ</v>
      </c>
      <c r="F1193" s="160">
        <f t="shared" si="124"/>
        <v>0</v>
      </c>
      <c r="G1193" s="176"/>
      <c r="H1193" s="176"/>
      <c r="I1193" s="176"/>
      <c r="J1193" s="176"/>
      <c r="K1193" s="176"/>
      <c r="L1193" s="176"/>
      <c r="M1193" s="176"/>
      <c r="N1193" s="176"/>
      <c r="O1193" s="176"/>
      <c r="P1193" s="176"/>
      <c r="Q1193" s="176"/>
      <c r="R1193" s="176"/>
      <c r="S1193" s="162">
        <f t="shared" si="127"/>
        <v>0</v>
      </c>
      <c r="T1193" s="167"/>
    </row>
    <row r="1194" customHeight="1" spans="2:20">
      <c r="B1194" s="166"/>
      <c r="C1194" s="164">
        <f t="shared" si="126"/>
        <v>11</v>
      </c>
      <c r="D1194" s="158" t="str">
        <f>VLOOKUP(C1194,DMSP!$A$1:$C$39,2,0)</f>
        <v>4.DƯỠNG RỄ</v>
      </c>
      <c r="E1194" s="159" t="str">
        <f>VLOOKUP(C1194,DMSP!$A$1:$C$39,3,0)</f>
        <v>ĐẠM TÔM</v>
      </c>
      <c r="F1194" s="160">
        <f t="shared" si="124"/>
        <v>0</v>
      </c>
      <c r="G1194" s="176"/>
      <c r="H1194" s="176"/>
      <c r="I1194" s="176"/>
      <c r="J1194" s="176"/>
      <c r="K1194" s="176"/>
      <c r="L1194" s="176"/>
      <c r="M1194" s="176"/>
      <c r="N1194" s="176"/>
      <c r="O1194" s="176"/>
      <c r="P1194" s="176"/>
      <c r="Q1194" s="176"/>
      <c r="R1194" s="176"/>
      <c r="S1194" s="162">
        <f t="shared" si="127"/>
        <v>0</v>
      </c>
      <c r="T1194" s="167"/>
    </row>
    <row r="1195" customHeight="1" spans="2:20">
      <c r="B1195" s="166"/>
      <c r="C1195" s="164">
        <f t="shared" si="126"/>
        <v>12</v>
      </c>
      <c r="D1195" s="158" t="str">
        <f>VLOOKUP(C1195,DMSP!$A$1:$C$39,2,0)</f>
        <v>4.DƯỠNG RỄ</v>
      </c>
      <c r="E1195" s="159" t="str">
        <f>VLOOKUP(C1195,DMSP!$A$1:$C$39,3,0)</f>
        <v>SUPERMIC</v>
      </c>
      <c r="F1195" s="160">
        <f t="shared" si="124"/>
        <v>0</v>
      </c>
      <c r="G1195" s="176"/>
      <c r="H1195" s="176"/>
      <c r="I1195" s="176"/>
      <c r="J1195" s="176"/>
      <c r="K1195" s="176"/>
      <c r="L1195" s="176"/>
      <c r="M1195" s="176"/>
      <c r="N1195" s="176"/>
      <c r="O1195" s="176"/>
      <c r="P1195" s="176"/>
      <c r="Q1195" s="176"/>
      <c r="R1195" s="176"/>
      <c r="S1195" s="162">
        <f t="shared" si="127"/>
        <v>0</v>
      </c>
      <c r="T1195" s="167"/>
    </row>
    <row r="1196" customHeight="1" spans="2:20">
      <c r="B1196" s="166"/>
      <c r="C1196" s="164">
        <f t="shared" si="126"/>
        <v>13</v>
      </c>
      <c r="D1196" s="158" t="str">
        <f>VLOOKUP(C1196,DMSP!$A$1:$C$39,2,0)</f>
        <v>5.TRUYỀN THỐNG</v>
      </c>
      <c r="E1196" s="159" t="str">
        <f>VLOOKUP(C1196,DMSP!$A$1:$C$39,3,0)</f>
        <v>CABO</v>
      </c>
      <c r="F1196" s="160">
        <f t="shared" si="124"/>
        <v>0</v>
      </c>
      <c r="G1196" s="176"/>
      <c r="H1196" s="176"/>
      <c r="I1196" s="176"/>
      <c r="J1196" s="176"/>
      <c r="K1196" s="176"/>
      <c r="L1196" s="176"/>
      <c r="M1196" s="176"/>
      <c r="N1196" s="176"/>
      <c r="O1196" s="176"/>
      <c r="P1196" s="176"/>
      <c r="Q1196" s="176"/>
      <c r="R1196" s="176"/>
      <c r="S1196" s="162">
        <f t="shared" si="127"/>
        <v>0</v>
      </c>
      <c r="T1196" s="167"/>
    </row>
    <row r="1197" customHeight="1" spans="2:20">
      <c r="B1197" s="166"/>
      <c r="C1197" s="164">
        <f t="shared" si="126"/>
        <v>14</v>
      </c>
      <c r="D1197" s="158" t="str">
        <f>VLOOKUP(C1197,DMSP!$A$1:$C$39,2,0)</f>
        <v>5.TRUYỀN THỐNG</v>
      </c>
      <c r="E1197" s="159" t="str">
        <f>VLOOKUP(C1197,DMSP!$A$1:$C$39,3,0)</f>
        <v>F94</v>
      </c>
      <c r="F1197" s="160">
        <f t="shared" si="124"/>
        <v>0</v>
      </c>
      <c r="G1197" s="176"/>
      <c r="H1197" s="176"/>
      <c r="I1197" s="176"/>
      <c r="J1197" s="176"/>
      <c r="K1197" s="176"/>
      <c r="L1197" s="176"/>
      <c r="M1197" s="176"/>
      <c r="N1197" s="176"/>
      <c r="O1197" s="176"/>
      <c r="P1197" s="176"/>
      <c r="Q1197" s="176"/>
      <c r="R1197" s="176"/>
      <c r="S1197" s="162">
        <f t="shared" si="127"/>
        <v>0</v>
      </c>
      <c r="T1197" s="167"/>
    </row>
    <row r="1198" customHeight="1" spans="2:20">
      <c r="B1198" s="166"/>
      <c r="C1198" s="164">
        <f t="shared" si="126"/>
        <v>15</v>
      </c>
      <c r="D1198" s="158" t="str">
        <f>VLOOKUP(C1198,DMSP!$A$1:$C$39,2,0)</f>
        <v>5.TRUYỀN THỐNG</v>
      </c>
      <c r="E1198" s="159" t="str">
        <f>VLOOKUP(C1198,DMSP!$A$1:$C$39,3,0)</f>
        <v>F95</v>
      </c>
      <c r="F1198" s="160">
        <f t="shared" si="124"/>
        <v>0</v>
      </c>
      <c r="G1198" s="176"/>
      <c r="H1198" s="176"/>
      <c r="I1198" s="176"/>
      <c r="J1198" s="176"/>
      <c r="K1198" s="176"/>
      <c r="L1198" s="176"/>
      <c r="M1198" s="176"/>
      <c r="N1198" s="176"/>
      <c r="O1198" s="176"/>
      <c r="P1198" s="176"/>
      <c r="Q1198" s="176"/>
      <c r="R1198" s="176"/>
      <c r="S1198" s="162">
        <f t="shared" si="127"/>
        <v>0</v>
      </c>
      <c r="T1198" s="167"/>
    </row>
    <row r="1199" customHeight="1" spans="2:20">
      <c r="B1199" s="166"/>
      <c r="C1199" s="164">
        <f t="shared" si="126"/>
        <v>16</v>
      </c>
      <c r="D1199" s="158" t="str">
        <f>VLOOKUP(C1199,DMSP!$A$1:$C$39,2,0)</f>
        <v>5.TRUYỀN THỐNG</v>
      </c>
      <c r="E1199" s="159" t="str">
        <f>VLOOKUP(C1199,DMSP!$A$1:$C$39,3,0)</f>
        <v>THIOURE</v>
      </c>
      <c r="F1199" s="160">
        <f t="shared" si="124"/>
        <v>0</v>
      </c>
      <c r="G1199" s="176"/>
      <c r="H1199" s="176"/>
      <c r="I1199" s="176"/>
      <c r="J1199" s="176"/>
      <c r="K1199" s="176"/>
      <c r="L1199" s="176"/>
      <c r="M1199" s="176"/>
      <c r="N1199" s="176"/>
      <c r="O1199" s="176"/>
      <c r="P1199" s="176"/>
      <c r="Q1199" s="176"/>
      <c r="R1199" s="176"/>
      <c r="S1199" s="162">
        <f t="shared" si="127"/>
        <v>0</v>
      </c>
      <c r="T1199" s="167"/>
    </row>
    <row r="1200" customHeight="1" spans="2:20">
      <c r="B1200" s="166"/>
      <c r="C1200" s="164">
        <f t="shared" si="126"/>
        <v>17</v>
      </c>
      <c r="D1200" s="158" t="str">
        <f>VLOOKUP(C1200,DMSP!$A$1:$C$39,2,0)</f>
        <v>5.TRUYỀN THỐNG</v>
      </c>
      <c r="E1200" s="159" t="str">
        <f>VLOOKUP(C1200,DMSP!$A$1:$C$39,3,0)</f>
        <v>TOBA JUM</v>
      </c>
      <c r="F1200" s="160">
        <f t="shared" si="124"/>
        <v>0</v>
      </c>
      <c r="G1200" s="176"/>
      <c r="H1200" s="176"/>
      <c r="I1200" s="176"/>
      <c r="J1200" s="176"/>
      <c r="K1200" s="176"/>
      <c r="L1200" s="176"/>
      <c r="M1200" s="176"/>
      <c r="N1200" s="176"/>
      <c r="O1200" s="176"/>
      <c r="P1200" s="176"/>
      <c r="Q1200" s="176"/>
      <c r="R1200" s="176"/>
      <c r="S1200" s="162">
        <f t="shared" si="127"/>
        <v>0</v>
      </c>
      <c r="T1200" s="167"/>
    </row>
    <row r="1201" customHeight="1" spans="2:20">
      <c r="B1201" s="166"/>
      <c r="C1201" s="164">
        <f t="shared" si="126"/>
        <v>18</v>
      </c>
      <c r="D1201" s="158" t="str">
        <f>VLOOKUP(C1201,DMSP!$A$1:$C$39,2,0)</f>
        <v>5.TRUYỀN THỐNG</v>
      </c>
      <c r="E1201" s="159" t="str">
        <f>VLOOKUP(C1201,DMSP!$A$1:$C$39,3,0)</f>
        <v>TOBA NET</v>
      </c>
      <c r="F1201" s="160">
        <f t="shared" si="124"/>
        <v>0</v>
      </c>
      <c r="G1201" s="176"/>
      <c r="H1201" s="176"/>
      <c r="I1201" s="176"/>
      <c r="J1201" s="176"/>
      <c r="K1201" s="176"/>
      <c r="L1201" s="176"/>
      <c r="M1201" s="176"/>
      <c r="N1201" s="176"/>
      <c r="O1201" s="176"/>
      <c r="P1201" s="176"/>
      <c r="Q1201" s="176"/>
      <c r="R1201" s="176"/>
      <c r="S1201" s="162">
        <f t="shared" si="127"/>
        <v>0</v>
      </c>
      <c r="T1201" s="167"/>
    </row>
    <row r="1202" customHeight="1" spans="2:20">
      <c r="B1202" s="166"/>
      <c r="C1202" s="164">
        <f t="shared" si="126"/>
        <v>19</v>
      </c>
      <c r="D1202" s="158" t="str">
        <f>VLOOKUP(C1202,DMSP!$A$1:$C$39,2,0)</f>
        <v>6.BVTV</v>
      </c>
      <c r="E1202" s="159" t="str">
        <f>VLOOKUP(C1202,DMSP!$A$1:$C$39,3,0)</f>
        <v>ABAFAX 1.8</v>
      </c>
      <c r="F1202" s="160">
        <f t="shared" si="124"/>
        <v>0</v>
      </c>
      <c r="G1202" s="176"/>
      <c r="H1202" s="176"/>
      <c r="I1202" s="176"/>
      <c r="J1202" s="176"/>
      <c r="K1202" s="176"/>
      <c r="L1202" s="176"/>
      <c r="M1202" s="176"/>
      <c r="N1202" s="176"/>
      <c r="O1202" s="176"/>
      <c r="P1202" s="176"/>
      <c r="Q1202" s="176"/>
      <c r="R1202" s="176"/>
      <c r="S1202" s="162">
        <f t="shared" si="127"/>
        <v>0</v>
      </c>
      <c r="T1202" s="167"/>
    </row>
    <row r="1203" customHeight="1" spans="2:20">
      <c r="B1203" s="166"/>
      <c r="C1203" s="164">
        <f t="shared" si="126"/>
        <v>20</v>
      </c>
      <c r="D1203" s="158" t="str">
        <f>VLOOKUP(C1203,DMSP!$A$1:$C$39,2,0)</f>
        <v>6.BVTV</v>
      </c>
      <c r="E1203" s="159" t="str">
        <f>VLOOKUP(C1203,DMSP!$A$1:$C$39,3,0)</f>
        <v>ABAFAX 3.6</v>
      </c>
      <c r="F1203" s="160">
        <f t="shared" si="124"/>
        <v>0</v>
      </c>
      <c r="G1203" s="176"/>
      <c r="H1203" s="176"/>
      <c r="I1203" s="176"/>
      <c r="J1203" s="176"/>
      <c r="K1203" s="176"/>
      <c r="L1203" s="176"/>
      <c r="M1203" s="176"/>
      <c r="N1203" s="176"/>
      <c r="O1203" s="176"/>
      <c r="P1203" s="176"/>
      <c r="Q1203" s="176"/>
      <c r="R1203" s="176"/>
      <c r="S1203" s="162">
        <f t="shared" si="127"/>
        <v>0</v>
      </c>
      <c r="T1203" s="167"/>
    </row>
    <row r="1204" customHeight="1" spans="2:20">
      <c r="B1204" s="166"/>
      <c r="C1204" s="164">
        <f t="shared" si="126"/>
        <v>21</v>
      </c>
      <c r="D1204" s="158" t="str">
        <f>VLOOKUP(C1204,DMSP!$A$1:$C$39,2,0)</f>
        <v>6.BVTV</v>
      </c>
      <c r="E1204" s="159" t="str">
        <f>VLOOKUP(C1204,DMSP!$A$1:$C$39,3,0)</f>
        <v>AZET</v>
      </c>
      <c r="F1204" s="160">
        <f t="shared" si="124"/>
        <v>0</v>
      </c>
      <c r="G1204" s="176"/>
      <c r="H1204" s="176"/>
      <c r="I1204" s="176"/>
      <c r="J1204" s="176"/>
      <c r="K1204" s="176"/>
      <c r="L1204" s="176"/>
      <c r="M1204" s="176"/>
      <c r="N1204" s="176"/>
      <c r="O1204" s="176"/>
      <c r="P1204" s="176"/>
      <c r="Q1204" s="176"/>
      <c r="R1204" s="176"/>
      <c r="S1204" s="162">
        <f t="shared" si="127"/>
        <v>0</v>
      </c>
      <c r="T1204" s="167"/>
    </row>
    <row r="1205" customHeight="1" spans="2:20">
      <c r="B1205" s="166"/>
      <c r="C1205" s="164">
        <f t="shared" si="126"/>
        <v>22</v>
      </c>
      <c r="D1205" s="158" t="str">
        <f>VLOOKUP(C1205,DMSP!$A$1:$C$39,2,0)</f>
        <v>6.BVTV</v>
      </c>
      <c r="E1205" s="159" t="str">
        <f>VLOOKUP(C1205,DMSP!$A$1:$C$39,3,0)</f>
        <v>BACBA</v>
      </c>
      <c r="F1205" s="160">
        <f t="shared" si="124"/>
        <v>0</v>
      </c>
      <c r="G1205" s="176"/>
      <c r="H1205" s="176"/>
      <c r="I1205" s="176"/>
      <c r="J1205" s="176"/>
      <c r="K1205" s="176"/>
      <c r="L1205" s="176"/>
      <c r="M1205" s="176"/>
      <c r="N1205" s="176"/>
      <c r="O1205" s="176"/>
      <c r="P1205" s="176"/>
      <c r="Q1205" s="176"/>
      <c r="R1205" s="176"/>
      <c r="S1205" s="162">
        <f t="shared" si="127"/>
        <v>0</v>
      </c>
      <c r="T1205" s="167"/>
    </row>
    <row r="1206" customHeight="1" spans="2:20">
      <c r="B1206" s="166"/>
      <c r="C1206" s="164">
        <f t="shared" si="126"/>
        <v>23</v>
      </c>
      <c r="D1206" s="158" t="str">
        <f>VLOOKUP(C1206,DMSP!$A$1:$C$39,2,0)</f>
        <v>6.BVTV</v>
      </c>
      <c r="E1206" s="159" t="str">
        <f>VLOOKUP(C1206,DMSP!$A$1:$C$39,3,0)</f>
        <v>BIOROSAMIL</v>
      </c>
      <c r="F1206" s="160">
        <f t="shared" si="124"/>
        <v>0</v>
      </c>
      <c r="G1206" s="176"/>
      <c r="H1206" s="176"/>
      <c r="I1206" s="176"/>
      <c r="J1206" s="176"/>
      <c r="K1206" s="176"/>
      <c r="L1206" s="176"/>
      <c r="M1206" s="176"/>
      <c r="N1206" s="176"/>
      <c r="O1206" s="176"/>
      <c r="P1206" s="176"/>
      <c r="Q1206" s="176"/>
      <c r="R1206" s="176"/>
      <c r="S1206" s="162">
        <f t="shared" si="127"/>
        <v>0</v>
      </c>
      <c r="T1206" s="167"/>
    </row>
    <row r="1207" customHeight="1" spans="2:20">
      <c r="B1207" s="166"/>
      <c r="C1207" s="164">
        <f t="shared" si="126"/>
        <v>24</v>
      </c>
      <c r="D1207" s="158" t="str">
        <f>VLOOKUP(C1207,DMSP!$A$1:$C$39,2,0)</f>
        <v>6.BVTV</v>
      </c>
      <c r="E1207" s="159" t="str">
        <f>VLOOKUP(C1207,DMSP!$A$1:$C$39,3,0)</f>
        <v>COC 86</v>
      </c>
      <c r="F1207" s="160">
        <f t="shared" si="124"/>
        <v>0</v>
      </c>
      <c r="G1207" s="176"/>
      <c r="H1207" s="176"/>
      <c r="I1207" s="176"/>
      <c r="J1207" s="176"/>
      <c r="K1207" s="176"/>
      <c r="L1207" s="176"/>
      <c r="M1207" s="176"/>
      <c r="N1207" s="176"/>
      <c r="O1207" s="176"/>
      <c r="P1207" s="176"/>
      <c r="Q1207" s="176"/>
      <c r="R1207" s="176"/>
      <c r="S1207" s="162">
        <f t="shared" si="127"/>
        <v>0</v>
      </c>
      <c r="T1207" s="167"/>
    </row>
    <row r="1208" customHeight="1" spans="2:20">
      <c r="B1208" s="166"/>
      <c r="C1208" s="164">
        <f t="shared" si="126"/>
        <v>25</v>
      </c>
      <c r="D1208" s="158" t="str">
        <f>VLOOKUP(C1208,DMSP!$A$1:$C$39,2,0)</f>
        <v>6.BVTV</v>
      </c>
      <c r="E1208" s="159" t="str">
        <f>VLOOKUP(C1208,DMSP!$A$1:$C$39,3,0)</f>
        <v>HEXA 5</v>
      </c>
      <c r="F1208" s="160">
        <f t="shared" si="124"/>
        <v>0</v>
      </c>
      <c r="G1208" s="176"/>
      <c r="H1208" s="176"/>
      <c r="I1208" s="176"/>
      <c r="J1208" s="176"/>
      <c r="K1208" s="176"/>
      <c r="L1208" s="176"/>
      <c r="M1208" s="176"/>
      <c r="N1208" s="176"/>
      <c r="O1208" s="176"/>
      <c r="P1208" s="176"/>
      <c r="Q1208" s="176"/>
      <c r="R1208" s="176"/>
      <c r="S1208" s="162">
        <f t="shared" si="127"/>
        <v>0</v>
      </c>
      <c r="T1208" s="167"/>
    </row>
    <row r="1209" customHeight="1" spans="2:20">
      <c r="B1209" s="166"/>
      <c r="C1209" s="164">
        <f t="shared" si="126"/>
        <v>26</v>
      </c>
      <c r="D1209" s="158" t="str">
        <f>VLOOKUP(C1209,DMSP!$A$1:$C$39,2,0)</f>
        <v>6.BVTV</v>
      </c>
      <c r="E1209" s="159" t="str">
        <f>VLOOKUP(C1209,DMSP!$A$1:$C$39,3,0)</f>
        <v>TAMALA</v>
      </c>
      <c r="F1209" s="160">
        <f t="shared" si="124"/>
        <v>0</v>
      </c>
      <c r="G1209" s="176"/>
      <c r="H1209" s="176"/>
      <c r="I1209" s="176"/>
      <c r="J1209" s="176"/>
      <c r="K1209" s="176"/>
      <c r="L1209" s="176"/>
      <c r="M1209" s="176"/>
      <c r="N1209" s="176"/>
      <c r="O1209" s="176"/>
      <c r="P1209" s="176"/>
      <c r="Q1209" s="176"/>
      <c r="R1209" s="176"/>
      <c r="S1209" s="162">
        <f t="shared" si="127"/>
        <v>0</v>
      </c>
      <c r="T1209" s="167"/>
    </row>
    <row r="1210" customHeight="1" spans="2:20">
      <c r="B1210" s="166"/>
      <c r="C1210" s="164">
        <f t="shared" si="126"/>
        <v>27</v>
      </c>
      <c r="D1210" s="158" t="str">
        <f>VLOOKUP(C1210,DMSP!$A$1:$C$39,2,0)</f>
        <v>7.KHÁC</v>
      </c>
      <c r="E1210" s="159" t="str">
        <f>VLOOKUP(C1210,DMSP!$A$1:$C$39,3,0)</f>
        <v>KẼM VÀNG</v>
      </c>
      <c r="F1210" s="160">
        <f t="shared" si="124"/>
        <v>0</v>
      </c>
      <c r="G1210" s="176"/>
      <c r="H1210" s="176"/>
      <c r="I1210" s="176"/>
      <c r="J1210" s="176"/>
      <c r="K1210" s="176"/>
      <c r="L1210" s="176"/>
      <c r="M1210" s="176"/>
      <c r="N1210" s="176"/>
      <c r="O1210" s="176"/>
      <c r="P1210" s="176"/>
      <c r="Q1210" s="176"/>
      <c r="R1210" s="176"/>
      <c r="S1210" s="162">
        <f t="shared" si="127"/>
        <v>0</v>
      </c>
      <c r="T1210" s="167"/>
    </row>
    <row r="1211" customHeight="1" spans="2:20">
      <c r="B1211" s="166"/>
      <c r="C1211" s="164">
        <f t="shared" si="126"/>
        <v>28</v>
      </c>
      <c r="D1211" s="158" t="str">
        <f>VLOOKUP(C1211,DMSP!$A$1:$C$39,2,0)</f>
        <v>7.KHÁC</v>
      </c>
      <c r="E1211" s="159" t="str">
        <f>VLOOKUP(C1211,DMSP!$A$1:$C$39,3,0)</f>
        <v>KHÁC1</v>
      </c>
      <c r="F1211" s="160">
        <f t="shared" si="124"/>
        <v>0</v>
      </c>
      <c r="G1211" s="176"/>
      <c r="H1211" s="176"/>
      <c r="I1211" s="176"/>
      <c r="J1211" s="176"/>
      <c r="K1211" s="176"/>
      <c r="L1211" s="176"/>
      <c r="M1211" s="176"/>
      <c r="N1211" s="176"/>
      <c r="O1211" s="176"/>
      <c r="P1211" s="176"/>
      <c r="Q1211" s="176"/>
      <c r="R1211" s="176"/>
      <c r="S1211" s="162">
        <f t="shared" si="127"/>
        <v>0</v>
      </c>
      <c r="T1211" s="167"/>
    </row>
    <row r="1212" customHeight="1" spans="2:20">
      <c r="B1212" s="166"/>
      <c r="C1212" s="164">
        <f t="shared" si="126"/>
        <v>29</v>
      </c>
      <c r="D1212" s="158" t="str">
        <f>VLOOKUP(C1212,DMSP!$A$1:$C$39,2,0)</f>
        <v>7.KHÁC</v>
      </c>
      <c r="E1212" s="169" t="s">
        <v>13</v>
      </c>
      <c r="F1212" s="160">
        <f t="shared" si="124"/>
        <v>0</v>
      </c>
      <c r="G1212" s="176"/>
      <c r="H1212" s="176"/>
      <c r="I1212" s="176"/>
      <c r="J1212" s="176"/>
      <c r="K1212" s="176"/>
      <c r="L1212" s="176"/>
      <c r="M1212" s="176"/>
      <c r="N1212" s="176"/>
      <c r="O1212" s="176"/>
      <c r="P1212" s="176"/>
      <c r="Q1212" s="176"/>
      <c r="R1212" s="176"/>
      <c r="S1212" s="162">
        <f t="shared" si="127"/>
        <v>0</v>
      </c>
      <c r="T1212" s="167"/>
    </row>
    <row r="1213" customHeight="1" spans="2:20">
      <c r="B1213" s="166"/>
      <c r="C1213" s="164">
        <f t="shared" si="126"/>
        <v>30</v>
      </c>
      <c r="D1213" s="158" t="str">
        <f>VLOOKUP(C1213,DMSP!$A$1:$C$39,2,0)</f>
        <v>7.KHÁC</v>
      </c>
      <c r="E1213" s="159" t="str">
        <f>VLOOKUP(C1213,DMSP!$A$1:$C$39,3,0)</f>
        <v>RỬA RONG RÊU</v>
      </c>
      <c r="F1213" s="160">
        <f t="shared" si="124"/>
        <v>0</v>
      </c>
      <c r="G1213" s="176"/>
      <c r="H1213" s="176"/>
      <c r="I1213" s="176"/>
      <c r="J1213" s="176"/>
      <c r="K1213" s="176"/>
      <c r="L1213" s="176"/>
      <c r="M1213" s="176"/>
      <c r="N1213" s="176"/>
      <c r="O1213" s="176"/>
      <c r="P1213" s="176"/>
      <c r="Q1213" s="176"/>
      <c r="R1213" s="176"/>
      <c r="S1213" s="162">
        <f t="shared" si="127"/>
        <v>0</v>
      </c>
      <c r="T1213" s="167"/>
    </row>
    <row r="1214" customHeight="1" spans="2:20">
      <c r="B1214" s="166"/>
      <c r="C1214" s="164">
        <f t="shared" si="126"/>
        <v>31</v>
      </c>
      <c r="D1214" s="158" t="str">
        <f>VLOOKUP(C1214,DMSP!$A$1:$C$39,2,0)</f>
        <v>7.KHÁC</v>
      </c>
      <c r="E1214" s="159" t="str">
        <f>VLOOKUP(C1214,DMSP!$A$1:$C$39,3,0)</f>
        <v>TB BO</v>
      </c>
      <c r="F1214" s="160">
        <f t="shared" si="124"/>
        <v>0</v>
      </c>
      <c r="G1214" s="176"/>
      <c r="H1214" s="176"/>
      <c r="I1214" s="176"/>
      <c r="J1214" s="176"/>
      <c r="K1214" s="176"/>
      <c r="L1214" s="176"/>
      <c r="M1214" s="176"/>
      <c r="N1214" s="176"/>
      <c r="O1214" s="176"/>
      <c r="P1214" s="176"/>
      <c r="Q1214" s="176"/>
      <c r="R1214" s="176"/>
      <c r="S1214" s="162">
        <f t="shared" si="127"/>
        <v>0</v>
      </c>
      <c r="T1214" s="167"/>
    </row>
    <row r="1215" customHeight="1" spans="2:20">
      <c r="B1215" s="166"/>
      <c r="C1215" s="164">
        <f t="shared" si="126"/>
        <v>32</v>
      </c>
      <c r="D1215" s="158" t="str">
        <f>VLOOKUP(C1215,DMSP!$A$1:$C$39,2,0)</f>
        <v>7.KHÁC</v>
      </c>
      <c r="E1215" s="159" t="str">
        <f>VLOOKUP(C1215,DMSP!$A$1:$C$39,3,0)</f>
        <v>TB FRUIT</v>
      </c>
      <c r="F1215" s="160">
        <f t="shared" si="124"/>
        <v>0</v>
      </c>
      <c r="G1215" s="176"/>
      <c r="H1215" s="176"/>
      <c r="I1215" s="176"/>
      <c r="J1215" s="176"/>
      <c r="K1215" s="176"/>
      <c r="L1215" s="176"/>
      <c r="M1215" s="176"/>
      <c r="N1215" s="176"/>
      <c r="O1215" s="176"/>
      <c r="P1215" s="176"/>
      <c r="Q1215" s="176"/>
      <c r="R1215" s="176"/>
      <c r="S1215" s="162">
        <f t="shared" si="127"/>
        <v>0</v>
      </c>
      <c r="T1215" s="167"/>
    </row>
    <row r="1216" customHeight="1" spans="2:20">
      <c r="B1216" s="166"/>
      <c r="C1216" s="164">
        <f t="shared" si="126"/>
        <v>33</v>
      </c>
      <c r="D1216" s="158" t="str">
        <f>VLOOKUP(C1216,DMSP!$A$1:$C$39,2,0)</f>
        <v>7.KHÁC</v>
      </c>
      <c r="E1216" s="159" t="str">
        <f>VLOOKUP(C1216,DMSP!$A$1:$C$39,3,0)</f>
        <v>TB PHOS</v>
      </c>
      <c r="F1216" s="160">
        <f t="shared" si="124"/>
        <v>0</v>
      </c>
      <c r="G1216" s="176"/>
      <c r="H1216" s="176"/>
      <c r="I1216" s="176"/>
      <c r="J1216" s="176"/>
      <c r="K1216" s="176"/>
      <c r="L1216" s="176"/>
      <c r="M1216" s="176"/>
      <c r="N1216" s="176"/>
      <c r="O1216" s="176"/>
      <c r="P1216" s="176"/>
      <c r="Q1216" s="176"/>
      <c r="R1216" s="176"/>
      <c r="S1216" s="162">
        <f t="shared" si="127"/>
        <v>0</v>
      </c>
      <c r="T1216" s="167"/>
    </row>
    <row r="1217" customHeight="1" spans="2:20">
      <c r="B1217" s="166"/>
      <c r="C1217" s="164">
        <f t="shared" si="126"/>
        <v>34</v>
      </c>
      <c r="D1217" s="158" t="str">
        <f>VLOOKUP(C1217,DMSP!$A$1:$C$39,2,0)</f>
        <v>7.KHÁC</v>
      </c>
      <c r="E1217" s="159" t="str">
        <f>VLOOKUP(C1217,DMSP!$A$1:$C$39,3,0)</f>
        <v>TOBA BÁM DÍNH</v>
      </c>
      <c r="F1217" s="160">
        <f t="shared" si="124"/>
        <v>0</v>
      </c>
      <c r="G1217" s="176"/>
      <c r="H1217" s="176"/>
      <c r="I1217" s="176"/>
      <c r="J1217" s="176"/>
      <c r="K1217" s="176"/>
      <c r="L1217" s="176"/>
      <c r="M1217" s="176"/>
      <c r="N1217" s="176"/>
      <c r="O1217" s="176"/>
      <c r="P1217" s="176"/>
      <c r="Q1217" s="176"/>
      <c r="R1217" s="176"/>
      <c r="S1217" s="162">
        <f t="shared" si="127"/>
        <v>0</v>
      </c>
      <c r="T1217" s="167"/>
    </row>
    <row r="1218" customHeight="1" spans="2:20">
      <c r="B1218" s="166"/>
      <c r="C1218" s="164">
        <f t="shared" si="126"/>
        <v>35</v>
      </c>
      <c r="D1218" s="158" t="str">
        <f>VLOOKUP(C1218,DMSP!$A$1:$C$39,2,0)</f>
        <v>7.KHÁC</v>
      </c>
      <c r="E1218" s="159" t="str">
        <f>VLOOKUP(C1218,DMSP!$A$1:$C$39,3,0)</f>
        <v>VỌT HOA NHÃN</v>
      </c>
      <c r="F1218" s="160">
        <f t="shared" si="124"/>
        <v>0</v>
      </c>
      <c r="G1218" s="176"/>
      <c r="H1218" s="176"/>
      <c r="I1218" s="176"/>
      <c r="J1218" s="176"/>
      <c r="K1218" s="176"/>
      <c r="L1218" s="176"/>
      <c r="M1218" s="176"/>
      <c r="N1218" s="176"/>
      <c r="O1218" s="176"/>
      <c r="P1218" s="176"/>
      <c r="Q1218" s="176"/>
      <c r="R1218" s="176"/>
      <c r="S1218" s="162">
        <f t="shared" si="127"/>
        <v>0</v>
      </c>
      <c r="T1218" s="167"/>
    </row>
    <row r="1219" customHeight="1" spans="2:20">
      <c r="B1219" s="166"/>
      <c r="C1219" s="164">
        <f t="shared" si="126"/>
        <v>36</v>
      </c>
      <c r="D1219" s="158" t="str">
        <f>VLOOKUP(C1219,DMSP!$A$1:$C$39,2,0)</f>
        <v>7.KHÁC</v>
      </c>
      <c r="E1219" s="159" t="str">
        <f>VLOOKUP(C1219,DMSP!$A$1:$C$39,3,0)</f>
        <v>VỌT HOA XOÀI</v>
      </c>
      <c r="F1219" s="160">
        <f t="shared" si="124"/>
        <v>0</v>
      </c>
      <c r="G1219" s="176"/>
      <c r="H1219" s="176"/>
      <c r="I1219" s="176"/>
      <c r="J1219" s="176"/>
      <c r="K1219" s="176"/>
      <c r="L1219" s="176"/>
      <c r="M1219" s="176"/>
      <c r="N1219" s="176"/>
      <c r="O1219" s="176"/>
      <c r="P1219" s="176"/>
      <c r="Q1219" s="176"/>
      <c r="R1219" s="176"/>
      <c r="S1219" s="162">
        <f t="shared" si="127"/>
        <v>0</v>
      </c>
      <c r="T1219" s="167"/>
    </row>
    <row r="1220" customHeight="1" spans="2:20">
      <c r="B1220" s="166"/>
      <c r="C1220" s="164">
        <f t="shared" si="126"/>
        <v>37</v>
      </c>
      <c r="D1220" s="158" t="str">
        <f>VLOOKUP(C1220,DMSP!$A$1:$C$39,2,0)</f>
        <v>7.KHÁC</v>
      </c>
      <c r="E1220" s="159" t="str">
        <f>VLOOKUP(C1220,DMSP!$A$1:$C$39,3,0)</f>
        <v>VỌT HOA XOÀI</v>
      </c>
      <c r="F1220" s="160">
        <f t="shared" si="124"/>
        <v>0</v>
      </c>
      <c r="G1220" s="176"/>
      <c r="H1220" s="176"/>
      <c r="I1220" s="176"/>
      <c r="J1220" s="176"/>
      <c r="K1220" s="176"/>
      <c r="L1220" s="176"/>
      <c r="M1220" s="176"/>
      <c r="N1220" s="176"/>
      <c r="O1220" s="176"/>
      <c r="P1220" s="176"/>
      <c r="Q1220" s="176"/>
      <c r="R1220" s="176"/>
      <c r="S1220" s="162">
        <f t="shared" si="127"/>
        <v>0</v>
      </c>
      <c r="T1220" s="167"/>
    </row>
    <row r="1221" customHeight="1" spans="2:20">
      <c r="B1221" s="92"/>
      <c r="C1221" s="170">
        <f>B1184</f>
        <v>0</v>
      </c>
      <c r="D1221" s="171"/>
      <c r="E1221" s="172" t="str">
        <f>"TOTAL "&amp;B1184</f>
        <v>TOTAL </v>
      </c>
      <c r="F1221" s="173">
        <f t="shared" si="124"/>
        <v>0</v>
      </c>
      <c r="G1221" s="174">
        <f>SUM(G1184:G1220)</f>
        <v>0</v>
      </c>
      <c r="H1221" s="174">
        <f t="shared" ref="H1221:R1221" si="128">SUM(H1184:H1220)</f>
        <v>0</v>
      </c>
      <c r="I1221" s="174">
        <f t="shared" si="128"/>
        <v>0</v>
      </c>
      <c r="J1221" s="174">
        <f t="shared" si="128"/>
        <v>0</v>
      </c>
      <c r="K1221" s="174">
        <f t="shared" si="128"/>
        <v>0</v>
      </c>
      <c r="L1221" s="174">
        <f t="shared" si="128"/>
        <v>0</v>
      </c>
      <c r="M1221" s="174">
        <f t="shared" si="128"/>
        <v>0</v>
      </c>
      <c r="N1221" s="174">
        <f t="shared" si="128"/>
        <v>0</v>
      </c>
      <c r="O1221" s="174">
        <f t="shared" si="128"/>
        <v>0</v>
      </c>
      <c r="P1221" s="174">
        <f t="shared" si="128"/>
        <v>0</v>
      </c>
      <c r="Q1221" s="174">
        <f t="shared" si="128"/>
        <v>0</v>
      </c>
      <c r="R1221" s="174">
        <f t="shared" si="128"/>
        <v>0</v>
      </c>
      <c r="S1221" s="174">
        <f t="shared" si="127"/>
        <v>0</v>
      </c>
      <c r="T1221" s="175"/>
    </row>
    <row r="1222" customHeight="1" spans="2:20">
      <c r="B1222" s="156"/>
      <c r="C1222" s="157">
        <v>1</v>
      </c>
      <c r="D1222" s="158" t="str">
        <f>VLOOKUP(C1222,DMSP!$A$1:$C$39,2,0)</f>
        <v>1.TOBA XANH</v>
      </c>
      <c r="E1222" s="159" t="str">
        <f>VLOOKUP(C1222,DMSP!$A$1:$C$39,3,0)</f>
        <v>TOBA XANH</v>
      </c>
      <c r="F1222" s="160">
        <f t="shared" si="124"/>
        <v>0</v>
      </c>
      <c r="G1222" s="176"/>
      <c r="H1222" s="176"/>
      <c r="I1222" s="176"/>
      <c r="J1222" s="176"/>
      <c r="K1222" s="176"/>
      <c r="L1222" s="176"/>
      <c r="M1222" s="176"/>
      <c r="N1222" s="176"/>
      <c r="O1222" s="176"/>
      <c r="P1222" s="176"/>
      <c r="Q1222" s="176"/>
      <c r="R1222" s="176"/>
      <c r="S1222" s="162">
        <f t="shared" si="127"/>
        <v>0</v>
      </c>
      <c r="T1222" s="163">
        <f>S1259</f>
        <v>0</v>
      </c>
    </row>
    <row r="1223" customHeight="1" spans="2:20">
      <c r="B1223" s="166"/>
      <c r="C1223" s="164">
        <f t="shared" ref="C1223:C1258" si="129">C1222+1</f>
        <v>2</v>
      </c>
      <c r="D1223" s="158" t="str">
        <f>VLOOKUP(C1223,DMSP!$A$1:$C$39,2,0)</f>
        <v>2.HC</v>
      </c>
      <c r="E1223" s="159" t="str">
        <f>VLOOKUP(C1223,DMSP!$A$1:$C$39,3,0)</f>
        <v>HC BOOSTER</v>
      </c>
      <c r="F1223" s="160">
        <f t="shared" ref="F1223:F1286" si="130">S1223</f>
        <v>0</v>
      </c>
      <c r="G1223" s="176"/>
      <c r="H1223" s="176"/>
      <c r="I1223" s="176"/>
      <c r="J1223" s="176"/>
      <c r="K1223" s="176"/>
      <c r="L1223" s="176"/>
      <c r="M1223" s="176"/>
      <c r="N1223" s="176"/>
      <c r="O1223" s="176"/>
      <c r="P1223" s="176"/>
      <c r="Q1223" s="176"/>
      <c r="R1223" s="176"/>
      <c r="S1223" s="162">
        <f t="shared" ref="S1223:S1260" si="131">SUM(G1223:R1223)</f>
        <v>0</v>
      </c>
      <c r="T1223" s="167"/>
    </row>
    <row r="1224" customHeight="1" spans="2:20">
      <c r="B1224" s="166"/>
      <c r="C1224" s="164">
        <f t="shared" si="129"/>
        <v>3</v>
      </c>
      <c r="D1224" s="158" t="str">
        <f>VLOOKUP(C1224,DMSP!$A$1:$C$39,2,0)</f>
        <v>2.HC</v>
      </c>
      <c r="E1224" s="159" t="str">
        <f>VLOOKUP(C1224,DMSP!$A$1:$C$39,3,0)</f>
        <v>HC KING-ROOT</v>
      </c>
      <c r="F1224" s="160">
        <f t="shared" si="130"/>
        <v>0</v>
      </c>
      <c r="G1224" s="176"/>
      <c r="H1224" s="176"/>
      <c r="I1224" s="176"/>
      <c r="J1224" s="176"/>
      <c r="K1224" s="176"/>
      <c r="L1224" s="176"/>
      <c r="M1224" s="176"/>
      <c r="N1224" s="176"/>
      <c r="O1224" s="176"/>
      <c r="P1224" s="176"/>
      <c r="Q1224" s="176"/>
      <c r="R1224" s="176"/>
      <c r="S1224" s="162">
        <f t="shared" si="131"/>
        <v>0</v>
      </c>
      <c r="T1224" s="167"/>
    </row>
    <row r="1225" customHeight="1" spans="2:20">
      <c r="B1225" s="166"/>
      <c r="C1225" s="164">
        <f t="shared" si="129"/>
        <v>4</v>
      </c>
      <c r="D1225" s="158" t="str">
        <f>VLOOKUP(C1225,DMSP!$A$1:$C$39,2,0)</f>
        <v>2.HC</v>
      </c>
      <c r="E1225" s="159" t="str">
        <f>VLOOKUP(C1225,DMSP!$A$1:$C$39,3,0)</f>
        <v>HAPPY FARM</v>
      </c>
      <c r="F1225" s="160">
        <f t="shared" si="130"/>
        <v>0</v>
      </c>
      <c r="G1225" s="176"/>
      <c r="H1225" s="176"/>
      <c r="I1225" s="176"/>
      <c r="J1225" s="176"/>
      <c r="K1225" s="176"/>
      <c r="L1225" s="176"/>
      <c r="M1225" s="176"/>
      <c r="N1225" s="176"/>
      <c r="O1225" s="176"/>
      <c r="P1225" s="176"/>
      <c r="Q1225" s="176"/>
      <c r="R1225" s="176"/>
      <c r="S1225" s="162">
        <f t="shared" si="131"/>
        <v>0</v>
      </c>
      <c r="T1225" s="167"/>
    </row>
    <row r="1226" customHeight="1" spans="2:20">
      <c r="B1226" s="166"/>
      <c r="C1226" s="164">
        <f t="shared" si="129"/>
        <v>5</v>
      </c>
      <c r="D1226" s="158" t="str">
        <f>VLOOKUP(C1226,DMSP!$A$1:$C$39,2,0)</f>
        <v>2.HC</v>
      </c>
      <c r="E1226" s="159" t="str">
        <f>VLOOKUP(C1226,DMSP!$A$1:$C$39,3,0)</f>
        <v>WOW</v>
      </c>
      <c r="F1226" s="160">
        <f t="shared" si="130"/>
        <v>0</v>
      </c>
      <c r="G1226" s="176"/>
      <c r="H1226" s="176"/>
      <c r="I1226" s="176"/>
      <c r="J1226" s="176"/>
      <c r="K1226" s="176"/>
      <c r="L1226" s="176"/>
      <c r="M1226" s="176"/>
      <c r="N1226" s="176"/>
      <c r="O1226" s="176"/>
      <c r="P1226" s="176"/>
      <c r="Q1226" s="176"/>
      <c r="R1226" s="176"/>
      <c r="S1226" s="162">
        <f t="shared" si="131"/>
        <v>0</v>
      </c>
      <c r="T1226" s="167"/>
    </row>
    <row r="1227" customHeight="1" spans="2:20">
      <c r="B1227" s="166"/>
      <c r="C1227" s="164">
        <f t="shared" si="129"/>
        <v>6</v>
      </c>
      <c r="D1227" s="158" t="str">
        <f>VLOOKUP(C1227,DMSP!$A$1:$C$39,2,0)</f>
        <v>3.SPRAY </v>
      </c>
      <c r="E1227" s="159" t="str">
        <f>VLOOKUP(C1227,DMSP!$A$1:$C$39,3,0)</f>
        <v>KELPIT</v>
      </c>
      <c r="F1227" s="160">
        <f t="shared" si="130"/>
        <v>0</v>
      </c>
      <c r="G1227" s="176"/>
      <c r="H1227" s="176"/>
      <c r="I1227" s="176"/>
      <c r="J1227" s="176"/>
      <c r="K1227" s="176"/>
      <c r="L1227" s="176"/>
      <c r="M1227" s="176"/>
      <c r="N1227" s="176"/>
      <c r="O1227" s="176"/>
      <c r="P1227" s="176"/>
      <c r="Q1227" s="176"/>
      <c r="R1227" s="176"/>
      <c r="S1227" s="162">
        <f t="shared" si="131"/>
        <v>0</v>
      </c>
      <c r="T1227" s="167"/>
    </row>
    <row r="1228" customHeight="1" spans="2:20">
      <c r="B1228" s="166"/>
      <c r="C1228" s="164">
        <f t="shared" si="129"/>
        <v>7</v>
      </c>
      <c r="D1228" s="158" t="str">
        <f>VLOOKUP(C1228,DMSP!$A$1:$C$39,2,0)</f>
        <v>3.SPRAY </v>
      </c>
      <c r="E1228" s="159" t="str">
        <f>VLOOKUP(C1228,DMSP!$A$1:$C$39,3,0)</f>
        <v>SI-K</v>
      </c>
      <c r="F1228" s="160">
        <f t="shared" si="130"/>
        <v>0</v>
      </c>
      <c r="G1228" s="176"/>
      <c r="H1228" s="176"/>
      <c r="I1228" s="176"/>
      <c r="J1228" s="176"/>
      <c r="K1228" s="176"/>
      <c r="L1228" s="176"/>
      <c r="M1228" s="176"/>
      <c r="N1228" s="176"/>
      <c r="O1228" s="176"/>
      <c r="P1228" s="176"/>
      <c r="Q1228" s="176"/>
      <c r="R1228" s="176"/>
      <c r="S1228" s="162">
        <f t="shared" si="131"/>
        <v>0</v>
      </c>
      <c r="T1228" s="167"/>
    </row>
    <row r="1229" customHeight="1" spans="2:20">
      <c r="B1229" s="166"/>
      <c r="C1229" s="164">
        <f t="shared" si="129"/>
        <v>8</v>
      </c>
      <c r="D1229" s="158" t="str">
        <f>VLOOKUP(C1229,DMSP!$A$1:$C$39,2,0)</f>
        <v>3.SPRAY </v>
      </c>
      <c r="E1229" s="159" t="str">
        <f>VLOOKUP(C1229,DMSP!$A$1:$C$39,3,0)</f>
        <v>SPRAY PHOS 620</v>
      </c>
      <c r="F1229" s="160">
        <f t="shared" si="130"/>
        <v>0</v>
      </c>
      <c r="G1229" s="176"/>
      <c r="H1229" s="176"/>
      <c r="I1229" s="176"/>
      <c r="J1229" s="176"/>
      <c r="K1229" s="176"/>
      <c r="L1229" s="176"/>
      <c r="M1229" s="176"/>
      <c r="N1229" s="176"/>
      <c r="O1229" s="176"/>
      <c r="P1229" s="176"/>
      <c r="Q1229" s="176"/>
      <c r="R1229" s="176"/>
      <c r="S1229" s="162">
        <f t="shared" si="131"/>
        <v>0</v>
      </c>
      <c r="T1229" s="167"/>
    </row>
    <row r="1230" customHeight="1" spans="2:20">
      <c r="B1230" s="166"/>
      <c r="C1230" s="164">
        <f t="shared" si="129"/>
        <v>9</v>
      </c>
      <c r="D1230" s="158" t="str">
        <f>VLOOKUP(C1230,DMSP!$A$1:$C$39,2,0)</f>
        <v>4.DƯỠNG RỄ</v>
      </c>
      <c r="E1230" s="159" t="str">
        <f>VLOOKUP(C1230,DMSP!$A$1:$C$39,3,0)</f>
        <v>CHITOSAN</v>
      </c>
      <c r="F1230" s="160">
        <f t="shared" si="130"/>
        <v>0</v>
      </c>
      <c r="G1230" s="176"/>
      <c r="H1230" s="176"/>
      <c r="I1230" s="176"/>
      <c r="J1230" s="176"/>
      <c r="K1230" s="176"/>
      <c r="L1230" s="176"/>
      <c r="M1230" s="176"/>
      <c r="N1230" s="176"/>
      <c r="O1230" s="176"/>
      <c r="P1230" s="176"/>
      <c r="Q1230" s="176"/>
      <c r="R1230" s="176"/>
      <c r="S1230" s="162">
        <f t="shared" si="131"/>
        <v>0</v>
      </c>
      <c r="T1230" s="167"/>
    </row>
    <row r="1231" customHeight="1" spans="2:20">
      <c r="B1231" s="166"/>
      <c r="C1231" s="164">
        <f t="shared" si="129"/>
        <v>10</v>
      </c>
      <c r="D1231" s="158" t="str">
        <f>VLOOKUP(C1231,DMSP!$A$1:$C$39,2,0)</f>
        <v>4.DƯỠNG RỄ</v>
      </c>
      <c r="E1231" s="159" t="str">
        <f>VLOOKUP(C1231,DMSP!$A$1:$C$39,3,0)</f>
        <v>ĐẠM CÁ</v>
      </c>
      <c r="F1231" s="160">
        <f t="shared" si="130"/>
        <v>0</v>
      </c>
      <c r="G1231" s="176"/>
      <c r="H1231" s="176"/>
      <c r="I1231" s="176"/>
      <c r="J1231" s="176"/>
      <c r="K1231" s="176"/>
      <c r="L1231" s="176"/>
      <c r="M1231" s="176"/>
      <c r="N1231" s="176"/>
      <c r="O1231" s="176"/>
      <c r="P1231" s="176"/>
      <c r="Q1231" s="176"/>
      <c r="R1231" s="176"/>
      <c r="S1231" s="162">
        <f t="shared" si="131"/>
        <v>0</v>
      </c>
      <c r="T1231" s="167"/>
    </row>
    <row r="1232" customHeight="1" spans="2:20">
      <c r="B1232" s="166"/>
      <c r="C1232" s="164">
        <f t="shared" si="129"/>
        <v>11</v>
      </c>
      <c r="D1232" s="158" t="str">
        <f>VLOOKUP(C1232,DMSP!$A$1:$C$39,2,0)</f>
        <v>4.DƯỠNG RỄ</v>
      </c>
      <c r="E1232" s="159" t="str">
        <f>VLOOKUP(C1232,DMSP!$A$1:$C$39,3,0)</f>
        <v>ĐẠM TÔM</v>
      </c>
      <c r="F1232" s="160">
        <f t="shared" si="130"/>
        <v>0</v>
      </c>
      <c r="G1232" s="176"/>
      <c r="H1232" s="176"/>
      <c r="I1232" s="176"/>
      <c r="J1232" s="176"/>
      <c r="K1232" s="176"/>
      <c r="L1232" s="176"/>
      <c r="M1232" s="176"/>
      <c r="N1232" s="176"/>
      <c r="O1232" s="176"/>
      <c r="P1232" s="176"/>
      <c r="Q1232" s="176"/>
      <c r="R1232" s="176"/>
      <c r="S1232" s="162">
        <f t="shared" si="131"/>
        <v>0</v>
      </c>
      <c r="T1232" s="167"/>
    </row>
    <row r="1233" customHeight="1" spans="2:20">
      <c r="B1233" s="166"/>
      <c r="C1233" s="164">
        <f t="shared" si="129"/>
        <v>12</v>
      </c>
      <c r="D1233" s="158" t="str">
        <f>VLOOKUP(C1233,DMSP!$A$1:$C$39,2,0)</f>
        <v>4.DƯỠNG RỄ</v>
      </c>
      <c r="E1233" s="159" t="str">
        <f>VLOOKUP(C1233,DMSP!$A$1:$C$39,3,0)</f>
        <v>SUPERMIC</v>
      </c>
      <c r="F1233" s="160">
        <f t="shared" si="130"/>
        <v>0</v>
      </c>
      <c r="G1233" s="176"/>
      <c r="H1233" s="176"/>
      <c r="I1233" s="176"/>
      <c r="J1233" s="176"/>
      <c r="K1233" s="176"/>
      <c r="L1233" s="176"/>
      <c r="M1233" s="176"/>
      <c r="N1233" s="176"/>
      <c r="O1233" s="176"/>
      <c r="P1233" s="176"/>
      <c r="Q1233" s="176"/>
      <c r="R1233" s="176"/>
      <c r="S1233" s="162">
        <f t="shared" si="131"/>
        <v>0</v>
      </c>
      <c r="T1233" s="167"/>
    </row>
    <row r="1234" customHeight="1" spans="2:20">
      <c r="B1234" s="166"/>
      <c r="C1234" s="164">
        <f t="shared" si="129"/>
        <v>13</v>
      </c>
      <c r="D1234" s="158" t="str">
        <f>VLOOKUP(C1234,DMSP!$A$1:$C$39,2,0)</f>
        <v>5.TRUYỀN THỐNG</v>
      </c>
      <c r="E1234" s="159" t="str">
        <f>VLOOKUP(C1234,DMSP!$A$1:$C$39,3,0)</f>
        <v>CABO</v>
      </c>
      <c r="F1234" s="160">
        <f t="shared" si="130"/>
        <v>0</v>
      </c>
      <c r="G1234" s="176"/>
      <c r="H1234" s="176"/>
      <c r="I1234" s="176"/>
      <c r="J1234" s="176"/>
      <c r="K1234" s="176"/>
      <c r="L1234" s="176"/>
      <c r="M1234" s="176"/>
      <c r="N1234" s="176"/>
      <c r="O1234" s="176"/>
      <c r="P1234" s="176"/>
      <c r="Q1234" s="176"/>
      <c r="R1234" s="176"/>
      <c r="S1234" s="162">
        <f t="shared" si="131"/>
        <v>0</v>
      </c>
      <c r="T1234" s="167"/>
    </row>
    <row r="1235" customHeight="1" spans="2:20">
      <c r="B1235" s="166"/>
      <c r="C1235" s="164">
        <f t="shared" si="129"/>
        <v>14</v>
      </c>
      <c r="D1235" s="158" t="str">
        <f>VLOOKUP(C1235,DMSP!$A$1:$C$39,2,0)</f>
        <v>5.TRUYỀN THỐNG</v>
      </c>
      <c r="E1235" s="159" t="str">
        <f>VLOOKUP(C1235,DMSP!$A$1:$C$39,3,0)</f>
        <v>F94</v>
      </c>
      <c r="F1235" s="160">
        <f t="shared" si="130"/>
        <v>0</v>
      </c>
      <c r="G1235" s="176"/>
      <c r="H1235" s="176"/>
      <c r="I1235" s="176"/>
      <c r="J1235" s="176"/>
      <c r="K1235" s="176"/>
      <c r="L1235" s="176"/>
      <c r="M1235" s="176"/>
      <c r="N1235" s="176"/>
      <c r="O1235" s="176"/>
      <c r="P1235" s="176"/>
      <c r="Q1235" s="176"/>
      <c r="R1235" s="176"/>
      <c r="S1235" s="162">
        <f t="shared" si="131"/>
        <v>0</v>
      </c>
      <c r="T1235" s="167"/>
    </row>
    <row r="1236" customHeight="1" spans="2:20">
      <c r="B1236" s="166"/>
      <c r="C1236" s="164">
        <f t="shared" si="129"/>
        <v>15</v>
      </c>
      <c r="D1236" s="158" t="str">
        <f>VLOOKUP(C1236,DMSP!$A$1:$C$39,2,0)</f>
        <v>5.TRUYỀN THỐNG</v>
      </c>
      <c r="E1236" s="159" t="str">
        <f>VLOOKUP(C1236,DMSP!$A$1:$C$39,3,0)</f>
        <v>F95</v>
      </c>
      <c r="F1236" s="160">
        <f t="shared" si="130"/>
        <v>0</v>
      </c>
      <c r="G1236" s="176"/>
      <c r="H1236" s="176"/>
      <c r="I1236" s="176"/>
      <c r="J1236" s="176"/>
      <c r="K1236" s="176"/>
      <c r="L1236" s="176"/>
      <c r="M1236" s="176"/>
      <c r="N1236" s="176"/>
      <c r="O1236" s="176"/>
      <c r="P1236" s="176"/>
      <c r="Q1236" s="176"/>
      <c r="R1236" s="176"/>
      <c r="S1236" s="162">
        <f t="shared" si="131"/>
        <v>0</v>
      </c>
      <c r="T1236" s="167"/>
    </row>
    <row r="1237" customHeight="1" spans="2:20">
      <c r="B1237" s="166"/>
      <c r="C1237" s="164">
        <f t="shared" si="129"/>
        <v>16</v>
      </c>
      <c r="D1237" s="158" t="str">
        <f>VLOOKUP(C1237,DMSP!$A$1:$C$39,2,0)</f>
        <v>5.TRUYỀN THỐNG</v>
      </c>
      <c r="E1237" s="159" t="str">
        <f>VLOOKUP(C1237,DMSP!$A$1:$C$39,3,0)</f>
        <v>THIOURE</v>
      </c>
      <c r="F1237" s="160">
        <f t="shared" si="130"/>
        <v>0</v>
      </c>
      <c r="G1237" s="176"/>
      <c r="H1237" s="176"/>
      <c r="I1237" s="176"/>
      <c r="J1237" s="176"/>
      <c r="K1237" s="176"/>
      <c r="L1237" s="176"/>
      <c r="M1237" s="176"/>
      <c r="N1237" s="176"/>
      <c r="O1237" s="176"/>
      <c r="P1237" s="176"/>
      <c r="Q1237" s="176"/>
      <c r="R1237" s="176"/>
      <c r="S1237" s="162">
        <f t="shared" si="131"/>
        <v>0</v>
      </c>
      <c r="T1237" s="167"/>
    </row>
    <row r="1238" customHeight="1" spans="2:20">
      <c r="B1238" s="166"/>
      <c r="C1238" s="164">
        <f t="shared" si="129"/>
        <v>17</v>
      </c>
      <c r="D1238" s="158" t="str">
        <f>VLOOKUP(C1238,DMSP!$A$1:$C$39,2,0)</f>
        <v>5.TRUYỀN THỐNG</v>
      </c>
      <c r="E1238" s="159" t="str">
        <f>VLOOKUP(C1238,DMSP!$A$1:$C$39,3,0)</f>
        <v>TOBA JUM</v>
      </c>
      <c r="F1238" s="160">
        <f t="shared" si="130"/>
        <v>0</v>
      </c>
      <c r="G1238" s="176"/>
      <c r="H1238" s="176"/>
      <c r="I1238" s="176"/>
      <c r="J1238" s="176"/>
      <c r="K1238" s="176"/>
      <c r="L1238" s="176"/>
      <c r="M1238" s="176"/>
      <c r="N1238" s="176"/>
      <c r="O1238" s="176"/>
      <c r="P1238" s="176"/>
      <c r="Q1238" s="176"/>
      <c r="R1238" s="176"/>
      <c r="S1238" s="162">
        <f t="shared" si="131"/>
        <v>0</v>
      </c>
      <c r="T1238" s="167"/>
    </row>
    <row r="1239" customHeight="1" spans="2:20">
      <c r="B1239" s="166"/>
      <c r="C1239" s="164">
        <f t="shared" si="129"/>
        <v>18</v>
      </c>
      <c r="D1239" s="158" t="str">
        <f>VLOOKUP(C1239,DMSP!$A$1:$C$39,2,0)</f>
        <v>5.TRUYỀN THỐNG</v>
      </c>
      <c r="E1239" s="159" t="str">
        <f>VLOOKUP(C1239,DMSP!$A$1:$C$39,3,0)</f>
        <v>TOBA NET</v>
      </c>
      <c r="F1239" s="160">
        <f t="shared" si="130"/>
        <v>0</v>
      </c>
      <c r="G1239" s="176"/>
      <c r="H1239" s="176"/>
      <c r="I1239" s="176"/>
      <c r="J1239" s="176"/>
      <c r="K1239" s="176"/>
      <c r="L1239" s="176"/>
      <c r="M1239" s="176"/>
      <c r="N1239" s="176"/>
      <c r="O1239" s="176"/>
      <c r="P1239" s="176"/>
      <c r="Q1239" s="176"/>
      <c r="R1239" s="176"/>
      <c r="S1239" s="162">
        <f t="shared" si="131"/>
        <v>0</v>
      </c>
      <c r="T1239" s="167"/>
    </row>
    <row r="1240" customHeight="1" spans="2:20">
      <c r="B1240" s="166"/>
      <c r="C1240" s="164">
        <f t="shared" si="129"/>
        <v>19</v>
      </c>
      <c r="D1240" s="158" t="str">
        <f>VLOOKUP(C1240,DMSP!$A$1:$C$39,2,0)</f>
        <v>6.BVTV</v>
      </c>
      <c r="E1240" s="159" t="str">
        <f>VLOOKUP(C1240,DMSP!$A$1:$C$39,3,0)</f>
        <v>ABAFAX 1.8</v>
      </c>
      <c r="F1240" s="160">
        <f t="shared" si="130"/>
        <v>0</v>
      </c>
      <c r="G1240" s="176"/>
      <c r="H1240" s="176"/>
      <c r="I1240" s="176"/>
      <c r="J1240" s="176"/>
      <c r="K1240" s="176"/>
      <c r="L1240" s="176"/>
      <c r="M1240" s="176"/>
      <c r="N1240" s="176"/>
      <c r="O1240" s="176"/>
      <c r="P1240" s="176"/>
      <c r="Q1240" s="176"/>
      <c r="R1240" s="176"/>
      <c r="S1240" s="162">
        <f t="shared" si="131"/>
        <v>0</v>
      </c>
      <c r="T1240" s="167"/>
    </row>
    <row r="1241" customHeight="1" spans="2:20">
      <c r="B1241" s="166"/>
      <c r="C1241" s="164">
        <f t="shared" si="129"/>
        <v>20</v>
      </c>
      <c r="D1241" s="158" t="str">
        <f>VLOOKUP(C1241,DMSP!$A$1:$C$39,2,0)</f>
        <v>6.BVTV</v>
      </c>
      <c r="E1241" s="159" t="str">
        <f>VLOOKUP(C1241,DMSP!$A$1:$C$39,3,0)</f>
        <v>ABAFAX 3.6</v>
      </c>
      <c r="F1241" s="160">
        <f t="shared" si="130"/>
        <v>0</v>
      </c>
      <c r="G1241" s="176"/>
      <c r="H1241" s="176"/>
      <c r="I1241" s="176"/>
      <c r="J1241" s="176"/>
      <c r="K1241" s="176"/>
      <c r="L1241" s="176"/>
      <c r="M1241" s="176"/>
      <c r="N1241" s="176"/>
      <c r="O1241" s="176"/>
      <c r="P1241" s="176"/>
      <c r="Q1241" s="176"/>
      <c r="R1241" s="176"/>
      <c r="S1241" s="162">
        <f t="shared" si="131"/>
        <v>0</v>
      </c>
      <c r="T1241" s="167"/>
    </row>
    <row r="1242" customHeight="1" spans="2:20">
      <c r="B1242" s="166"/>
      <c r="C1242" s="164">
        <f t="shared" si="129"/>
        <v>21</v>
      </c>
      <c r="D1242" s="158" t="str">
        <f>VLOOKUP(C1242,DMSP!$A$1:$C$39,2,0)</f>
        <v>6.BVTV</v>
      </c>
      <c r="E1242" s="159" t="str">
        <f>VLOOKUP(C1242,DMSP!$A$1:$C$39,3,0)</f>
        <v>AZET</v>
      </c>
      <c r="F1242" s="160">
        <f t="shared" si="130"/>
        <v>0</v>
      </c>
      <c r="G1242" s="176"/>
      <c r="H1242" s="176"/>
      <c r="I1242" s="176"/>
      <c r="J1242" s="176"/>
      <c r="K1242" s="176"/>
      <c r="L1242" s="176"/>
      <c r="M1242" s="176"/>
      <c r="N1242" s="176"/>
      <c r="O1242" s="176"/>
      <c r="P1242" s="176"/>
      <c r="Q1242" s="176"/>
      <c r="R1242" s="176"/>
      <c r="S1242" s="162">
        <f t="shared" si="131"/>
        <v>0</v>
      </c>
      <c r="T1242" s="167"/>
    </row>
    <row r="1243" customHeight="1" spans="2:20">
      <c r="B1243" s="166"/>
      <c r="C1243" s="164">
        <f t="shared" si="129"/>
        <v>22</v>
      </c>
      <c r="D1243" s="158" t="str">
        <f>VLOOKUP(C1243,DMSP!$A$1:$C$39,2,0)</f>
        <v>6.BVTV</v>
      </c>
      <c r="E1243" s="159" t="str">
        <f>VLOOKUP(C1243,DMSP!$A$1:$C$39,3,0)</f>
        <v>BACBA</v>
      </c>
      <c r="F1243" s="160">
        <f t="shared" si="130"/>
        <v>0</v>
      </c>
      <c r="G1243" s="176"/>
      <c r="H1243" s="176"/>
      <c r="I1243" s="176"/>
      <c r="J1243" s="176"/>
      <c r="K1243" s="176"/>
      <c r="L1243" s="176"/>
      <c r="M1243" s="176"/>
      <c r="N1243" s="176"/>
      <c r="O1243" s="176"/>
      <c r="P1243" s="176"/>
      <c r="Q1243" s="176"/>
      <c r="R1243" s="176"/>
      <c r="S1243" s="162">
        <f t="shared" si="131"/>
        <v>0</v>
      </c>
      <c r="T1243" s="167"/>
    </row>
    <row r="1244" customHeight="1" spans="2:20">
      <c r="B1244" s="166"/>
      <c r="C1244" s="164">
        <f t="shared" si="129"/>
        <v>23</v>
      </c>
      <c r="D1244" s="158" t="str">
        <f>VLOOKUP(C1244,DMSP!$A$1:$C$39,2,0)</f>
        <v>6.BVTV</v>
      </c>
      <c r="E1244" s="159" t="str">
        <f>VLOOKUP(C1244,DMSP!$A$1:$C$39,3,0)</f>
        <v>BIOROSAMIL</v>
      </c>
      <c r="F1244" s="160">
        <f t="shared" si="130"/>
        <v>0</v>
      </c>
      <c r="G1244" s="176"/>
      <c r="H1244" s="176"/>
      <c r="I1244" s="176"/>
      <c r="J1244" s="176"/>
      <c r="K1244" s="176"/>
      <c r="L1244" s="176"/>
      <c r="M1244" s="176"/>
      <c r="N1244" s="176"/>
      <c r="O1244" s="176"/>
      <c r="P1244" s="176"/>
      <c r="Q1244" s="176"/>
      <c r="R1244" s="176"/>
      <c r="S1244" s="162">
        <f t="shared" si="131"/>
        <v>0</v>
      </c>
      <c r="T1244" s="167"/>
    </row>
    <row r="1245" customHeight="1" spans="2:20">
      <c r="B1245" s="166"/>
      <c r="C1245" s="164">
        <f t="shared" si="129"/>
        <v>24</v>
      </c>
      <c r="D1245" s="158" t="str">
        <f>VLOOKUP(C1245,DMSP!$A$1:$C$39,2,0)</f>
        <v>6.BVTV</v>
      </c>
      <c r="E1245" s="159" t="str">
        <f>VLOOKUP(C1245,DMSP!$A$1:$C$39,3,0)</f>
        <v>COC 86</v>
      </c>
      <c r="F1245" s="160">
        <f t="shared" si="130"/>
        <v>0</v>
      </c>
      <c r="G1245" s="176"/>
      <c r="H1245" s="176"/>
      <c r="I1245" s="176"/>
      <c r="J1245" s="176"/>
      <c r="K1245" s="176"/>
      <c r="L1245" s="176"/>
      <c r="M1245" s="176"/>
      <c r="N1245" s="176"/>
      <c r="O1245" s="176"/>
      <c r="P1245" s="176"/>
      <c r="Q1245" s="176"/>
      <c r="R1245" s="176"/>
      <c r="S1245" s="162">
        <f t="shared" si="131"/>
        <v>0</v>
      </c>
      <c r="T1245" s="167"/>
    </row>
    <row r="1246" customHeight="1" spans="2:20">
      <c r="B1246" s="166"/>
      <c r="C1246" s="164">
        <f t="shared" si="129"/>
        <v>25</v>
      </c>
      <c r="D1246" s="158" t="str">
        <f>VLOOKUP(C1246,DMSP!$A$1:$C$39,2,0)</f>
        <v>6.BVTV</v>
      </c>
      <c r="E1246" s="159" t="str">
        <f>VLOOKUP(C1246,DMSP!$A$1:$C$39,3,0)</f>
        <v>HEXA 5</v>
      </c>
      <c r="F1246" s="160">
        <f t="shared" si="130"/>
        <v>0</v>
      </c>
      <c r="G1246" s="176"/>
      <c r="H1246" s="176"/>
      <c r="I1246" s="176"/>
      <c r="J1246" s="176"/>
      <c r="K1246" s="176"/>
      <c r="L1246" s="176"/>
      <c r="M1246" s="176"/>
      <c r="N1246" s="176"/>
      <c r="O1246" s="176"/>
      <c r="P1246" s="176"/>
      <c r="Q1246" s="176"/>
      <c r="R1246" s="176"/>
      <c r="S1246" s="162">
        <f t="shared" si="131"/>
        <v>0</v>
      </c>
      <c r="T1246" s="167"/>
    </row>
    <row r="1247" customHeight="1" spans="2:20">
      <c r="B1247" s="166"/>
      <c r="C1247" s="164">
        <f t="shared" si="129"/>
        <v>26</v>
      </c>
      <c r="D1247" s="158" t="str">
        <f>VLOOKUP(C1247,DMSP!$A$1:$C$39,2,0)</f>
        <v>6.BVTV</v>
      </c>
      <c r="E1247" s="159" t="str">
        <f>VLOOKUP(C1247,DMSP!$A$1:$C$39,3,0)</f>
        <v>TAMALA</v>
      </c>
      <c r="F1247" s="160">
        <f t="shared" si="130"/>
        <v>0</v>
      </c>
      <c r="G1247" s="176"/>
      <c r="H1247" s="176"/>
      <c r="I1247" s="176"/>
      <c r="J1247" s="176"/>
      <c r="K1247" s="176"/>
      <c r="L1247" s="176"/>
      <c r="M1247" s="176"/>
      <c r="N1247" s="176"/>
      <c r="O1247" s="176"/>
      <c r="P1247" s="176"/>
      <c r="Q1247" s="176"/>
      <c r="R1247" s="176"/>
      <c r="S1247" s="162">
        <f t="shared" si="131"/>
        <v>0</v>
      </c>
      <c r="T1247" s="167"/>
    </row>
    <row r="1248" customHeight="1" spans="2:20">
      <c r="B1248" s="166"/>
      <c r="C1248" s="164">
        <f t="shared" si="129"/>
        <v>27</v>
      </c>
      <c r="D1248" s="158" t="str">
        <f>VLOOKUP(C1248,DMSP!$A$1:$C$39,2,0)</f>
        <v>7.KHÁC</v>
      </c>
      <c r="E1248" s="159" t="str">
        <f>VLOOKUP(C1248,DMSP!$A$1:$C$39,3,0)</f>
        <v>KẼM VÀNG</v>
      </c>
      <c r="F1248" s="160">
        <f t="shared" si="130"/>
        <v>0</v>
      </c>
      <c r="G1248" s="176"/>
      <c r="H1248" s="176"/>
      <c r="I1248" s="176"/>
      <c r="J1248" s="176"/>
      <c r="K1248" s="176"/>
      <c r="L1248" s="176"/>
      <c r="M1248" s="176"/>
      <c r="N1248" s="176"/>
      <c r="O1248" s="176"/>
      <c r="P1248" s="176"/>
      <c r="Q1248" s="176"/>
      <c r="R1248" s="176"/>
      <c r="S1248" s="162">
        <f t="shared" si="131"/>
        <v>0</v>
      </c>
      <c r="T1248" s="167"/>
    </row>
    <row r="1249" customHeight="1" spans="2:20">
      <c r="B1249" s="166"/>
      <c r="C1249" s="164">
        <f t="shared" si="129"/>
        <v>28</v>
      </c>
      <c r="D1249" s="158" t="str">
        <f>VLOOKUP(C1249,DMSP!$A$1:$C$39,2,0)</f>
        <v>7.KHÁC</v>
      </c>
      <c r="E1249" s="159" t="str">
        <f>VLOOKUP(C1249,DMSP!$A$1:$C$39,3,0)</f>
        <v>KHÁC1</v>
      </c>
      <c r="F1249" s="160">
        <f t="shared" si="130"/>
        <v>0</v>
      </c>
      <c r="G1249" s="176"/>
      <c r="H1249" s="176"/>
      <c r="I1249" s="176"/>
      <c r="J1249" s="176"/>
      <c r="K1249" s="176"/>
      <c r="L1249" s="176"/>
      <c r="M1249" s="176"/>
      <c r="N1249" s="176"/>
      <c r="O1249" s="176"/>
      <c r="P1249" s="176"/>
      <c r="Q1249" s="176"/>
      <c r="R1249" s="176"/>
      <c r="S1249" s="162">
        <f t="shared" si="131"/>
        <v>0</v>
      </c>
      <c r="T1249" s="167"/>
    </row>
    <row r="1250" customHeight="1" spans="2:20">
      <c r="B1250" s="166"/>
      <c r="C1250" s="164">
        <f t="shared" si="129"/>
        <v>29</v>
      </c>
      <c r="D1250" s="158" t="str">
        <f>VLOOKUP(C1250,DMSP!$A$1:$C$39,2,0)</f>
        <v>7.KHÁC</v>
      </c>
      <c r="E1250" s="169" t="s">
        <v>13</v>
      </c>
      <c r="F1250" s="160">
        <f t="shared" si="130"/>
        <v>0</v>
      </c>
      <c r="G1250" s="176"/>
      <c r="H1250" s="176"/>
      <c r="I1250" s="176"/>
      <c r="J1250" s="176"/>
      <c r="K1250" s="176"/>
      <c r="L1250" s="176"/>
      <c r="M1250" s="176"/>
      <c r="N1250" s="176"/>
      <c r="O1250" s="176"/>
      <c r="P1250" s="176"/>
      <c r="Q1250" s="176"/>
      <c r="R1250" s="176"/>
      <c r="S1250" s="162">
        <f t="shared" si="131"/>
        <v>0</v>
      </c>
      <c r="T1250" s="167"/>
    </row>
    <row r="1251" customHeight="1" spans="2:20">
      <c r="B1251" s="166"/>
      <c r="C1251" s="164">
        <f t="shared" si="129"/>
        <v>30</v>
      </c>
      <c r="D1251" s="158" t="str">
        <f>VLOOKUP(C1251,DMSP!$A$1:$C$39,2,0)</f>
        <v>7.KHÁC</v>
      </c>
      <c r="E1251" s="159" t="str">
        <f>VLOOKUP(C1251,DMSP!$A$1:$C$39,3,0)</f>
        <v>RỬA RONG RÊU</v>
      </c>
      <c r="F1251" s="160">
        <f t="shared" si="130"/>
        <v>0</v>
      </c>
      <c r="G1251" s="176"/>
      <c r="H1251" s="176"/>
      <c r="I1251" s="176"/>
      <c r="J1251" s="176"/>
      <c r="K1251" s="176"/>
      <c r="L1251" s="176"/>
      <c r="M1251" s="176"/>
      <c r="N1251" s="176"/>
      <c r="O1251" s="176"/>
      <c r="P1251" s="176"/>
      <c r="Q1251" s="176"/>
      <c r="R1251" s="176"/>
      <c r="S1251" s="162">
        <f t="shared" si="131"/>
        <v>0</v>
      </c>
      <c r="T1251" s="167"/>
    </row>
    <row r="1252" customHeight="1" spans="2:20">
      <c r="B1252" s="166"/>
      <c r="C1252" s="164">
        <f t="shared" si="129"/>
        <v>31</v>
      </c>
      <c r="D1252" s="158" t="str">
        <f>VLOOKUP(C1252,DMSP!$A$1:$C$39,2,0)</f>
        <v>7.KHÁC</v>
      </c>
      <c r="E1252" s="159" t="str">
        <f>VLOOKUP(C1252,DMSP!$A$1:$C$39,3,0)</f>
        <v>TB BO</v>
      </c>
      <c r="F1252" s="160">
        <f t="shared" si="130"/>
        <v>0</v>
      </c>
      <c r="G1252" s="176"/>
      <c r="H1252" s="176"/>
      <c r="I1252" s="176"/>
      <c r="J1252" s="176"/>
      <c r="K1252" s="176"/>
      <c r="L1252" s="176"/>
      <c r="M1252" s="176"/>
      <c r="N1252" s="176"/>
      <c r="O1252" s="176"/>
      <c r="P1252" s="176"/>
      <c r="Q1252" s="176"/>
      <c r="R1252" s="176"/>
      <c r="S1252" s="162">
        <f t="shared" si="131"/>
        <v>0</v>
      </c>
      <c r="T1252" s="167"/>
    </row>
    <row r="1253" customHeight="1" spans="2:20">
      <c r="B1253" s="166"/>
      <c r="C1253" s="164">
        <f t="shared" si="129"/>
        <v>32</v>
      </c>
      <c r="D1253" s="158" t="str">
        <f>VLOOKUP(C1253,DMSP!$A$1:$C$39,2,0)</f>
        <v>7.KHÁC</v>
      </c>
      <c r="E1253" s="159" t="str">
        <f>VLOOKUP(C1253,DMSP!$A$1:$C$39,3,0)</f>
        <v>TB FRUIT</v>
      </c>
      <c r="F1253" s="160">
        <f t="shared" si="130"/>
        <v>0</v>
      </c>
      <c r="G1253" s="176"/>
      <c r="H1253" s="176"/>
      <c r="I1253" s="176"/>
      <c r="J1253" s="176"/>
      <c r="K1253" s="176"/>
      <c r="L1253" s="176"/>
      <c r="M1253" s="176"/>
      <c r="N1253" s="176"/>
      <c r="O1253" s="176"/>
      <c r="P1253" s="176"/>
      <c r="Q1253" s="176"/>
      <c r="R1253" s="176"/>
      <c r="S1253" s="162">
        <f t="shared" si="131"/>
        <v>0</v>
      </c>
      <c r="T1253" s="167"/>
    </row>
    <row r="1254" customHeight="1" spans="2:20">
      <c r="B1254" s="166"/>
      <c r="C1254" s="164">
        <f t="shared" si="129"/>
        <v>33</v>
      </c>
      <c r="D1254" s="158" t="str">
        <f>VLOOKUP(C1254,DMSP!$A$1:$C$39,2,0)</f>
        <v>7.KHÁC</v>
      </c>
      <c r="E1254" s="159" t="str">
        <f>VLOOKUP(C1254,DMSP!$A$1:$C$39,3,0)</f>
        <v>TB PHOS</v>
      </c>
      <c r="F1254" s="160">
        <f t="shared" si="130"/>
        <v>0</v>
      </c>
      <c r="G1254" s="176"/>
      <c r="H1254" s="176"/>
      <c r="I1254" s="176"/>
      <c r="J1254" s="176"/>
      <c r="K1254" s="176"/>
      <c r="L1254" s="176"/>
      <c r="M1254" s="176"/>
      <c r="N1254" s="176"/>
      <c r="O1254" s="176"/>
      <c r="P1254" s="176"/>
      <c r="Q1254" s="176"/>
      <c r="R1254" s="176"/>
      <c r="S1254" s="162">
        <f t="shared" si="131"/>
        <v>0</v>
      </c>
      <c r="T1254" s="167"/>
    </row>
    <row r="1255" customHeight="1" spans="2:20">
      <c r="B1255" s="166"/>
      <c r="C1255" s="164">
        <f t="shared" si="129"/>
        <v>34</v>
      </c>
      <c r="D1255" s="158" t="str">
        <f>VLOOKUP(C1255,DMSP!$A$1:$C$39,2,0)</f>
        <v>7.KHÁC</v>
      </c>
      <c r="E1255" s="159" t="str">
        <f>VLOOKUP(C1255,DMSP!$A$1:$C$39,3,0)</f>
        <v>TOBA BÁM DÍNH</v>
      </c>
      <c r="F1255" s="160">
        <f t="shared" si="130"/>
        <v>0</v>
      </c>
      <c r="G1255" s="176"/>
      <c r="H1255" s="176"/>
      <c r="I1255" s="176"/>
      <c r="J1255" s="176"/>
      <c r="K1255" s="176"/>
      <c r="L1255" s="176"/>
      <c r="M1255" s="176"/>
      <c r="N1255" s="176"/>
      <c r="O1255" s="176"/>
      <c r="P1255" s="176"/>
      <c r="Q1255" s="176"/>
      <c r="R1255" s="176"/>
      <c r="S1255" s="162">
        <f t="shared" si="131"/>
        <v>0</v>
      </c>
      <c r="T1255" s="167"/>
    </row>
    <row r="1256" customHeight="1" spans="2:20">
      <c r="B1256" s="166"/>
      <c r="C1256" s="164">
        <f t="shared" si="129"/>
        <v>35</v>
      </c>
      <c r="D1256" s="158" t="str">
        <f>VLOOKUP(C1256,DMSP!$A$1:$C$39,2,0)</f>
        <v>7.KHÁC</v>
      </c>
      <c r="E1256" s="159" t="str">
        <f>VLOOKUP(C1256,DMSP!$A$1:$C$39,3,0)</f>
        <v>VỌT HOA NHÃN</v>
      </c>
      <c r="F1256" s="160">
        <f t="shared" si="130"/>
        <v>0</v>
      </c>
      <c r="G1256" s="176"/>
      <c r="H1256" s="176"/>
      <c r="I1256" s="176"/>
      <c r="J1256" s="176"/>
      <c r="K1256" s="176"/>
      <c r="L1256" s="176"/>
      <c r="M1256" s="176"/>
      <c r="N1256" s="176"/>
      <c r="O1256" s="176"/>
      <c r="P1256" s="176"/>
      <c r="Q1256" s="176"/>
      <c r="R1256" s="176"/>
      <c r="S1256" s="162">
        <f t="shared" si="131"/>
        <v>0</v>
      </c>
      <c r="T1256" s="167"/>
    </row>
    <row r="1257" customHeight="1" spans="2:20">
      <c r="B1257" s="166"/>
      <c r="C1257" s="164">
        <f t="shared" si="129"/>
        <v>36</v>
      </c>
      <c r="D1257" s="158" t="str">
        <f>VLOOKUP(C1257,DMSP!$A$1:$C$39,2,0)</f>
        <v>7.KHÁC</v>
      </c>
      <c r="E1257" s="159" t="str">
        <f>VLOOKUP(C1257,DMSP!$A$1:$C$39,3,0)</f>
        <v>VỌT HOA XOÀI</v>
      </c>
      <c r="F1257" s="160">
        <f t="shared" si="130"/>
        <v>0</v>
      </c>
      <c r="G1257" s="176"/>
      <c r="H1257" s="176"/>
      <c r="I1257" s="176"/>
      <c r="J1257" s="176"/>
      <c r="K1257" s="176"/>
      <c r="L1257" s="176"/>
      <c r="M1257" s="176"/>
      <c r="N1257" s="176"/>
      <c r="O1257" s="176"/>
      <c r="P1257" s="176"/>
      <c r="Q1257" s="176"/>
      <c r="R1257" s="176"/>
      <c r="S1257" s="162">
        <f t="shared" si="131"/>
        <v>0</v>
      </c>
      <c r="T1257" s="167"/>
    </row>
    <row r="1258" customHeight="1" spans="2:20">
      <c r="B1258" s="166"/>
      <c r="C1258" s="164">
        <f t="shared" si="129"/>
        <v>37</v>
      </c>
      <c r="D1258" s="158" t="str">
        <f>VLOOKUP(C1258,DMSP!$A$1:$C$39,2,0)</f>
        <v>7.KHÁC</v>
      </c>
      <c r="E1258" s="159" t="str">
        <f>VLOOKUP(C1258,DMSP!$A$1:$C$39,3,0)</f>
        <v>VỌT HOA XOÀI</v>
      </c>
      <c r="F1258" s="160">
        <f t="shared" si="130"/>
        <v>0</v>
      </c>
      <c r="G1258" s="176"/>
      <c r="H1258" s="176"/>
      <c r="I1258" s="176"/>
      <c r="J1258" s="176"/>
      <c r="K1258" s="176"/>
      <c r="L1258" s="176"/>
      <c r="M1258" s="176"/>
      <c r="N1258" s="176"/>
      <c r="O1258" s="176"/>
      <c r="P1258" s="176"/>
      <c r="Q1258" s="176"/>
      <c r="R1258" s="176"/>
      <c r="S1258" s="162">
        <f t="shared" si="131"/>
        <v>0</v>
      </c>
      <c r="T1258" s="167"/>
    </row>
    <row r="1259" customHeight="1" spans="2:20">
      <c r="B1259" s="92"/>
      <c r="C1259" s="170">
        <f>B1222</f>
        <v>0</v>
      </c>
      <c r="D1259" s="171"/>
      <c r="E1259" s="172" t="str">
        <f>"TOTAL "&amp;B1222</f>
        <v>TOTAL </v>
      </c>
      <c r="F1259" s="173">
        <f t="shared" si="130"/>
        <v>0</v>
      </c>
      <c r="G1259" s="174">
        <f>SUM(G1222:G1258)</f>
        <v>0</v>
      </c>
      <c r="H1259" s="174">
        <f t="shared" ref="H1259:R1259" si="132">SUM(H1222:H1258)</f>
        <v>0</v>
      </c>
      <c r="I1259" s="174">
        <f t="shared" si="132"/>
        <v>0</v>
      </c>
      <c r="J1259" s="174">
        <f t="shared" si="132"/>
        <v>0</v>
      </c>
      <c r="K1259" s="174">
        <f t="shared" si="132"/>
        <v>0</v>
      </c>
      <c r="L1259" s="174">
        <f t="shared" si="132"/>
        <v>0</v>
      </c>
      <c r="M1259" s="174">
        <f t="shared" si="132"/>
        <v>0</v>
      </c>
      <c r="N1259" s="174">
        <f t="shared" si="132"/>
        <v>0</v>
      </c>
      <c r="O1259" s="174">
        <f t="shared" si="132"/>
        <v>0</v>
      </c>
      <c r="P1259" s="174">
        <f t="shared" si="132"/>
        <v>0</v>
      </c>
      <c r="Q1259" s="174">
        <f t="shared" si="132"/>
        <v>0</v>
      </c>
      <c r="R1259" s="174">
        <f t="shared" si="132"/>
        <v>0</v>
      </c>
      <c r="S1259" s="174">
        <f t="shared" si="131"/>
        <v>0</v>
      </c>
      <c r="T1259" s="175"/>
    </row>
    <row r="1260" customHeight="1" spans="2:20">
      <c r="B1260" s="156"/>
      <c r="C1260" s="157">
        <v>1</v>
      </c>
      <c r="D1260" s="158" t="str">
        <f>VLOOKUP(C1260,DMSP!$A$1:$C$39,2,0)</f>
        <v>1.TOBA XANH</v>
      </c>
      <c r="E1260" s="159" t="str">
        <f>VLOOKUP(C1260,DMSP!$A$1:$C$39,3,0)</f>
        <v>TOBA XANH</v>
      </c>
      <c r="F1260" s="160">
        <f t="shared" si="130"/>
        <v>0</v>
      </c>
      <c r="G1260" s="176"/>
      <c r="H1260" s="176"/>
      <c r="I1260" s="176"/>
      <c r="J1260" s="176"/>
      <c r="K1260" s="176"/>
      <c r="L1260" s="176"/>
      <c r="M1260" s="176"/>
      <c r="N1260" s="176"/>
      <c r="O1260" s="176"/>
      <c r="P1260" s="176"/>
      <c r="Q1260" s="176"/>
      <c r="R1260" s="176"/>
      <c r="S1260" s="162">
        <f t="shared" si="131"/>
        <v>0</v>
      </c>
      <c r="T1260" s="163">
        <f>S1297</f>
        <v>0</v>
      </c>
    </row>
    <row r="1261" customHeight="1" spans="2:20">
      <c r="B1261" s="166"/>
      <c r="C1261" s="164">
        <f t="shared" ref="C1261:C1324" si="133">C1260+1</f>
        <v>2</v>
      </c>
      <c r="D1261" s="158" t="str">
        <f>VLOOKUP(C1261,DMSP!$A$1:$C$39,2,0)</f>
        <v>2.HC</v>
      </c>
      <c r="E1261" s="159" t="str">
        <f>VLOOKUP(C1261,DMSP!$A$1:$C$39,3,0)</f>
        <v>HC BOOSTER</v>
      </c>
      <c r="F1261" s="160">
        <f t="shared" si="130"/>
        <v>0</v>
      </c>
      <c r="G1261" s="176"/>
      <c r="H1261" s="176"/>
      <c r="I1261" s="176"/>
      <c r="J1261" s="176"/>
      <c r="K1261" s="176"/>
      <c r="L1261" s="176"/>
      <c r="M1261" s="176"/>
      <c r="N1261" s="176"/>
      <c r="O1261" s="176"/>
      <c r="P1261" s="176"/>
      <c r="Q1261" s="176"/>
      <c r="R1261" s="176"/>
      <c r="S1261" s="162">
        <f t="shared" ref="S1261:S1298" si="134">SUM(G1261:R1261)</f>
        <v>0</v>
      </c>
      <c r="T1261" s="167"/>
    </row>
    <row r="1262" customHeight="1" spans="2:20">
      <c r="B1262" s="166"/>
      <c r="C1262" s="164">
        <f t="shared" si="133"/>
        <v>3</v>
      </c>
      <c r="D1262" s="158" t="str">
        <f>VLOOKUP(C1262,DMSP!$A$1:$C$39,2,0)</f>
        <v>2.HC</v>
      </c>
      <c r="E1262" s="159" t="str">
        <f>VLOOKUP(C1262,DMSP!$A$1:$C$39,3,0)</f>
        <v>HC KING-ROOT</v>
      </c>
      <c r="F1262" s="160">
        <f t="shared" si="130"/>
        <v>0</v>
      </c>
      <c r="G1262" s="176"/>
      <c r="H1262" s="176"/>
      <c r="I1262" s="176"/>
      <c r="J1262" s="176"/>
      <c r="K1262" s="176"/>
      <c r="L1262" s="176"/>
      <c r="M1262" s="176"/>
      <c r="N1262" s="176"/>
      <c r="O1262" s="176"/>
      <c r="P1262" s="176"/>
      <c r="Q1262" s="176"/>
      <c r="R1262" s="176"/>
      <c r="S1262" s="162">
        <f t="shared" si="134"/>
        <v>0</v>
      </c>
      <c r="T1262" s="167"/>
    </row>
    <row r="1263" customHeight="1" spans="2:20">
      <c r="B1263" s="166"/>
      <c r="C1263" s="164">
        <f t="shared" si="133"/>
        <v>4</v>
      </c>
      <c r="D1263" s="158" t="str">
        <f>VLOOKUP(C1263,DMSP!$A$1:$C$39,2,0)</f>
        <v>2.HC</v>
      </c>
      <c r="E1263" s="159" t="str">
        <f>VLOOKUP(C1263,DMSP!$A$1:$C$39,3,0)</f>
        <v>HAPPY FARM</v>
      </c>
      <c r="F1263" s="160">
        <f t="shared" si="130"/>
        <v>0</v>
      </c>
      <c r="G1263" s="176"/>
      <c r="H1263" s="176"/>
      <c r="I1263" s="176"/>
      <c r="J1263" s="176"/>
      <c r="K1263" s="176"/>
      <c r="L1263" s="176"/>
      <c r="M1263" s="176"/>
      <c r="N1263" s="176"/>
      <c r="O1263" s="176"/>
      <c r="P1263" s="176"/>
      <c r="Q1263" s="176"/>
      <c r="R1263" s="176"/>
      <c r="S1263" s="162">
        <f t="shared" si="134"/>
        <v>0</v>
      </c>
      <c r="T1263" s="167"/>
    </row>
    <row r="1264" customHeight="1" spans="2:20">
      <c r="B1264" s="166"/>
      <c r="C1264" s="164">
        <f t="shared" si="133"/>
        <v>5</v>
      </c>
      <c r="D1264" s="158" t="str">
        <f>VLOOKUP(C1264,DMSP!$A$1:$C$39,2,0)</f>
        <v>2.HC</v>
      </c>
      <c r="E1264" s="159" t="str">
        <f>VLOOKUP(C1264,DMSP!$A$1:$C$39,3,0)</f>
        <v>WOW</v>
      </c>
      <c r="F1264" s="160">
        <f t="shared" si="130"/>
        <v>0</v>
      </c>
      <c r="G1264" s="176"/>
      <c r="H1264" s="176"/>
      <c r="I1264" s="176"/>
      <c r="J1264" s="176"/>
      <c r="K1264" s="176"/>
      <c r="L1264" s="176"/>
      <c r="M1264" s="176"/>
      <c r="N1264" s="176"/>
      <c r="O1264" s="176"/>
      <c r="P1264" s="176"/>
      <c r="Q1264" s="176"/>
      <c r="R1264" s="176"/>
      <c r="S1264" s="162">
        <f t="shared" si="134"/>
        <v>0</v>
      </c>
      <c r="T1264" s="167"/>
    </row>
    <row r="1265" customHeight="1" spans="2:20">
      <c r="B1265" s="166"/>
      <c r="C1265" s="164">
        <f t="shared" si="133"/>
        <v>6</v>
      </c>
      <c r="D1265" s="158" t="str">
        <f>VLOOKUP(C1265,DMSP!$A$1:$C$39,2,0)</f>
        <v>3.SPRAY </v>
      </c>
      <c r="E1265" s="159" t="str">
        <f>VLOOKUP(C1265,DMSP!$A$1:$C$39,3,0)</f>
        <v>KELPIT</v>
      </c>
      <c r="F1265" s="160">
        <f t="shared" si="130"/>
        <v>0</v>
      </c>
      <c r="G1265" s="176"/>
      <c r="H1265" s="176"/>
      <c r="I1265" s="176"/>
      <c r="J1265" s="176"/>
      <c r="K1265" s="176"/>
      <c r="L1265" s="176"/>
      <c r="M1265" s="176"/>
      <c r="N1265" s="176"/>
      <c r="O1265" s="176"/>
      <c r="P1265" s="176"/>
      <c r="Q1265" s="176"/>
      <c r="R1265" s="176"/>
      <c r="S1265" s="162">
        <f t="shared" si="134"/>
        <v>0</v>
      </c>
      <c r="T1265" s="167"/>
    </row>
    <row r="1266" customHeight="1" spans="2:20">
      <c r="B1266" s="166"/>
      <c r="C1266" s="164">
        <f t="shared" si="133"/>
        <v>7</v>
      </c>
      <c r="D1266" s="158" t="str">
        <f>VLOOKUP(C1266,DMSP!$A$1:$C$39,2,0)</f>
        <v>3.SPRAY </v>
      </c>
      <c r="E1266" s="159" t="str">
        <f>VLOOKUP(C1266,DMSP!$A$1:$C$39,3,0)</f>
        <v>SI-K</v>
      </c>
      <c r="F1266" s="160">
        <f t="shared" si="130"/>
        <v>0</v>
      </c>
      <c r="G1266" s="176"/>
      <c r="H1266" s="176"/>
      <c r="I1266" s="176"/>
      <c r="J1266" s="176"/>
      <c r="K1266" s="176"/>
      <c r="L1266" s="176"/>
      <c r="M1266" s="176"/>
      <c r="N1266" s="176"/>
      <c r="O1266" s="176"/>
      <c r="P1266" s="176"/>
      <c r="Q1266" s="176"/>
      <c r="R1266" s="176"/>
      <c r="S1266" s="162">
        <f t="shared" si="134"/>
        <v>0</v>
      </c>
      <c r="T1266" s="167"/>
    </row>
    <row r="1267" customHeight="1" spans="2:20">
      <c r="B1267" s="166"/>
      <c r="C1267" s="164">
        <f t="shared" si="133"/>
        <v>8</v>
      </c>
      <c r="D1267" s="158" t="str">
        <f>VLOOKUP(C1267,DMSP!$A$1:$C$39,2,0)</f>
        <v>3.SPRAY </v>
      </c>
      <c r="E1267" s="159" t="str">
        <f>VLOOKUP(C1267,DMSP!$A$1:$C$39,3,0)</f>
        <v>SPRAY PHOS 620</v>
      </c>
      <c r="F1267" s="160">
        <f t="shared" si="130"/>
        <v>0</v>
      </c>
      <c r="G1267" s="176"/>
      <c r="H1267" s="176"/>
      <c r="I1267" s="176"/>
      <c r="J1267" s="176"/>
      <c r="K1267" s="176"/>
      <c r="L1267" s="176"/>
      <c r="M1267" s="176"/>
      <c r="N1267" s="176"/>
      <c r="O1267" s="176"/>
      <c r="P1267" s="176"/>
      <c r="Q1267" s="176"/>
      <c r="R1267" s="176"/>
      <c r="S1267" s="162">
        <f t="shared" si="134"/>
        <v>0</v>
      </c>
      <c r="T1267" s="167"/>
    </row>
    <row r="1268" customHeight="1" spans="2:20">
      <c r="B1268" s="166"/>
      <c r="C1268" s="164">
        <f t="shared" si="133"/>
        <v>9</v>
      </c>
      <c r="D1268" s="158" t="str">
        <f>VLOOKUP(C1268,DMSP!$A$1:$C$39,2,0)</f>
        <v>4.DƯỠNG RỄ</v>
      </c>
      <c r="E1268" s="159" t="str">
        <f>VLOOKUP(C1268,DMSP!$A$1:$C$39,3,0)</f>
        <v>CHITOSAN</v>
      </c>
      <c r="F1268" s="160">
        <f t="shared" si="130"/>
        <v>0</v>
      </c>
      <c r="G1268" s="176"/>
      <c r="H1268" s="176"/>
      <c r="I1268" s="176"/>
      <c r="J1268" s="176"/>
      <c r="K1268" s="176"/>
      <c r="L1268" s="176"/>
      <c r="M1268" s="176"/>
      <c r="N1268" s="176"/>
      <c r="O1268" s="176"/>
      <c r="P1268" s="176"/>
      <c r="Q1268" s="176"/>
      <c r="R1268" s="176"/>
      <c r="S1268" s="162">
        <f t="shared" si="134"/>
        <v>0</v>
      </c>
      <c r="T1268" s="167"/>
    </row>
    <row r="1269" customHeight="1" spans="2:20">
      <c r="B1269" s="166"/>
      <c r="C1269" s="164">
        <f t="shared" si="133"/>
        <v>10</v>
      </c>
      <c r="D1269" s="158" t="str">
        <f>VLOOKUP(C1269,DMSP!$A$1:$C$39,2,0)</f>
        <v>4.DƯỠNG RỄ</v>
      </c>
      <c r="E1269" s="159" t="str">
        <f>VLOOKUP(C1269,DMSP!$A$1:$C$39,3,0)</f>
        <v>ĐẠM CÁ</v>
      </c>
      <c r="F1269" s="160">
        <f t="shared" si="130"/>
        <v>0</v>
      </c>
      <c r="G1269" s="176"/>
      <c r="H1269" s="176"/>
      <c r="I1269" s="176"/>
      <c r="J1269" s="176"/>
      <c r="K1269" s="176"/>
      <c r="L1269" s="176"/>
      <c r="M1269" s="176"/>
      <c r="N1269" s="176"/>
      <c r="O1269" s="176"/>
      <c r="P1269" s="176"/>
      <c r="Q1269" s="176"/>
      <c r="R1269" s="176"/>
      <c r="S1269" s="162">
        <f t="shared" si="134"/>
        <v>0</v>
      </c>
      <c r="T1269" s="167"/>
    </row>
    <row r="1270" customHeight="1" spans="2:20">
      <c r="B1270" s="166"/>
      <c r="C1270" s="164">
        <f t="shared" si="133"/>
        <v>11</v>
      </c>
      <c r="D1270" s="158" t="str">
        <f>VLOOKUP(C1270,DMSP!$A$1:$C$39,2,0)</f>
        <v>4.DƯỠNG RỄ</v>
      </c>
      <c r="E1270" s="159" t="str">
        <f>VLOOKUP(C1270,DMSP!$A$1:$C$39,3,0)</f>
        <v>ĐẠM TÔM</v>
      </c>
      <c r="F1270" s="160">
        <f t="shared" si="130"/>
        <v>0</v>
      </c>
      <c r="G1270" s="176"/>
      <c r="H1270" s="176"/>
      <c r="I1270" s="176"/>
      <c r="J1270" s="176"/>
      <c r="K1270" s="176"/>
      <c r="L1270" s="176"/>
      <c r="M1270" s="176"/>
      <c r="N1270" s="176"/>
      <c r="O1270" s="176"/>
      <c r="P1270" s="176"/>
      <c r="Q1270" s="176"/>
      <c r="R1270" s="176"/>
      <c r="S1270" s="162">
        <f t="shared" si="134"/>
        <v>0</v>
      </c>
      <c r="T1270" s="167"/>
    </row>
    <row r="1271" customHeight="1" spans="2:20">
      <c r="B1271" s="166"/>
      <c r="C1271" s="164">
        <f t="shared" si="133"/>
        <v>12</v>
      </c>
      <c r="D1271" s="158" t="str">
        <f>VLOOKUP(C1271,DMSP!$A$1:$C$39,2,0)</f>
        <v>4.DƯỠNG RỄ</v>
      </c>
      <c r="E1271" s="159" t="str">
        <f>VLOOKUP(C1271,DMSP!$A$1:$C$39,3,0)</f>
        <v>SUPERMIC</v>
      </c>
      <c r="F1271" s="160">
        <f t="shared" si="130"/>
        <v>0</v>
      </c>
      <c r="G1271" s="176"/>
      <c r="H1271" s="176"/>
      <c r="I1271" s="176"/>
      <c r="J1271" s="176"/>
      <c r="K1271" s="176"/>
      <c r="L1271" s="176"/>
      <c r="M1271" s="176"/>
      <c r="N1271" s="176"/>
      <c r="O1271" s="176"/>
      <c r="P1271" s="176"/>
      <c r="Q1271" s="176"/>
      <c r="R1271" s="176"/>
      <c r="S1271" s="162">
        <f t="shared" si="134"/>
        <v>0</v>
      </c>
      <c r="T1271" s="167"/>
    </row>
    <row r="1272" customHeight="1" spans="2:20">
      <c r="B1272" s="166"/>
      <c r="C1272" s="164">
        <f t="shared" si="133"/>
        <v>13</v>
      </c>
      <c r="D1272" s="158" t="str">
        <f>VLOOKUP(C1272,DMSP!$A$1:$C$39,2,0)</f>
        <v>5.TRUYỀN THỐNG</v>
      </c>
      <c r="E1272" s="159" t="str">
        <f>VLOOKUP(C1272,DMSP!$A$1:$C$39,3,0)</f>
        <v>CABO</v>
      </c>
      <c r="F1272" s="160">
        <f t="shared" si="130"/>
        <v>0</v>
      </c>
      <c r="G1272" s="176"/>
      <c r="H1272" s="176"/>
      <c r="I1272" s="176"/>
      <c r="J1272" s="176"/>
      <c r="K1272" s="176"/>
      <c r="L1272" s="176"/>
      <c r="M1272" s="176"/>
      <c r="N1272" s="176"/>
      <c r="O1272" s="176"/>
      <c r="P1272" s="176"/>
      <c r="Q1272" s="176"/>
      <c r="R1272" s="176"/>
      <c r="S1272" s="162">
        <f t="shared" si="134"/>
        <v>0</v>
      </c>
      <c r="T1272" s="167"/>
    </row>
    <row r="1273" customHeight="1" spans="2:20">
      <c r="B1273" s="166"/>
      <c r="C1273" s="164">
        <f t="shared" si="133"/>
        <v>14</v>
      </c>
      <c r="D1273" s="158" t="str">
        <f>VLOOKUP(C1273,DMSP!$A$1:$C$39,2,0)</f>
        <v>5.TRUYỀN THỐNG</v>
      </c>
      <c r="E1273" s="159" t="str">
        <f>VLOOKUP(C1273,DMSP!$A$1:$C$39,3,0)</f>
        <v>F94</v>
      </c>
      <c r="F1273" s="160">
        <f t="shared" si="130"/>
        <v>0</v>
      </c>
      <c r="G1273" s="176"/>
      <c r="H1273" s="176"/>
      <c r="I1273" s="176"/>
      <c r="J1273" s="176"/>
      <c r="K1273" s="176"/>
      <c r="L1273" s="176"/>
      <c r="M1273" s="176"/>
      <c r="N1273" s="176"/>
      <c r="O1273" s="176"/>
      <c r="P1273" s="176"/>
      <c r="Q1273" s="176"/>
      <c r="R1273" s="176"/>
      <c r="S1273" s="162">
        <f t="shared" si="134"/>
        <v>0</v>
      </c>
      <c r="T1273" s="167"/>
    </row>
    <row r="1274" customHeight="1" spans="2:20">
      <c r="B1274" s="166"/>
      <c r="C1274" s="164">
        <f t="shared" si="133"/>
        <v>15</v>
      </c>
      <c r="D1274" s="158" t="str">
        <f>VLOOKUP(C1274,DMSP!$A$1:$C$39,2,0)</f>
        <v>5.TRUYỀN THỐNG</v>
      </c>
      <c r="E1274" s="159" t="str">
        <f>VLOOKUP(C1274,DMSP!$A$1:$C$39,3,0)</f>
        <v>F95</v>
      </c>
      <c r="F1274" s="160">
        <f t="shared" si="130"/>
        <v>0</v>
      </c>
      <c r="G1274" s="176"/>
      <c r="H1274" s="176"/>
      <c r="I1274" s="176"/>
      <c r="J1274" s="176"/>
      <c r="K1274" s="176"/>
      <c r="L1274" s="176"/>
      <c r="M1274" s="176"/>
      <c r="N1274" s="176"/>
      <c r="O1274" s="176"/>
      <c r="P1274" s="176"/>
      <c r="Q1274" s="176"/>
      <c r="R1274" s="176"/>
      <c r="S1274" s="162">
        <f t="shared" si="134"/>
        <v>0</v>
      </c>
      <c r="T1274" s="167"/>
    </row>
    <row r="1275" customHeight="1" spans="2:20">
      <c r="B1275" s="166"/>
      <c r="C1275" s="164">
        <f t="shared" si="133"/>
        <v>16</v>
      </c>
      <c r="D1275" s="158" t="str">
        <f>VLOOKUP(C1275,DMSP!$A$1:$C$39,2,0)</f>
        <v>5.TRUYỀN THỐNG</v>
      </c>
      <c r="E1275" s="159" t="str">
        <f>VLOOKUP(C1275,DMSP!$A$1:$C$39,3,0)</f>
        <v>THIOURE</v>
      </c>
      <c r="F1275" s="160">
        <f t="shared" si="130"/>
        <v>0</v>
      </c>
      <c r="G1275" s="176"/>
      <c r="H1275" s="176"/>
      <c r="I1275" s="176"/>
      <c r="J1275" s="176"/>
      <c r="K1275" s="176"/>
      <c r="L1275" s="176"/>
      <c r="M1275" s="176"/>
      <c r="N1275" s="176"/>
      <c r="O1275" s="176"/>
      <c r="P1275" s="176"/>
      <c r="Q1275" s="176"/>
      <c r="R1275" s="176"/>
      <c r="S1275" s="162">
        <f t="shared" si="134"/>
        <v>0</v>
      </c>
      <c r="T1275" s="167"/>
    </row>
    <row r="1276" customHeight="1" spans="2:20">
      <c r="B1276" s="166"/>
      <c r="C1276" s="164">
        <f t="shared" si="133"/>
        <v>17</v>
      </c>
      <c r="D1276" s="158" t="str">
        <f>VLOOKUP(C1276,DMSP!$A$1:$C$39,2,0)</f>
        <v>5.TRUYỀN THỐNG</v>
      </c>
      <c r="E1276" s="159" t="str">
        <f>VLOOKUP(C1276,DMSP!$A$1:$C$39,3,0)</f>
        <v>TOBA JUM</v>
      </c>
      <c r="F1276" s="160">
        <f t="shared" si="130"/>
        <v>0</v>
      </c>
      <c r="G1276" s="176"/>
      <c r="H1276" s="176"/>
      <c r="I1276" s="176"/>
      <c r="J1276" s="176"/>
      <c r="K1276" s="176"/>
      <c r="L1276" s="176"/>
      <c r="M1276" s="176"/>
      <c r="N1276" s="176"/>
      <c r="O1276" s="176"/>
      <c r="P1276" s="176"/>
      <c r="Q1276" s="176"/>
      <c r="R1276" s="176"/>
      <c r="S1276" s="162">
        <f t="shared" si="134"/>
        <v>0</v>
      </c>
      <c r="T1276" s="167"/>
    </row>
    <row r="1277" customHeight="1" spans="2:20">
      <c r="B1277" s="166"/>
      <c r="C1277" s="164">
        <f t="shared" si="133"/>
        <v>18</v>
      </c>
      <c r="D1277" s="158" t="str">
        <f>VLOOKUP(C1277,DMSP!$A$1:$C$39,2,0)</f>
        <v>5.TRUYỀN THỐNG</v>
      </c>
      <c r="E1277" s="159" t="str">
        <f>VLOOKUP(C1277,DMSP!$A$1:$C$39,3,0)</f>
        <v>TOBA NET</v>
      </c>
      <c r="F1277" s="160">
        <f t="shared" si="130"/>
        <v>0</v>
      </c>
      <c r="G1277" s="176"/>
      <c r="H1277" s="176"/>
      <c r="I1277" s="176"/>
      <c r="J1277" s="176"/>
      <c r="K1277" s="176"/>
      <c r="L1277" s="176"/>
      <c r="M1277" s="176"/>
      <c r="N1277" s="176"/>
      <c r="O1277" s="176"/>
      <c r="P1277" s="176"/>
      <c r="Q1277" s="176"/>
      <c r="R1277" s="176"/>
      <c r="S1277" s="162">
        <f t="shared" si="134"/>
        <v>0</v>
      </c>
      <c r="T1277" s="167"/>
    </row>
    <row r="1278" customHeight="1" spans="2:20">
      <c r="B1278" s="166"/>
      <c r="C1278" s="164">
        <f t="shared" si="133"/>
        <v>19</v>
      </c>
      <c r="D1278" s="158" t="str">
        <f>VLOOKUP(C1278,DMSP!$A$1:$C$39,2,0)</f>
        <v>6.BVTV</v>
      </c>
      <c r="E1278" s="159" t="str">
        <f>VLOOKUP(C1278,DMSP!$A$1:$C$39,3,0)</f>
        <v>ABAFAX 1.8</v>
      </c>
      <c r="F1278" s="160">
        <f t="shared" si="130"/>
        <v>0</v>
      </c>
      <c r="G1278" s="176"/>
      <c r="H1278" s="176"/>
      <c r="I1278" s="176"/>
      <c r="J1278" s="176"/>
      <c r="K1278" s="176"/>
      <c r="L1278" s="176"/>
      <c r="M1278" s="176"/>
      <c r="N1278" s="176"/>
      <c r="O1278" s="176"/>
      <c r="P1278" s="176"/>
      <c r="Q1278" s="176"/>
      <c r="R1278" s="176"/>
      <c r="S1278" s="162">
        <f t="shared" si="134"/>
        <v>0</v>
      </c>
      <c r="T1278" s="167"/>
    </row>
    <row r="1279" customHeight="1" spans="2:20">
      <c r="B1279" s="166"/>
      <c r="C1279" s="164">
        <f t="shared" si="133"/>
        <v>20</v>
      </c>
      <c r="D1279" s="158" t="str">
        <f>VLOOKUP(C1279,DMSP!$A$1:$C$39,2,0)</f>
        <v>6.BVTV</v>
      </c>
      <c r="E1279" s="159" t="str">
        <f>VLOOKUP(C1279,DMSP!$A$1:$C$39,3,0)</f>
        <v>ABAFAX 3.6</v>
      </c>
      <c r="F1279" s="160">
        <f t="shared" si="130"/>
        <v>0</v>
      </c>
      <c r="G1279" s="176"/>
      <c r="H1279" s="176"/>
      <c r="I1279" s="176"/>
      <c r="J1279" s="176"/>
      <c r="K1279" s="176"/>
      <c r="L1279" s="176"/>
      <c r="M1279" s="176"/>
      <c r="N1279" s="176"/>
      <c r="O1279" s="176"/>
      <c r="P1279" s="176"/>
      <c r="Q1279" s="176"/>
      <c r="R1279" s="176"/>
      <c r="S1279" s="162">
        <f t="shared" si="134"/>
        <v>0</v>
      </c>
      <c r="T1279" s="167"/>
    </row>
    <row r="1280" customHeight="1" spans="2:20">
      <c r="B1280" s="166"/>
      <c r="C1280" s="164">
        <f t="shared" si="133"/>
        <v>21</v>
      </c>
      <c r="D1280" s="158" t="str">
        <f>VLOOKUP(C1280,DMSP!$A$1:$C$39,2,0)</f>
        <v>6.BVTV</v>
      </c>
      <c r="E1280" s="159" t="str">
        <f>VLOOKUP(C1280,DMSP!$A$1:$C$39,3,0)</f>
        <v>AZET</v>
      </c>
      <c r="F1280" s="160">
        <f t="shared" si="130"/>
        <v>0</v>
      </c>
      <c r="G1280" s="176"/>
      <c r="H1280" s="176"/>
      <c r="I1280" s="176"/>
      <c r="J1280" s="176"/>
      <c r="K1280" s="176"/>
      <c r="L1280" s="176"/>
      <c r="M1280" s="176"/>
      <c r="N1280" s="176"/>
      <c r="O1280" s="176"/>
      <c r="P1280" s="176"/>
      <c r="Q1280" s="176"/>
      <c r="R1280" s="176"/>
      <c r="S1280" s="162">
        <f t="shared" si="134"/>
        <v>0</v>
      </c>
      <c r="T1280" s="167"/>
    </row>
    <row r="1281" customHeight="1" spans="2:20">
      <c r="B1281" s="166"/>
      <c r="C1281" s="164">
        <f t="shared" si="133"/>
        <v>22</v>
      </c>
      <c r="D1281" s="158" t="str">
        <f>VLOOKUP(C1281,DMSP!$A$1:$C$39,2,0)</f>
        <v>6.BVTV</v>
      </c>
      <c r="E1281" s="159" t="str">
        <f>VLOOKUP(C1281,DMSP!$A$1:$C$39,3,0)</f>
        <v>BACBA</v>
      </c>
      <c r="F1281" s="160">
        <f t="shared" si="130"/>
        <v>0</v>
      </c>
      <c r="G1281" s="176"/>
      <c r="H1281" s="176"/>
      <c r="I1281" s="176"/>
      <c r="J1281" s="176"/>
      <c r="K1281" s="176"/>
      <c r="L1281" s="176"/>
      <c r="M1281" s="176"/>
      <c r="N1281" s="176"/>
      <c r="O1281" s="176"/>
      <c r="P1281" s="176"/>
      <c r="Q1281" s="176"/>
      <c r="R1281" s="176"/>
      <c r="S1281" s="162">
        <f t="shared" si="134"/>
        <v>0</v>
      </c>
      <c r="T1281" s="167"/>
    </row>
    <row r="1282" customHeight="1" spans="2:20">
      <c r="B1282" s="166"/>
      <c r="C1282" s="164">
        <f t="shared" si="133"/>
        <v>23</v>
      </c>
      <c r="D1282" s="158" t="str">
        <f>VLOOKUP(C1282,DMSP!$A$1:$C$39,2,0)</f>
        <v>6.BVTV</v>
      </c>
      <c r="E1282" s="159" t="str">
        <f>VLOOKUP(C1282,DMSP!$A$1:$C$39,3,0)</f>
        <v>BIOROSAMIL</v>
      </c>
      <c r="F1282" s="160">
        <f t="shared" si="130"/>
        <v>0</v>
      </c>
      <c r="G1282" s="176"/>
      <c r="H1282" s="176"/>
      <c r="I1282" s="176"/>
      <c r="J1282" s="176"/>
      <c r="K1282" s="176"/>
      <c r="L1282" s="176"/>
      <c r="M1282" s="176"/>
      <c r="N1282" s="176"/>
      <c r="O1282" s="176"/>
      <c r="P1282" s="176"/>
      <c r="Q1282" s="176"/>
      <c r="R1282" s="176"/>
      <c r="S1282" s="162">
        <f t="shared" si="134"/>
        <v>0</v>
      </c>
      <c r="T1282" s="167"/>
    </row>
    <row r="1283" customHeight="1" spans="2:20">
      <c r="B1283" s="166"/>
      <c r="C1283" s="164">
        <f t="shared" si="133"/>
        <v>24</v>
      </c>
      <c r="D1283" s="158" t="str">
        <f>VLOOKUP(C1283,DMSP!$A$1:$C$39,2,0)</f>
        <v>6.BVTV</v>
      </c>
      <c r="E1283" s="159" t="str">
        <f>VLOOKUP(C1283,DMSP!$A$1:$C$39,3,0)</f>
        <v>COC 86</v>
      </c>
      <c r="F1283" s="160">
        <f t="shared" si="130"/>
        <v>0</v>
      </c>
      <c r="G1283" s="176"/>
      <c r="H1283" s="176"/>
      <c r="I1283" s="176"/>
      <c r="J1283" s="176"/>
      <c r="K1283" s="176"/>
      <c r="L1283" s="176"/>
      <c r="M1283" s="176"/>
      <c r="N1283" s="176"/>
      <c r="O1283" s="176"/>
      <c r="P1283" s="176"/>
      <c r="Q1283" s="176"/>
      <c r="R1283" s="176"/>
      <c r="S1283" s="162">
        <f t="shared" si="134"/>
        <v>0</v>
      </c>
      <c r="T1283" s="167"/>
    </row>
    <row r="1284" customHeight="1" spans="2:20">
      <c r="B1284" s="166"/>
      <c r="C1284" s="164">
        <f t="shared" si="133"/>
        <v>25</v>
      </c>
      <c r="D1284" s="158" t="str">
        <f>VLOOKUP(C1284,DMSP!$A$1:$C$39,2,0)</f>
        <v>6.BVTV</v>
      </c>
      <c r="E1284" s="159" t="str">
        <f>VLOOKUP(C1284,DMSP!$A$1:$C$39,3,0)</f>
        <v>HEXA 5</v>
      </c>
      <c r="F1284" s="160">
        <f t="shared" si="130"/>
        <v>0</v>
      </c>
      <c r="G1284" s="176"/>
      <c r="H1284" s="176"/>
      <c r="I1284" s="176"/>
      <c r="J1284" s="176"/>
      <c r="K1284" s="176"/>
      <c r="L1284" s="176"/>
      <c r="M1284" s="176"/>
      <c r="N1284" s="176"/>
      <c r="O1284" s="176"/>
      <c r="P1284" s="176"/>
      <c r="Q1284" s="176"/>
      <c r="R1284" s="176"/>
      <c r="S1284" s="162">
        <f t="shared" si="134"/>
        <v>0</v>
      </c>
      <c r="T1284" s="167"/>
    </row>
    <row r="1285" customHeight="1" spans="2:20">
      <c r="B1285" s="166"/>
      <c r="C1285" s="164">
        <f t="shared" si="133"/>
        <v>26</v>
      </c>
      <c r="D1285" s="158" t="str">
        <f>VLOOKUP(C1285,DMSP!$A$1:$C$39,2,0)</f>
        <v>6.BVTV</v>
      </c>
      <c r="E1285" s="159" t="str">
        <f>VLOOKUP(C1285,DMSP!$A$1:$C$39,3,0)</f>
        <v>TAMALA</v>
      </c>
      <c r="F1285" s="160">
        <f t="shared" si="130"/>
        <v>0</v>
      </c>
      <c r="G1285" s="176"/>
      <c r="H1285" s="176"/>
      <c r="I1285" s="176"/>
      <c r="J1285" s="176"/>
      <c r="K1285" s="176"/>
      <c r="L1285" s="176"/>
      <c r="M1285" s="176"/>
      <c r="N1285" s="176"/>
      <c r="O1285" s="176"/>
      <c r="P1285" s="176"/>
      <c r="Q1285" s="176"/>
      <c r="R1285" s="176"/>
      <c r="S1285" s="162">
        <f t="shared" si="134"/>
        <v>0</v>
      </c>
      <c r="T1285" s="167"/>
    </row>
    <row r="1286" customHeight="1" spans="2:20">
      <c r="B1286" s="166"/>
      <c r="C1286" s="164">
        <f t="shared" si="133"/>
        <v>27</v>
      </c>
      <c r="D1286" s="158" t="str">
        <f>VLOOKUP(C1286,DMSP!$A$1:$C$39,2,0)</f>
        <v>7.KHÁC</v>
      </c>
      <c r="E1286" s="159" t="str">
        <f>VLOOKUP(C1286,DMSP!$A$1:$C$39,3,0)</f>
        <v>KẼM VÀNG</v>
      </c>
      <c r="F1286" s="160">
        <f t="shared" si="130"/>
        <v>0</v>
      </c>
      <c r="G1286" s="176"/>
      <c r="H1286" s="176"/>
      <c r="I1286" s="176"/>
      <c r="J1286" s="176"/>
      <c r="K1286" s="176"/>
      <c r="L1286" s="176"/>
      <c r="M1286" s="176"/>
      <c r="N1286" s="176"/>
      <c r="O1286" s="176"/>
      <c r="P1286" s="176"/>
      <c r="Q1286" s="176"/>
      <c r="R1286" s="176"/>
      <c r="S1286" s="162">
        <f t="shared" si="134"/>
        <v>0</v>
      </c>
      <c r="T1286" s="167"/>
    </row>
    <row r="1287" customHeight="1" spans="2:20">
      <c r="B1287" s="166"/>
      <c r="C1287" s="164">
        <f t="shared" si="133"/>
        <v>28</v>
      </c>
      <c r="D1287" s="158" t="str">
        <f>VLOOKUP(C1287,DMSP!$A$1:$C$39,2,0)</f>
        <v>7.KHÁC</v>
      </c>
      <c r="E1287" s="159" t="str">
        <f>VLOOKUP(C1287,DMSP!$A$1:$C$39,3,0)</f>
        <v>KHÁC1</v>
      </c>
      <c r="F1287" s="160">
        <f t="shared" ref="F1287:F1350" si="135">S1287</f>
        <v>0</v>
      </c>
      <c r="G1287" s="176"/>
      <c r="H1287" s="176"/>
      <c r="I1287" s="176"/>
      <c r="J1287" s="176"/>
      <c r="K1287" s="176"/>
      <c r="L1287" s="176"/>
      <c r="M1287" s="176"/>
      <c r="N1287" s="176"/>
      <c r="O1287" s="176"/>
      <c r="P1287" s="176"/>
      <c r="Q1287" s="176"/>
      <c r="R1287" s="176"/>
      <c r="S1287" s="162">
        <f t="shared" si="134"/>
        <v>0</v>
      </c>
      <c r="T1287" s="167"/>
    </row>
    <row r="1288" customHeight="1" spans="2:20">
      <c r="B1288" s="166"/>
      <c r="C1288" s="164">
        <f t="shared" si="133"/>
        <v>29</v>
      </c>
      <c r="D1288" s="158" t="str">
        <f>VLOOKUP(C1288,DMSP!$A$1:$C$39,2,0)</f>
        <v>7.KHÁC</v>
      </c>
      <c r="E1288" s="169" t="s">
        <v>13</v>
      </c>
      <c r="F1288" s="160">
        <f t="shared" si="135"/>
        <v>0</v>
      </c>
      <c r="G1288" s="176"/>
      <c r="H1288" s="176"/>
      <c r="I1288" s="176"/>
      <c r="J1288" s="176"/>
      <c r="K1288" s="176"/>
      <c r="L1288" s="176"/>
      <c r="M1288" s="176"/>
      <c r="N1288" s="176"/>
      <c r="O1288" s="176"/>
      <c r="P1288" s="176"/>
      <c r="Q1288" s="176"/>
      <c r="R1288" s="176"/>
      <c r="S1288" s="162">
        <f t="shared" si="134"/>
        <v>0</v>
      </c>
      <c r="T1288" s="167"/>
    </row>
    <row r="1289" customHeight="1" spans="2:20">
      <c r="B1289" s="166"/>
      <c r="C1289" s="164">
        <f t="shared" si="133"/>
        <v>30</v>
      </c>
      <c r="D1289" s="158" t="str">
        <f>VLOOKUP(C1289,DMSP!$A$1:$C$39,2,0)</f>
        <v>7.KHÁC</v>
      </c>
      <c r="E1289" s="159" t="str">
        <f>VLOOKUP(C1289,DMSP!$A$1:$C$39,3,0)</f>
        <v>RỬA RONG RÊU</v>
      </c>
      <c r="F1289" s="160">
        <f t="shared" si="135"/>
        <v>0</v>
      </c>
      <c r="G1289" s="176"/>
      <c r="H1289" s="176"/>
      <c r="I1289" s="176"/>
      <c r="J1289" s="176"/>
      <c r="K1289" s="176"/>
      <c r="L1289" s="176"/>
      <c r="M1289" s="176"/>
      <c r="N1289" s="176"/>
      <c r="O1289" s="176"/>
      <c r="P1289" s="176"/>
      <c r="Q1289" s="176"/>
      <c r="R1289" s="176"/>
      <c r="S1289" s="162">
        <f t="shared" si="134"/>
        <v>0</v>
      </c>
      <c r="T1289" s="167"/>
    </row>
    <row r="1290" customHeight="1" spans="2:20">
      <c r="B1290" s="166"/>
      <c r="C1290" s="164">
        <f t="shared" si="133"/>
        <v>31</v>
      </c>
      <c r="D1290" s="158" t="str">
        <f>VLOOKUP(C1290,DMSP!$A$1:$C$39,2,0)</f>
        <v>7.KHÁC</v>
      </c>
      <c r="E1290" s="159" t="str">
        <f>VLOOKUP(C1290,DMSP!$A$1:$C$39,3,0)</f>
        <v>TB BO</v>
      </c>
      <c r="F1290" s="160">
        <f t="shared" si="135"/>
        <v>0</v>
      </c>
      <c r="G1290" s="176"/>
      <c r="H1290" s="176"/>
      <c r="I1290" s="176"/>
      <c r="J1290" s="176"/>
      <c r="K1290" s="176"/>
      <c r="L1290" s="176"/>
      <c r="M1290" s="176"/>
      <c r="N1290" s="176"/>
      <c r="O1290" s="176"/>
      <c r="P1290" s="176"/>
      <c r="Q1290" s="176"/>
      <c r="R1290" s="176"/>
      <c r="S1290" s="162">
        <f t="shared" si="134"/>
        <v>0</v>
      </c>
      <c r="T1290" s="167"/>
    </row>
    <row r="1291" customHeight="1" spans="2:20">
      <c r="B1291" s="166"/>
      <c r="C1291" s="164">
        <f t="shared" si="133"/>
        <v>32</v>
      </c>
      <c r="D1291" s="158" t="str">
        <f>VLOOKUP(C1291,DMSP!$A$1:$C$39,2,0)</f>
        <v>7.KHÁC</v>
      </c>
      <c r="E1291" s="159" t="str">
        <f>VLOOKUP(C1291,DMSP!$A$1:$C$39,3,0)</f>
        <v>TB FRUIT</v>
      </c>
      <c r="F1291" s="160">
        <f t="shared" si="135"/>
        <v>0</v>
      </c>
      <c r="G1291" s="176"/>
      <c r="H1291" s="176"/>
      <c r="I1291" s="176"/>
      <c r="J1291" s="176"/>
      <c r="K1291" s="176"/>
      <c r="L1291" s="176"/>
      <c r="M1291" s="176"/>
      <c r="N1291" s="176"/>
      <c r="O1291" s="176"/>
      <c r="P1291" s="176"/>
      <c r="Q1291" s="176"/>
      <c r="R1291" s="176"/>
      <c r="S1291" s="162">
        <f t="shared" si="134"/>
        <v>0</v>
      </c>
      <c r="T1291" s="167"/>
    </row>
    <row r="1292" customHeight="1" spans="2:20">
      <c r="B1292" s="166"/>
      <c r="C1292" s="164">
        <f t="shared" si="133"/>
        <v>33</v>
      </c>
      <c r="D1292" s="158" t="str">
        <f>VLOOKUP(C1292,DMSP!$A$1:$C$39,2,0)</f>
        <v>7.KHÁC</v>
      </c>
      <c r="E1292" s="159" t="str">
        <f>VLOOKUP(C1292,DMSP!$A$1:$C$39,3,0)</f>
        <v>TB PHOS</v>
      </c>
      <c r="F1292" s="160">
        <f t="shared" si="135"/>
        <v>0</v>
      </c>
      <c r="G1292" s="176"/>
      <c r="H1292" s="176"/>
      <c r="I1292" s="176"/>
      <c r="J1292" s="176"/>
      <c r="K1292" s="176"/>
      <c r="L1292" s="176"/>
      <c r="M1292" s="176"/>
      <c r="N1292" s="176"/>
      <c r="O1292" s="176"/>
      <c r="P1292" s="176"/>
      <c r="Q1292" s="176"/>
      <c r="R1292" s="176"/>
      <c r="S1292" s="162">
        <f t="shared" si="134"/>
        <v>0</v>
      </c>
      <c r="T1292" s="167"/>
    </row>
    <row r="1293" customHeight="1" spans="2:20">
      <c r="B1293" s="166"/>
      <c r="C1293" s="164">
        <f t="shared" si="133"/>
        <v>34</v>
      </c>
      <c r="D1293" s="158" t="str">
        <f>VLOOKUP(C1293,DMSP!$A$1:$C$39,2,0)</f>
        <v>7.KHÁC</v>
      </c>
      <c r="E1293" s="159" t="str">
        <f>VLOOKUP(C1293,DMSP!$A$1:$C$39,3,0)</f>
        <v>TOBA BÁM DÍNH</v>
      </c>
      <c r="F1293" s="160">
        <f t="shared" si="135"/>
        <v>0</v>
      </c>
      <c r="G1293" s="176"/>
      <c r="H1293" s="176"/>
      <c r="I1293" s="176"/>
      <c r="J1293" s="176"/>
      <c r="K1293" s="176"/>
      <c r="L1293" s="176"/>
      <c r="M1293" s="176"/>
      <c r="N1293" s="176"/>
      <c r="O1293" s="176"/>
      <c r="P1293" s="176"/>
      <c r="Q1293" s="176"/>
      <c r="R1293" s="176"/>
      <c r="S1293" s="162">
        <f t="shared" si="134"/>
        <v>0</v>
      </c>
      <c r="T1293" s="167"/>
    </row>
    <row r="1294" customHeight="1" spans="2:20">
      <c r="B1294" s="166"/>
      <c r="C1294" s="164">
        <f t="shared" si="133"/>
        <v>35</v>
      </c>
      <c r="D1294" s="158" t="str">
        <f>VLOOKUP(C1294,DMSP!$A$1:$C$39,2,0)</f>
        <v>7.KHÁC</v>
      </c>
      <c r="E1294" s="159" t="str">
        <f>VLOOKUP(C1294,DMSP!$A$1:$C$39,3,0)</f>
        <v>VỌT HOA NHÃN</v>
      </c>
      <c r="F1294" s="160">
        <f t="shared" si="135"/>
        <v>0</v>
      </c>
      <c r="G1294" s="176"/>
      <c r="H1294" s="176"/>
      <c r="I1294" s="176"/>
      <c r="J1294" s="176"/>
      <c r="K1294" s="176"/>
      <c r="L1294" s="176"/>
      <c r="M1294" s="176"/>
      <c r="N1294" s="176"/>
      <c r="O1294" s="176"/>
      <c r="P1294" s="176"/>
      <c r="Q1294" s="176"/>
      <c r="R1294" s="176"/>
      <c r="S1294" s="162">
        <f t="shared" si="134"/>
        <v>0</v>
      </c>
      <c r="T1294" s="167"/>
    </row>
    <row r="1295" customHeight="1" spans="2:20">
      <c r="B1295" s="166"/>
      <c r="C1295" s="164">
        <f t="shared" si="133"/>
        <v>36</v>
      </c>
      <c r="D1295" s="158" t="str">
        <f>VLOOKUP(C1295,DMSP!$A$1:$C$39,2,0)</f>
        <v>7.KHÁC</v>
      </c>
      <c r="E1295" s="159" t="str">
        <f>VLOOKUP(C1295,DMSP!$A$1:$C$39,3,0)</f>
        <v>VỌT HOA XOÀI</v>
      </c>
      <c r="F1295" s="160">
        <f t="shared" si="135"/>
        <v>0</v>
      </c>
      <c r="G1295" s="176"/>
      <c r="H1295" s="176"/>
      <c r="I1295" s="176"/>
      <c r="J1295" s="176"/>
      <c r="K1295" s="176"/>
      <c r="L1295" s="176"/>
      <c r="M1295" s="176"/>
      <c r="N1295" s="176"/>
      <c r="O1295" s="176"/>
      <c r="P1295" s="176"/>
      <c r="Q1295" s="176"/>
      <c r="R1295" s="176"/>
      <c r="S1295" s="162">
        <f t="shared" si="134"/>
        <v>0</v>
      </c>
      <c r="T1295" s="167"/>
    </row>
    <row r="1296" customHeight="1" spans="2:20">
      <c r="B1296" s="166"/>
      <c r="C1296" s="164">
        <f t="shared" si="133"/>
        <v>37</v>
      </c>
      <c r="D1296" s="158" t="str">
        <f>VLOOKUP(C1296,DMSP!$A$1:$C$39,2,0)</f>
        <v>7.KHÁC</v>
      </c>
      <c r="E1296" s="159" t="str">
        <f>VLOOKUP(C1296,DMSP!$A$1:$C$39,3,0)</f>
        <v>VỌT HOA XOÀI</v>
      </c>
      <c r="F1296" s="160">
        <f t="shared" si="135"/>
        <v>0</v>
      </c>
      <c r="G1296" s="176"/>
      <c r="H1296" s="176"/>
      <c r="I1296" s="176"/>
      <c r="J1296" s="176"/>
      <c r="K1296" s="176"/>
      <c r="L1296" s="176"/>
      <c r="M1296" s="176"/>
      <c r="N1296" s="176"/>
      <c r="O1296" s="176"/>
      <c r="P1296" s="176"/>
      <c r="Q1296" s="176"/>
      <c r="R1296" s="176"/>
      <c r="S1296" s="162">
        <f t="shared" si="134"/>
        <v>0</v>
      </c>
      <c r="T1296" s="167"/>
    </row>
    <row r="1297" customHeight="1" spans="2:20">
      <c r="B1297" s="92"/>
      <c r="C1297" s="170">
        <f t="shared" ref="C1297" si="136">B1260</f>
        <v>0</v>
      </c>
      <c r="D1297" s="171"/>
      <c r="E1297" s="172" t="str">
        <f>"TOTAL "&amp;B1260</f>
        <v>TOTAL </v>
      </c>
      <c r="F1297" s="173">
        <f t="shared" si="135"/>
        <v>0</v>
      </c>
      <c r="G1297" s="174">
        <f>SUM(G1260:G1296)</f>
        <v>0</v>
      </c>
      <c r="H1297" s="174">
        <f t="shared" ref="H1297:R1297" si="137">SUM(H1260:H1296)</f>
        <v>0</v>
      </c>
      <c r="I1297" s="174">
        <f t="shared" si="137"/>
        <v>0</v>
      </c>
      <c r="J1297" s="174">
        <f t="shared" si="137"/>
        <v>0</v>
      </c>
      <c r="K1297" s="174">
        <f t="shared" si="137"/>
        <v>0</v>
      </c>
      <c r="L1297" s="174">
        <f t="shared" si="137"/>
        <v>0</v>
      </c>
      <c r="M1297" s="174">
        <f t="shared" si="137"/>
        <v>0</v>
      </c>
      <c r="N1297" s="174">
        <f t="shared" si="137"/>
        <v>0</v>
      </c>
      <c r="O1297" s="174">
        <f t="shared" si="137"/>
        <v>0</v>
      </c>
      <c r="P1297" s="174">
        <f t="shared" si="137"/>
        <v>0</v>
      </c>
      <c r="Q1297" s="174">
        <f t="shared" si="137"/>
        <v>0</v>
      </c>
      <c r="R1297" s="174">
        <f t="shared" si="137"/>
        <v>0</v>
      </c>
      <c r="S1297" s="174">
        <f t="shared" si="134"/>
        <v>0</v>
      </c>
      <c r="T1297" s="175"/>
    </row>
    <row r="1298" customHeight="1" spans="2:20">
      <c r="B1298" s="156"/>
      <c r="C1298" s="157">
        <v>1</v>
      </c>
      <c r="D1298" s="158" t="str">
        <f>VLOOKUP(C1298,DMSP!$A$1:$C$39,2,0)</f>
        <v>1.TOBA XANH</v>
      </c>
      <c r="E1298" s="159" t="str">
        <f>VLOOKUP(C1298,DMSP!$A$1:$C$39,3,0)</f>
        <v>TOBA XANH</v>
      </c>
      <c r="F1298" s="160">
        <f t="shared" si="135"/>
        <v>0</v>
      </c>
      <c r="G1298" s="176"/>
      <c r="H1298" s="176"/>
      <c r="I1298" s="176"/>
      <c r="J1298" s="176"/>
      <c r="K1298" s="176"/>
      <c r="L1298" s="176"/>
      <c r="M1298" s="176"/>
      <c r="N1298" s="176"/>
      <c r="O1298" s="176"/>
      <c r="P1298" s="176"/>
      <c r="Q1298" s="176"/>
      <c r="R1298" s="176"/>
      <c r="S1298" s="162">
        <f t="shared" si="134"/>
        <v>0</v>
      </c>
      <c r="T1298" s="163">
        <f>S1335</f>
        <v>0</v>
      </c>
    </row>
    <row r="1299" customHeight="1" spans="2:20">
      <c r="B1299" s="166"/>
      <c r="C1299" s="164">
        <f t="shared" si="133"/>
        <v>2</v>
      </c>
      <c r="D1299" s="158" t="str">
        <f>VLOOKUP(C1299,DMSP!$A$1:$C$39,2,0)</f>
        <v>2.HC</v>
      </c>
      <c r="E1299" s="159" t="str">
        <f>VLOOKUP(C1299,DMSP!$A$1:$C$39,3,0)</f>
        <v>HC BOOSTER</v>
      </c>
      <c r="F1299" s="160">
        <f t="shared" si="135"/>
        <v>0</v>
      </c>
      <c r="G1299" s="176"/>
      <c r="H1299" s="176"/>
      <c r="I1299" s="176"/>
      <c r="J1299" s="176"/>
      <c r="K1299" s="176"/>
      <c r="L1299" s="176"/>
      <c r="M1299" s="176"/>
      <c r="N1299" s="176"/>
      <c r="O1299" s="176"/>
      <c r="P1299" s="176"/>
      <c r="Q1299" s="176"/>
      <c r="R1299" s="176"/>
      <c r="S1299" s="162">
        <f t="shared" ref="S1299:S1336" si="138">SUM(G1299:R1299)</f>
        <v>0</v>
      </c>
      <c r="T1299" s="167"/>
    </row>
    <row r="1300" customHeight="1" spans="2:20">
      <c r="B1300" s="166"/>
      <c r="C1300" s="164">
        <f t="shared" si="133"/>
        <v>3</v>
      </c>
      <c r="D1300" s="158" t="str">
        <f>VLOOKUP(C1300,DMSP!$A$1:$C$39,2,0)</f>
        <v>2.HC</v>
      </c>
      <c r="E1300" s="159" t="str">
        <f>VLOOKUP(C1300,DMSP!$A$1:$C$39,3,0)</f>
        <v>HC KING-ROOT</v>
      </c>
      <c r="F1300" s="160">
        <f t="shared" si="135"/>
        <v>0</v>
      </c>
      <c r="G1300" s="176"/>
      <c r="H1300" s="176"/>
      <c r="I1300" s="176"/>
      <c r="J1300" s="176"/>
      <c r="K1300" s="176"/>
      <c r="L1300" s="176"/>
      <c r="M1300" s="176"/>
      <c r="N1300" s="176"/>
      <c r="O1300" s="176"/>
      <c r="P1300" s="176"/>
      <c r="Q1300" s="176"/>
      <c r="R1300" s="176"/>
      <c r="S1300" s="162">
        <f t="shared" si="138"/>
        <v>0</v>
      </c>
      <c r="T1300" s="167"/>
    </row>
    <row r="1301" customHeight="1" spans="2:20">
      <c r="B1301" s="166"/>
      <c r="C1301" s="164">
        <f t="shared" si="133"/>
        <v>4</v>
      </c>
      <c r="D1301" s="158" t="str">
        <f>VLOOKUP(C1301,DMSP!$A$1:$C$39,2,0)</f>
        <v>2.HC</v>
      </c>
      <c r="E1301" s="159" t="str">
        <f>VLOOKUP(C1301,DMSP!$A$1:$C$39,3,0)</f>
        <v>HAPPY FARM</v>
      </c>
      <c r="F1301" s="160">
        <f t="shared" si="135"/>
        <v>0</v>
      </c>
      <c r="G1301" s="176"/>
      <c r="H1301" s="176"/>
      <c r="I1301" s="176"/>
      <c r="J1301" s="176"/>
      <c r="K1301" s="176"/>
      <c r="L1301" s="176"/>
      <c r="M1301" s="176"/>
      <c r="N1301" s="176"/>
      <c r="O1301" s="176"/>
      <c r="P1301" s="176"/>
      <c r="Q1301" s="176"/>
      <c r="R1301" s="176"/>
      <c r="S1301" s="162">
        <f t="shared" si="138"/>
        <v>0</v>
      </c>
      <c r="T1301" s="167"/>
    </row>
    <row r="1302" customHeight="1" spans="2:20">
      <c r="B1302" s="166"/>
      <c r="C1302" s="164">
        <f t="shared" si="133"/>
        <v>5</v>
      </c>
      <c r="D1302" s="158" t="str">
        <f>VLOOKUP(C1302,DMSP!$A$1:$C$39,2,0)</f>
        <v>2.HC</v>
      </c>
      <c r="E1302" s="159" t="str">
        <f>VLOOKUP(C1302,DMSP!$A$1:$C$39,3,0)</f>
        <v>WOW</v>
      </c>
      <c r="F1302" s="160">
        <f t="shared" si="135"/>
        <v>0</v>
      </c>
      <c r="G1302" s="176"/>
      <c r="H1302" s="176"/>
      <c r="I1302" s="176"/>
      <c r="J1302" s="176"/>
      <c r="K1302" s="176"/>
      <c r="L1302" s="176"/>
      <c r="M1302" s="176"/>
      <c r="N1302" s="176"/>
      <c r="O1302" s="176"/>
      <c r="P1302" s="176"/>
      <c r="Q1302" s="176"/>
      <c r="R1302" s="176"/>
      <c r="S1302" s="162">
        <f t="shared" si="138"/>
        <v>0</v>
      </c>
      <c r="T1302" s="167"/>
    </row>
    <row r="1303" customHeight="1" spans="2:20">
      <c r="B1303" s="166"/>
      <c r="C1303" s="164">
        <f t="shared" si="133"/>
        <v>6</v>
      </c>
      <c r="D1303" s="158" t="str">
        <f>VLOOKUP(C1303,DMSP!$A$1:$C$39,2,0)</f>
        <v>3.SPRAY </v>
      </c>
      <c r="E1303" s="159" t="str">
        <f>VLOOKUP(C1303,DMSP!$A$1:$C$39,3,0)</f>
        <v>KELPIT</v>
      </c>
      <c r="F1303" s="160">
        <f t="shared" si="135"/>
        <v>0</v>
      </c>
      <c r="G1303" s="176"/>
      <c r="H1303" s="176"/>
      <c r="I1303" s="176"/>
      <c r="J1303" s="176"/>
      <c r="K1303" s="176"/>
      <c r="L1303" s="176"/>
      <c r="M1303" s="176"/>
      <c r="N1303" s="176"/>
      <c r="O1303" s="176"/>
      <c r="P1303" s="176"/>
      <c r="Q1303" s="176"/>
      <c r="R1303" s="176"/>
      <c r="S1303" s="162">
        <f t="shared" si="138"/>
        <v>0</v>
      </c>
      <c r="T1303" s="167"/>
    </row>
    <row r="1304" customHeight="1" spans="2:20">
      <c r="B1304" s="166"/>
      <c r="C1304" s="164">
        <f t="shared" si="133"/>
        <v>7</v>
      </c>
      <c r="D1304" s="158" t="str">
        <f>VLOOKUP(C1304,DMSP!$A$1:$C$39,2,0)</f>
        <v>3.SPRAY </v>
      </c>
      <c r="E1304" s="159" t="str">
        <f>VLOOKUP(C1304,DMSP!$A$1:$C$39,3,0)</f>
        <v>SI-K</v>
      </c>
      <c r="F1304" s="160">
        <f t="shared" si="135"/>
        <v>0</v>
      </c>
      <c r="G1304" s="176"/>
      <c r="H1304" s="176"/>
      <c r="I1304" s="176"/>
      <c r="J1304" s="176"/>
      <c r="K1304" s="176"/>
      <c r="L1304" s="176"/>
      <c r="M1304" s="176"/>
      <c r="N1304" s="176"/>
      <c r="O1304" s="176"/>
      <c r="P1304" s="176"/>
      <c r="Q1304" s="176"/>
      <c r="R1304" s="176"/>
      <c r="S1304" s="162">
        <f t="shared" si="138"/>
        <v>0</v>
      </c>
      <c r="T1304" s="167"/>
    </row>
    <row r="1305" customHeight="1" spans="2:20">
      <c r="B1305" s="166"/>
      <c r="C1305" s="164">
        <f t="shared" si="133"/>
        <v>8</v>
      </c>
      <c r="D1305" s="158" t="str">
        <f>VLOOKUP(C1305,DMSP!$A$1:$C$39,2,0)</f>
        <v>3.SPRAY </v>
      </c>
      <c r="E1305" s="159" t="str">
        <f>VLOOKUP(C1305,DMSP!$A$1:$C$39,3,0)</f>
        <v>SPRAY PHOS 620</v>
      </c>
      <c r="F1305" s="160">
        <f t="shared" si="135"/>
        <v>0</v>
      </c>
      <c r="G1305" s="176"/>
      <c r="H1305" s="176"/>
      <c r="I1305" s="176"/>
      <c r="J1305" s="176"/>
      <c r="K1305" s="176"/>
      <c r="L1305" s="176"/>
      <c r="M1305" s="176"/>
      <c r="N1305" s="176"/>
      <c r="O1305" s="176"/>
      <c r="P1305" s="176"/>
      <c r="Q1305" s="176"/>
      <c r="R1305" s="176"/>
      <c r="S1305" s="162">
        <f t="shared" si="138"/>
        <v>0</v>
      </c>
      <c r="T1305" s="167"/>
    </row>
    <row r="1306" customHeight="1" spans="2:20">
      <c r="B1306" s="166"/>
      <c r="C1306" s="164">
        <f t="shared" si="133"/>
        <v>9</v>
      </c>
      <c r="D1306" s="158" t="str">
        <f>VLOOKUP(C1306,DMSP!$A$1:$C$39,2,0)</f>
        <v>4.DƯỠNG RỄ</v>
      </c>
      <c r="E1306" s="159" t="str">
        <f>VLOOKUP(C1306,DMSP!$A$1:$C$39,3,0)</f>
        <v>CHITOSAN</v>
      </c>
      <c r="F1306" s="160">
        <f t="shared" si="135"/>
        <v>0</v>
      </c>
      <c r="G1306" s="176"/>
      <c r="H1306" s="176"/>
      <c r="I1306" s="176"/>
      <c r="J1306" s="176"/>
      <c r="K1306" s="176"/>
      <c r="L1306" s="176"/>
      <c r="M1306" s="176"/>
      <c r="N1306" s="176"/>
      <c r="O1306" s="176"/>
      <c r="P1306" s="176"/>
      <c r="Q1306" s="176"/>
      <c r="R1306" s="176"/>
      <c r="S1306" s="162">
        <f t="shared" si="138"/>
        <v>0</v>
      </c>
      <c r="T1306" s="167"/>
    </row>
    <row r="1307" customHeight="1" spans="2:20">
      <c r="B1307" s="166"/>
      <c r="C1307" s="164">
        <f t="shared" si="133"/>
        <v>10</v>
      </c>
      <c r="D1307" s="158" t="str">
        <f>VLOOKUP(C1307,DMSP!$A$1:$C$39,2,0)</f>
        <v>4.DƯỠNG RỄ</v>
      </c>
      <c r="E1307" s="159" t="str">
        <f>VLOOKUP(C1307,DMSP!$A$1:$C$39,3,0)</f>
        <v>ĐẠM CÁ</v>
      </c>
      <c r="F1307" s="160">
        <f t="shared" si="135"/>
        <v>0</v>
      </c>
      <c r="G1307" s="176"/>
      <c r="H1307" s="176"/>
      <c r="I1307" s="176"/>
      <c r="J1307" s="176"/>
      <c r="K1307" s="176"/>
      <c r="L1307" s="176"/>
      <c r="M1307" s="176"/>
      <c r="N1307" s="176"/>
      <c r="O1307" s="176"/>
      <c r="P1307" s="176"/>
      <c r="Q1307" s="176"/>
      <c r="R1307" s="176"/>
      <c r="S1307" s="162">
        <f t="shared" si="138"/>
        <v>0</v>
      </c>
      <c r="T1307" s="167"/>
    </row>
    <row r="1308" customHeight="1" spans="2:20">
      <c r="B1308" s="166"/>
      <c r="C1308" s="164">
        <f t="shared" si="133"/>
        <v>11</v>
      </c>
      <c r="D1308" s="158" t="str">
        <f>VLOOKUP(C1308,DMSP!$A$1:$C$39,2,0)</f>
        <v>4.DƯỠNG RỄ</v>
      </c>
      <c r="E1308" s="159" t="str">
        <f>VLOOKUP(C1308,DMSP!$A$1:$C$39,3,0)</f>
        <v>ĐẠM TÔM</v>
      </c>
      <c r="F1308" s="160">
        <f t="shared" si="135"/>
        <v>0</v>
      </c>
      <c r="G1308" s="176"/>
      <c r="H1308" s="176"/>
      <c r="I1308" s="176"/>
      <c r="J1308" s="176"/>
      <c r="K1308" s="176"/>
      <c r="L1308" s="176"/>
      <c r="M1308" s="176"/>
      <c r="N1308" s="176"/>
      <c r="O1308" s="176"/>
      <c r="P1308" s="176"/>
      <c r="Q1308" s="176"/>
      <c r="R1308" s="176"/>
      <c r="S1308" s="162">
        <f t="shared" si="138"/>
        <v>0</v>
      </c>
      <c r="T1308" s="167"/>
    </row>
    <row r="1309" customHeight="1" spans="2:20">
      <c r="B1309" s="166"/>
      <c r="C1309" s="164">
        <f t="shared" si="133"/>
        <v>12</v>
      </c>
      <c r="D1309" s="158" t="str">
        <f>VLOOKUP(C1309,DMSP!$A$1:$C$39,2,0)</f>
        <v>4.DƯỠNG RỄ</v>
      </c>
      <c r="E1309" s="159" t="str">
        <f>VLOOKUP(C1309,DMSP!$A$1:$C$39,3,0)</f>
        <v>SUPERMIC</v>
      </c>
      <c r="F1309" s="160">
        <f t="shared" si="135"/>
        <v>0</v>
      </c>
      <c r="G1309" s="176"/>
      <c r="H1309" s="176"/>
      <c r="I1309" s="176"/>
      <c r="J1309" s="176"/>
      <c r="K1309" s="176"/>
      <c r="L1309" s="176"/>
      <c r="M1309" s="176"/>
      <c r="N1309" s="176"/>
      <c r="O1309" s="176"/>
      <c r="P1309" s="176"/>
      <c r="Q1309" s="176"/>
      <c r="R1309" s="176"/>
      <c r="S1309" s="162">
        <f t="shared" si="138"/>
        <v>0</v>
      </c>
      <c r="T1309" s="167"/>
    </row>
    <row r="1310" customHeight="1" spans="2:20">
      <c r="B1310" s="166"/>
      <c r="C1310" s="164">
        <f t="shared" si="133"/>
        <v>13</v>
      </c>
      <c r="D1310" s="158" t="str">
        <f>VLOOKUP(C1310,DMSP!$A$1:$C$39,2,0)</f>
        <v>5.TRUYỀN THỐNG</v>
      </c>
      <c r="E1310" s="159" t="str">
        <f>VLOOKUP(C1310,DMSP!$A$1:$C$39,3,0)</f>
        <v>CABO</v>
      </c>
      <c r="F1310" s="160">
        <f t="shared" si="135"/>
        <v>0</v>
      </c>
      <c r="G1310" s="176"/>
      <c r="H1310" s="176"/>
      <c r="I1310" s="176"/>
      <c r="J1310" s="176"/>
      <c r="K1310" s="176"/>
      <c r="L1310" s="176"/>
      <c r="M1310" s="176"/>
      <c r="N1310" s="176"/>
      <c r="O1310" s="176"/>
      <c r="P1310" s="176"/>
      <c r="Q1310" s="176"/>
      <c r="R1310" s="176"/>
      <c r="S1310" s="162">
        <f t="shared" si="138"/>
        <v>0</v>
      </c>
      <c r="T1310" s="167"/>
    </row>
    <row r="1311" customHeight="1" spans="2:20">
      <c r="B1311" s="166"/>
      <c r="C1311" s="164">
        <f t="shared" si="133"/>
        <v>14</v>
      </c>
      <c r="D1311" s="158" t="str">
        <f>VLOOKUP(C1311,DMSP!$A$1:$C$39,2,0)</f>
        <v>5.TRUYỀN THỐNG</v>
      </c>
      <c r="E1311" s="159" t="str">
        <f>VLOOKUP(C1311,DMSP!$A$1:$C$39,3,0)</f>
        <v>F94</v>
      </c>
      <c r="F1311" s="160">
        <f t="shared" si="135"/>
        <v>0</v>
      </c>
      <c r="G1311" s="176"/>
      <c r="H1311" s="176"/>
      <c r="I1311" s="176"/>
      <c r="J1311" s="176"/>
      <c r="K1311" s="176"/>
      <c r="L1311" s="176"/>
      <c r="M1311" s="176"/>
      <c r="N1311" s="176"/>
      <c r="O1311" s="176"/>
      <c r="P1311" s="176"/>
      <c r="Q1311" s="176"/>
      <c r="R1311" s="176"/>
      <c r="S1311" s="162">
        <f t="shared" si="138"/>
        <v>0</v>
      </c>
      <c r="T1311" s="167"/>
    </row>
    <row r="1312" customHeight="1" spans="2:20">
      <c r="B1312" s="166"/>
      <c r="C1312" s="164">
        <f t="shared" si="133"/>
        <v>15</v>
      </c>
      <c r="D1312" s="158" t="str">
        <f>VLOOKUP(C1312,DMSP!$A$1:$C$39,2,0)</f>
        <v>5.TRUYỀN THỐNG</v>
      </c>
      <c r="E1312" s="159" t="str">
        <f>VLOOKUP(C1312,DMSP!$A$1:$C$39,3,0)</f>
        <v>F95</v>
      </c>
      <c r="F1312" s="160">
        <f t="shared" si="135"/>
        <v>0</v>
      </c>
      <c r="G1312" s="176"/>
      <c r="H1312" s="176"/>
      <c r="I1312" s="176"/>
      <c r="J1312" s="176"/>
      <c r="K1312" s="176"/>
      <c r="L1312" s="176"/>
      <c r="M1312" s="176"/>
      <c r="N1312" s="176"/>
      <c r="O1312" s="176"/>
      <c r="P1312" s="176"/>
      <c r="Q1312" s="176"/>
      <c r="R1312" s="176"/>
      <c r="S1312" s="162">
        <f t="shared" si="138"/>
        <v>0</v>
      </c>
      <c r="T1312" s="167"/>
    </row>
    <row r="1313" customHeight="1" spans="2:20">
      <c r="B1313" s="166"/>
      <c r="C1313" s="164">
        <f t="shared" si="133"/>
        <v>16</v>
      </c>
      <c r="D1313" s="158" t="str">
        <f>VLOOKUP(C1313,DMSP!$A$1:$C$39,2,0)</f>
        <v>5.TRUYỀN THỐNG</v>
      </c>
      <c r="E1313" s="159" t="str">
        <f>VLOOKUP(C1313,DMSP!$A$1:$C$39,3,0)</f>
        <v>THIOURE</v>
      </c>
      <c r="F1313" s="160">
        <f t="shared" si="135"/>
        <v>0</v>
      </c>
      <c r="G1313" s="176"/>
      <c r="H1313" s="176"/>
      <c r="I1313" s="176"/>
      <c r="J1313" s="176"/>
      <c r="K1313" s="176"/>
      <c r="L1313" s="176"/>
      <c r="M1313" s="176"/>
      <c r="N1313" s="176"/>
      <c r="O1313" s="176"/>
      <c r="P1313" s="176"/>
      <c r="Q1313" s="176"/>
      <c r="R1313" s="176"/>
      <c r="S1313" s="162">
        <f t="shared" si="138"/>
        <v>0</v>
      </c>
      <c r="T1313" s="167"/>
    </row>
    <row r="1314" customHeight="1" spans="2:20">
      <c r="B1314" s="166"/>
      <c r="C1314" s="164">
        <f t="shared" si="133"/>
        <v>17</v>
      </c>
      <c r="D1314" s="158" t="str">
        <f>VLOOKUP(C1314,DMSP!$A$1:$C$39,2,0)</f>
        <v>5.TRUYỀN THỐNG</v>
      </c>
      <c r="E1314" s="159" t="str">
        <f>VLOOKUP(C1314,DMSP!$A$1:$C$39,3,0)</f>
        <v>TOBA JUM</v>
      </c>
      <c r="F1314" s="160">
        <f t="shared" si="135"/>
        <v>0</v>
      </c>
      <c r="G1314" s="176"/>
      <c r="H1314" s="176"/>
      <c r="I1314" s="176"/>
      <c r="J1314" s="176"/>
      <c r="K1314" s="176"/>
      <c r="L1314" s="176"/>
      <c r="M1314" s="176"/>
      <c r="N1314" s="176"/>
      <c r="O1314" s="176"/>
      <c r="P1314" s="176"/>
      <c r="Q1314" s="176"/>
      <c r="R1314" s="176"/>
      <c r="S1314" s="162">
        <f t="shared" si="138"/>
        <v>0</v>
      </c>
      <c r="T1314" s="167"/>
    </row>
    <row r="1315" customHeight="1" spans="2:20">
      <c r="B1315" s="166"/>
      <c r="C1315" s="164">
        <f t="shared" si="133"/>
        <v>18</v>
      </c>
      <c r="D1315" s="158" t="str">
        <f>VLOOKUP(C1315,DMSP!$A$1:$C$39,2,0)</f>
        <v>5.TRUYỀN THỐNG</v>
      </c>
      <c r="E1315" s="159" t="str">
        <f>VLOOKUP(C1315,DMSP!$A$1:$C$39,3,0)</f>
        <v>TOBA NET</v>
      </c>
      <c r="F1315" s="160">
        <f t="shared" si="135"/>
        <v>0</v>
      </c>
      <c r="G1315" s="176"/>
      <c r="H1315" s="176"/>
      <c r="I1315" s="176"/>
      <c r="J1315" s="176"/>
      <c r="K1315" s="176"/>
      <c r="L1315" s="176"/>
      <c r="M1315" s="176"/>
      <c r="N1315" s="176"/>
      <c r="O1315" s="176"/>
      <c r="P1315" s="176"/>
      <c r="Q1315" s="176"/>
      <c r="R1315" s="176"/>
      <c r="S1315" s="162">
        <f t="shared" si="138"/>
        <v>0</v>
      </c>
      <c r="T1315" s="167"/>
    </row>
    <row r="1316" customHeight="1" spans="2:20">
      <c r="B1316" s="166"/>
      <c r="C1316" s="164">
        <f t="shared" si="133"/>
        <v>19</v>
      </c>
      <c r="D1316" s="158" t="str">
        <f>VLOOKUP(C1316,DMSP!$A$1:$C$39,2,0)</f>
        <v>6.BVTV</v>
      </c>
      <c r="E1316" s="159" t="str">
        <f>VLOOKUP(C1316,DMSP!$A$1:$C$39,3,0)</f>
        <v>ABAFAX 1.8</v>
      </c>
      <c r="F1316" s="160">
        <f t="shared" si="135"/>
        <v>0</v>
      </c>
      <c r="G1316" s="176"/>
      <c r="H1316" s="176"/>
      <c r="I1316" s="176"/>
      <c r="J1316" s="176"/>
      <c r="K1316" s="176"/>
      <c r="L1316" s="176"/>
      <c r="M1316" s="176"/>
      <c r="N1316" s="176"/>
      <c r="O1316" s="176"/>
      <c r="P1316" s="176"/>
      <c r="Q1316" s="176"/>
      <c r="R1316" s="176"/>
      <c r="S1316" s="162">
        <f t="shared" si="138"/>
        <v>0</v>
      </c>
      <c r="T1316" s="167"/>
    </row>
    <row r="1317" customHeight="1" spans="2:20">
      <c r="B1317" s="166"/>
      <c r="C1317" s="164">
        <f t="shared" si="133"/>
        <v>20</v>
      </c>
      <c r="D1317" s="158" t="str">
        <f>VLOOKUP(C1317,DMSP!$A$1:$C$39,2,0)</f>
        <v>6.BVTV</v>
      </c>
      <c r="E1317" s="159" t="str">
        <f>VLOOKUP(C1317,DMSP!$A$1:$C$39,3,0)</f>
        <v>ABAFAX 3.6</v>
      </c>
      <c r="F1317" s="160">
        <f t="shared" si="135"/>
        <v>0</v>
      </c>
      <c r="G1317" s="176"/>
      <c r="H1317" s="176"/>
      <c r="I1317" s="176"/>
      <c r="J1317" s="176"/>
      <c r="K1317" s="176"/>
      <c r="L1317" s="176"/>
      <c r="M1317" s="176"/>
      <c r="N1317" s="176"/>
      <c r="O1317" s="176"/>
      <c r="P1317" s="176"/>
      <c r="Q1317" s="176"/>
      <c r="R1317" s="176"/>
      <c r="S1317" s="162">
        <f t="shared" si="138"/>
        <v>0</v>
      </c>
      <c r="T1317" s="167"/>
    </row>
    <row r="1318" customHeight="1" spans="2:20">
      <c r="B1318" s="166"/>
      <c r="C1318" s="164">
        <f t="shared" si="133"/>
        <v>21</v>
      </c>
      <c r="D1318" s="158" t="str">
        <f>VLOOKUP(C1318,DMSP!$A$1:$C$39,2,0)</f>
        <v>6.BVTV</v>
      </c>
      <c r="E1318" s="159" t="str">
        <f>VLOOKUP(C1318,DMSP!$A$1:$C$39,3,0)</f>
        <v>AZET</v>
      </c>
      <c r="F1318" s="160">
        <f t="shared" si="135"/>
        <v>0</v>
      </c>
      <c r="G1318" s="176"/>
      <c r="H1318" s="176"/>
      <c r="I1318" s="176"/>
      <c r="J1318" s="176"/>
      <c r="K1318" s="176"/>
      <c r="L1318" s="176"/>
      <c r="M1318" s="176"/>
      <c r="N1318" s="176"/>
      <c r="O1318" s="176"/>
      <c r="P1318" s="176"/>
      <c r="Q1318" s="176"/>
      <c r="R1318" s="176"/>
      <c r="S1318" s="162">
        <f t="shared" si="138"/>
        <v>0</v>
      </c>
      <c r="T1318" s="167"/>
    </row>
    <row r="1319" customHeight="1" spans="2:20">
      <c r="B1319" s="166"/>
      <c r="C1319" s="164">
        <f t="shared" si="133"/>
        <v>22</v>
      </c>
      <c r="D1319" s="158" t="str">
        <f>VLOOKUP(C1319,DMSP!$A$1:$C$39,2,0)</f>
        <v>6.BVTV</v>
      </c>
      <c r="E1319" s="159" t="str">
        <f>VLOOKUP(C1319,DMSP!$A$1:$C$39,3,0)</f>
        <v>BACBA</v>
      </c>
      <c r="F1319" s="160">
        <f t="shared" si="135"/>
        <v>0</v>
      </c>
      <c r="G1319" s="176"/>
      <c r="H1319" s="176"/>
      <c r="I1319" s="176"/>
      <c r="J1319" s="176"/>
      <c r="K1319" s="176"/>
      <c r="L1319" s="176"/>
      <c r="M1319" s="176"/>
      <c r="N1319" s="176"/>
      <c r="O1319" s="176"/>
      <c r="P1319" s="176"/>
      <c r="Q1319" s="176"/>
      <c r="R1319" s="176"/>
      <c r="S1319" s="162">
        <f t="shared" si="138"/>
        <v>0</v>
      </c>
      <c r="T1319" s="167"/>
    </row>
    <row r="1320" customHeight="1" spans="2:20">
      <c r="B1320" s="166"/>
      <c r="C1320" s="164">
        <f t="shared" si="133"/>
        <v>23</v>
      </c>
      <c r="D1320" s="158" t="str">
        <f>VLOOKUP(C1320,DMSP!$A$1:$C$39,2,0)</f>
        <v>6.BVTV</v>
      </c>
      <c r="E1320" s="159" t="str">
        <f>VLOOKUP(C1320,DMSP!$A$1:$C$39,3,0)</f>
        <v>BIOROSAMIL</v>
      </c>
      <c r="F1320" s="160">
        <f t="shared" si="135"/>
        <v>0</v>
      </c>
      <c r="G1320" s="176"/>
      <c r="H1320" s="176"/>
      <c r="I1320" s="176"/>
      <c r="J1320" s="176"/>
      <c r="K1320" s="176"/>
      <c r="L1320" s="176"/>
      <c r="M1320" s="176"/>
      <c r="N1320" s="176"/>
      <c r="O1320" s="176"/>
      <c r="P1320" s="176"/>
      <c r="Q1320" s="176"/>
      <c r="R1320" s="176"/>
      <c r="S1320" s="162">
        <f t="shared" si="138"/>
        <v>0</v>
      </c>
      <c r="T1320" s="167"/>
    </row>
    <row r="1321" customHeight="1" spans="2:20">
      <c r="B1321" s="166"/>
      <c r="C1321" s="164">
        <f t="shared" si="133"/>
        <v>24</v>
      </c>
      <c r="D1321" s="158" t="str">
        <f>VLOOKUP(C1321,DMSP!$A$1:$C$39,2,0)</f>
        <v>6.BVTV</v>
      </c>
      <c r="E1321" s="159" t="str">
        <f>VLOOKUP(C1321,DMSP!$A$1:$C$39,3,0)</f>
        <v>COC 86</v>
      </c>
      <c r="F1321" s="160">
        <f t="shared" si="135"/>
        <v>0</v>
      </c>
      <c r="G1321" s="176"/>
      <c r="H1321" s="176"/>
      <c r="I1321" s="176"/>
      <c r="J1321" s="176"/>
      <c r="K1321" s="176"/>
      <c r="L1321" s="176"/>
      <c r="M1321" s="176"/>
      <c r="N1321" s="176"/>
      <c r="O1321" s="176"/>
      <c r="P1321" s="176"/>
      <c r="Q1321" s="176"/>
      <c r="R1321" s="176"/>
      <c r="S1321" s="162">
        <f t="shared" si="138"/>
        <v>0</v>
      </c>
      <c r="T1321" s="167"/>
    </row>
    <row r="1322" customHeight="1" spans="2:20">
      <c r="B1322" s="166"/>
      <c r="C1322" s="164">
        <f t="shared" si="133"/>
        <v>25</v>
      </c>
      <c r="D1322" s="158" t="str">
        <f>VLOOKUP(C1322,DMSP!$A$1:$C$39,2,0)</f>
        <v>6.BVTV</v>
      </c>
      <c r="E1322" s="159" t="str">
        <f>VLOOKUP(C1322,DMSP!$A$1:$C$39,3,0)</f>
        <v>HEXA 5</v>
      </c>
      <c r="F1322" s="160">
        <f t="shared" si="135"/>
        <v>0</v>
      </c>
      <c r="G1322" s="176"/>
      <c r="H1322" s="176"/>
      <c r="I1322" s="176"/>
      <c r="J1322" s="176"/>
      <c r="K1322" s="176"/>
      <c r="L1322" s="176"/>
      <c r="M1322" s="176"/>
      <c r="N1322" s="176"/>
      <c r="O1322" s="176"/>
      <c r="P1322" s="176"/>
      <c r="Q1322" s="176"/>
      <c r="R1322" s="176"/>
      <c r="S1322" s="162">
        <f t="shared" si="138"/>
        <v>0</v>
      </c>
      <c r="T1322" s="167"/>
    </row>
    <row r="1323" customHeight="1" spans="2:20">
      <c r="B1323" s="166"/>
      <c r="C1323" s="164">
        <f t="shared" si="133"/>
        <v>26</v>
      </c>
      <c r="D1323" s="158" t="str">
        <f>VLOOKUP(C1323,DMSP!$A$1:$C$39,2,0)</f>
        <v>6.BVTV</v>
      </c>
      <c r="E1323" s="159" t="str">
        <f>VLOOKUP(C1323,DMSP!$A$1:$C$39,3,0)</f>
        <v>TAMALA</v>
      </c>
      <c r="F1323" s="160">
        <f t="shared" si="135"/>
        <v>0</v>
      </c>
      <c r="G1323" s="176"/>
      <c r="H1323" s="176"/>
      <c r="I1323" s="176"/>
      <c r="J1323" s="176"/>
      <c r="K1323" s="176"/>
      <c r="L1323" s="176"/>
      <c r="M1323" s="176"/>
      <c r="N1323" s="176"/>
      <c r="O1323" s="176"/>
      <c r="P1323" s="176"/>
      <c r="Q1323" s="176"/>
      <c r="R1323" s="176"/>
      <c r="S1323" s="162">
        <f t="shared" si="138"/>
        <v>0</v>
      </c>
      <c r="T1323" s="167"/>
    </row>
    <row r="1324" customHeight="1" spans="2:20">
      <c r="B1324" s="166"/>
      <c r="C1324" s="164">
        <f t="shared" si="133"/>
        <v>27</v>
      </c>
      <c r="D1324" s="158" t="str">
        <f>VLOOKUP(C1324,DMSP!$A$1:$C$39,2,0)</f>
        <v>7.KHÁC</v>
      </c>
      <c r="E1324" s="159" t="str">
        <f>VLOOKUP(C1324,DMSP!$A$1:$C$39,3,0)</f>
        <v>KẼM VÀNG</v>
      </c>
      <c r="F1324" s="160">
        <f t="shared" si="135"/>
        <v>0</v>
      </c>
      <c r="G1324" s="176"/>
      <c r="H1324" s="176"/>
      <c r="I1324" s="176"/>
      <c r="J1324" s="176"/>
      <c r="K1324" s="176"/>
      <c r="L1324" s="176"/>
      <c r="M1324" s="176"/>
      <c r="N1324" s="176"/>
      <c r="O1324" s="176"/>
      <c r="P1324" s="176"/>
      <c r="Q1324" s="176"/>
      <c r="R1324" s="176"/>
      <c r="S1324" s="162">
        <f t="shared" si="138"/>
        <v>0</v>
      </c>
      <c r="T1324" s="167"/>
    </row>
    <row r="1325" customHeight="1" spans="2:20">
      <c r="B1325" s="166"/>
      <c r="C1325" s="164">
        <f t="shared" ref="C1325:C1334" si="139">C1324+1</f>
        <v>28</v>
      </c>
      <c r="D1325" s="158" t="str">
        <f>VLOOKUP(C1325,DMSP!$A$1:$C$39,2,0)</f>
        <v>7.KHÁC</v>
      </c>
      <c r="E1325" s="159" t="str">
        <f>VLOOKUP(C1325,DMSP!$A$1:$C$39,3,0)</f>
        <v>KHÁC1</v>
      </c>
      <c r="F1325" s="160">
        <f t="shared" si="135"/>
        <v>0</v>
      </c>
      <c r="G1325" s="176"/>
      <c r="H1325" s="176"/>
      <c r="I1325" s="176"/>
      <c r="J1325" s="176"/>
      <c r="K1325" s="176"/>
      <c r="L1325" s="176"/>
      <c r="M1325" s="176"/>
      <c r="N1325" s="176"/>
      <c r="O1325" s="176"/>
      <c r="P1325" s="176"/>
      <c r="Q1325" s="176"/>
      <c r="R1325" s="176"/>
      <c r="S1325" s="162">
        <f t="shared" si="138"/>
        <v>0</v>
      </c>
      <c r="T1325" s="167"/>
    </row>
    <row r="1326" customHeight="1" spans="2:20">
      <c r="B1326" s="166"/>
      <c r="C1326" s="164">
        <f t="shared" si="139"/>
        <v>29</v>
      </c>
      <c r="D1326" s="158" t="str">
        <f>VLOOKUP(C1326,DMSP!$A$1:$C$39,2,0)</f>
        <v>7.KHÁC</v>
      </c>
      <c r="E1326" s="169" t="s">
        <v>13</v>
      </c>
      <c r="F1326" s="160">
        <f t="shared" si="135"/>
        <v>0</v>
      </c>
      <c r="G1326" s="176"/>
      <c r="H1326" s="176"/>
      <c r="I1326" s="176"/>
      <c r="J1326" s="176"/>
      <c r="K1326" s="176"/>
      <c r="L1326" s="176"/>
      <c r="M1326" s="176"/>
      <c r="N1326" s="176"/>
      <c r="O1326" s="176"/>
      <c r="P1326" s="176"/>
      <c r="Q1326" s="176"/>
      <c r="R1326" s="176"/>
      <c r="S1326" s="162">
        <f t="shared" si="138"/>
        <v>0</v>
      </c>
      <c r="T1326" s="167"/>
    </row>
    <row r="1327" customHeight="1" spans="2:20">
      <c r="B1327" s="166"/>
      <c r="C1327" s="164">
        <f t="shared" si="139"/>
        <v>30</v>
      </c>
      <c r="D1327" s="158" t="str">
        <f>VLOOKUP(C1327,DMSP!$A$1:$C$39,2,0)</f>
        <v>7.KHÁC</v>
      </c>
      <c r="E1327" s="159" t="str">
        <f>VLOOKUP(C1327,DMSP!$A$1:$C$39,3,0)</f>
        <v>RỬA RONG RÊU</v>
      </c>
      <c r="F1327" s="160">
        <f t="shared" si="135"/>
        <v>0</v>
      </c>
      <c r="G1327" s="176"/>
      <c r="H1327" s="176"/>
      <c r="I1327" s="176"/>
      <c r="J1327" s="176"/>
      <c r="K1327" s="176"/>
      <c r="L1327" s="176"/>
      <c r="M1327" s="176"/>
      <c r="N1327" s="176"/>
      <c r="O1327" s="176"/>
      <c r="P1327" s="176"/>
      <c r="Q1327" s="176"/>
      <c r="R1327" s="176"/>
      <c r="S1327" s="162">
        <f t="shared" si="138"/>
        <v>0</v>
      </c>
      <c r="T1327" s="167"/>
    </row>
    <row r="1328" customHeight="1" spans="2:20">
      <c r="B1328" s="166"/>
      <c r="C1328" s="164">
        <f t="shared" si="139"/>
        <v>31</v>
      </c>
      <c r="D1328" s="158" t="str">
        <f>VLOOKUP(C1328,DMSP!$A$1:$C$39,2,0)</f>
        <v>7.KHÁC</v>
      </c>
      <c r="E1328" s="159" t="str">
        <f>VLOOKUP(C1328,DMSP!$A$1:$C$39,3,0)</f>
        <v>TB BO</v>
      </c>
      <c r="F1328" s="160">
        <f t="shared" si="135"/>
        <v>0</v>
      </c>
      <c r="G1328" s="176"/>
      <c r="H1328" s="176"/>
      <c r="I1328" s="176"/>
      <c r="J1328" s="176"/>
      <c r="K1328" s="176"/>
      <c r="L1328" s="176"/>
      <c r="M1328" s="176"/>
      <c r="N1328" s="176"/>
      <c r="O1328" s="176"/>
      <c r="P1328" s="176"/>
      <c r="Q1328" s="176"/>
      <c r="R1328" s="176"/>
      <c r="S1328" s="162">
        <f t="shared" si="138"/>
        <v>0</v>
      </c>
      <c r="T1328" s="167"/>
    </row>
    <row r="1329" customHeight="1" spans="2:20">
      <c r="B1329" s="166"/>
      <c r="C1329" s="164">
        <f t="shared" si="139"/>
        <v>32</v>
      </c>
      <c r="D1329" s="158" t="str">
        <f>VLOOKUP(C1329,DMSP!$A$1:$C$39,2,0)</f>
        <v>7.KHÁC</v>
      </c>
      <c r="E1329" s="159" t="str">
        <f>VLOOKUP(C1329,DMSP!$A$1:$C$39,3,0)</f>
        <v>TB FRUIT</v>
      </c>
      <c r="F1329" s="160">
        <f t="shared" si="135"/>
        <v>0</v>
      </c>
      <c r="G1329" s="176"/>
      <c r="H1329" s="176"/>
      <c r="I1329" s="176"/>
      <c r="J1329" s="176"/>
      <c r="K1329" s="176"/>
      <c r="L1329" s="176"/>
      <c r="M1329" s="176"/>
      <c r="N1329" s="176"/>
      <c r="O1329" s="176"/>
      <c r="P1329" s="176"/>
      <c r="Q1329" s="176"/>
      <c r="R1329" s="176"/>
      <c r="S1329" s="162">
        <f t="shared" si="138"/>
        <v>0</v>
      </c>
      <c r="T1329" s="167"/>
    </row>
    <row r="1330" customHeight="1" spans="2:20">
      <c r="B1330" s="166"/>
      <c r="C1330" s="164">
        <f t="shared" si="139"/>
        <v>33</v>
      </c>
      <c r="D1330" s="158" t="str">
        <f>VLOOKUP(C1330,DMSP!$A$1:$C$39,2,0)</f>
        <v>7.KHÁC</v>
      </c>
      <c r="E1330" s="159" t="str">
        <f>VLOOKUP(C1330,DMSP!$A$1:$C$39,3,0)</f>
        <v>TB PHOS</v>
      </c>
      <c r="F1330" s="160">
        <f t="shared" si="135"/>
        <v>0</v>
      </c>
      <c r="G1330" s="176"/>
      <c r="H1330" s="176"/>
      <c r="I1330" s="176"/>
      <c r="J1330" s="176"/>
      <c r="K1330" s="176"/>
      <c r="L1330" s="176"/>
      <c r="M1330" s="176"/>
      <c r="N1330" s="176"/>
      <c r="O1330" s="176"/>
      <c r="P1330" s="176"/>
      <c r="Q1330" s="176"/>
      <c r="R1330" s="176"/>
      <c r="S1330" s="162">
        <f t="shared" si="138"/>
        <v>0</v>
      </c>
      <c r="T1330" s="167"/>
    </row>
    <row r="1331" customHeight="1" spans="2:20">
      <c r="B1331" s="166"/>
      <c r="C1331" s="164">
        <f t="shared" si="139"/>
        <v>34</v>
      </c>
      <c r="D1331" s="158" t="str">
        <f>VLOOKUP(C1331,DMSP!$A$1:$C$39,2,0)</f>
        <v>7.KHÁC</v>
      </c>
      <c r="E1331" s="159" t="str">
        <f>VLOOKUP(C1331,DMSP!$A$1:$C$39,3,0)</f>
        <v>TOBA BÁM DÍNH</v>
      </c>
      <c r="F1331" s="160">
        <f t="shared" si="135"/>
        <v>0</v>
      </c>
      <c r="G1331" s="176"/>
      <c r="H1331" s="176"/>
      <c r="I1331" s="176"/>
      <c r="J1331" s="176"/>
      <c r="K1331" s="176"/>
      <c r="L1331" s="176"/>
      <c r="M1331" s="176"/>
      <c r="N1331" s="176"/>
      <c r="O1331" s="176"/>
      <c r="P1331" s="176"/>
      <c r="Q1331" s="176"/>
      <c r="R1331" s="176"/>
      <c r="S1331" s="162">
        <f t="shared" si="138"/>
        <v>0</v>
      </c>
      <c r="T1331" s="167"/>
    </row>
    <row r="1332" customHeight="1" spans="2:20">
      <c r="B1332" s="166"/>
      <c r="C1332" s="164">
        <f t="shared" si="139"/>
        <v>35</v>
      </c>
      <c r="D1332" s="158" t="str">
        <f>VLOOKUP(C1332,DMSP!$A$1:$C$39,2,0)</f>
        <v>7.KHÁC</v>
      </c>
      <c r="E1332" s="159" t="str">
        <f>VLOOKUP(C1332,DMSP!$A$1:$C$39,3,0)</f>
        <v>VỌT HOA NHÃN</v>
      </c>
      <c r="F1332" s="160">
        <f t="shared" si="135"/>
        <v>0</v>
      </c>
      <c r="G1332" s="176"/>
      <c r="H1332" s="176"/>
      <c r="I1332" s="176"/>
      <c r="J1332" s="176"/>
      <c r="K1332" s="176"/>
      <c r="L1332" s="176"/>
      <c r="M1332" s="176"/>
      <c r="N1332" s="176"/>
      <c r="O1332" s="176"/>
      <c r="P1332" s="176"/>
      <c r="Q1332" s="176"/>
      <c r="R1332" s="176"/>
      <c r="S1332" s="162">
        <f t="shared" si="138"/>
        <v>0</v>
      </c>
      <c r="T1332" s="167"/>
    </row>
    <row r="1333" customHeight="1" spans="2:20">
      <c r="B1333" s="166"/>
      <c r="C1333" s="164">
        <f t="shared" si="139"/>
        <v>36</v>
      </c>
      <c r="D1333" s="158" t="str">
        <f>VLOOKUP(C1333,DMSP!$A$1:$C$39,2,0)</f>
        <v>7.KHÁC</v>
      </c>
      <c r="E1333" s="159" t="str">
        <f>VLOOKUP(C1333,DMSP!$A$1:$C$39,3,0)</f>
        <v>VỌT HOA XOÀI</v>
      </c>
      <c r="F1333" s="160">
        <f t="shared" si="135"/>
        <v>0</v>
      </c>
      <c r="G1333" s="176"/>
      <c r="H1333" s="176"/>
      <c r="I1333" s="176"/>
      <c r="J1333" s="176"/>
      <c r="K1333" s="176"/>
      <c r="L1333" s="176"/>
      <c r="M1333" s="176"/>
      <c r="N1333" s="176"/>
      <c r="O1333" s="176"/>
      <c r="P1333" s="176"/>
      <c r="Q1333" s="176"/>
      <c r="R1333" s="176"/>
      <c r="S1333" s="162">
        <f t="shared" si="138"/>
        <v>0</v>
      </c>
      <c r="T1333" s="167"/>
    </row>
    <row r="1334" customHeight="1" spans="2:20">
      <c r="B1334" s="166"/>
      <c r="C1334" s="164">
        <f t="shared" si="139"/>
        <v>37</v>
      </c>
      <c r="D1334" s="158" t="str">
        <f>VLOOKUP(C1334,DMSP!$A$1:$C$39,2,0)</f>
        <v>7.KHÁC</v>
      </c>
      <c r="E1334" s="159" t="str">
        <f>VLOOKUP(C1334,DMSP!$A$1:$C$39,3,0)</f>
        <v>VỌT HOA XOÀI</v>
      </c>
      <c r="F1334" s="160">
        <f t="shared" si="135"/>
        <v>0</v>
      </c>
      <c r="G1334" s="176"/>
      <c r="H1334" s="176"/>
      <c r="I1334" s="176"/>
      <c r="J1334" s="176"/>
      <c r="K1334" s="176"/>
      <c r="L1334" s="176"/>
      <c r="M1334" s="176"/>
      <c r="N1334" s="176"/>
      <c r="O1334" s="176"/>
      <c r="P1334" s="176"/>
      <c r="Q1334" s="176"/>
      <c r="R1334" s="176"/>
      <c r="S1334" s="162">
        <f t="shared" si="138"/>
        <v>0</v>
      </c>
      <c r="T1334" s="167"/>
    </row>
    <row r="1335" customHeight="1" spans="2:20">
      <c r="B1335" s="92"/>
      <c r="C1335" s="170">
        <f t="shared" ref="C1335" si="140">B1298</f>
        <v>0</v>
      </c>
      <c r="D1335" s="171"/>
      <c r="E1335" s="172" t="str">
        <f>"TOTAL "&amp;B1298</f>
        <v>TOTAL </v>
      </c>
      <c r="F1335" s="173">
        <f t="shared" si="135"/>
        <v>0</v>
      </c>
      <c r="G1335" s="174">
        <f>SUM(G1298:G1334)</f>
        <v>0</v>
      </c>
      <c r="H1335" s="174">
        <f t="shared" ref="H1335:R1335" si="141">SUM(H1298:H1334)</f>
        <v>0</v>
      </c>
      <c r="I1335" s="174">
        <f t="shared" si="141"/>
        <v>0</v>
      </c>
      <c r="J1335" s="174">
        <f t="shared" si="141"/>
        <v>0</v>
      </c>
      <c r="K1335" s="174">
        <f t="shared" si="141"/>
        <v>0</v>
      </c>
      <c r="L1335" s="174">
        <f t="shared" si="141"/>
        <v>0</v>
      </c>
      <c r="M1335" s="174">
        <f t="shared" si="141"/>
        <v>0</v>
      </c>
      <c r="N1335" s="174">
        <f t="shared" si="141"/>
        <v>0</v>
      </c>
      <c r="O1335" s="174">
        <f t="shared" si="141"/>
        <v>0</v>
      </c>
      <c r="P1335" s="174">
        <f t="shared" si="141"/>
        <v>0</v>
      </c>
      <c r="Q1335" s="174">
        <f t="shared" si="141"/>
        <v>0</v>
      </c>
      <c r="R1335" s="174">
        <f t="shared" si="141"/>
        <v>0</v>
      </c>
      <c r="S1335" s="174">
        <f t="shared" si="138"/>
        <v>0</v>
      </c>
      <c r="T1335" s="175"/>
    </row>
    <row r="1336" customHeight="1" spans="2:20">
      <c r="B1336" s="156"/>
      <c r="C1336" s="157">
        <v>1</v>
      </c>
      <c r="D1336" s="158" t="str">
        <f>VLOOKUP(C1336,DMSP!$A$1:$C$39,2,0)</f>
        <v>1.TOBA XANH</v>
      </c>
      <c r="E1336" s="159" t="str">
        <f>VLOOKUP(C1336,DMSP!$A$1:$C$39,3,0)</f>
        <v>TOBA XANH</v>
      </c>
      <c r="F1336" s="160">
        <f t="shared" si="135"/>
        <v>0</v>
      </c>
      <c r="G1336" s="176"/>
      <c r="H1336" s="176"/>
      <c r="I1336" s="176"/>
      <c r="J1336" s="176"/>
      <c r="K1336" s="176"/>
      <c r="L1336" s="176"/>
      <c r="M1336" s="176"/>
      <c r="N1336" s="176"/>
      <c r="O1336" s="176"/>
      <c r="P1336" s="176"/>
      <c r="Q1336" s="176"/>
      <c r="R1336" s="176"/>
      <c r="S1336" s="162">
        <f t="shared" si="138"/>
        <v>0</v>
      </c>
      <c r="T1336" s="163">
        <f>S1373</f>
        <v>0</v>
      </c>
    </row>
    <row r="1337" customHeight="1" spans="2:20">
      <c r="B1337" s="166"/>
      <c r="C1337" s="164">
        <f t="shared" ref="C1337:C1372" si="142">C1336+1</f>
        <v>2</v>
      </c>
      <c r="D1337" s="158" t="str">
        <f>VLOOKUP(C1337,DMSP!$A$1:$C$39,2,0)</f>
        <v>2.HC</v>
      </c>
      <c r="E1337" s="159" t="str">
        <f>VLOOKUP(C1337,DMSP!$A$1:$C$39,3,0)</f>
        <v>HC BOOSTER</v>
      </c>
      <c r="F1337" s="160">
        <f t="shared" si="135"/>
        <v>0</v>
      </c>
      <c r="G1337" s="176"/>
      <c r="H1337" s="176"/>
      <c r="I1337" s="176"/>
      <c r="J1337" s="176"/>
      <c r="K1337" s="176"/>
      <c r="L1337" s="176"/>
      <c r="M1337" s="176"/>
      <c r="N1337" s="176"/>
      <c r="O1337" s="176"/>
      <c r="P1337" s="176"/>
      <c r="Q1337" s="176"/>
      <c r="R1337" s="176"/>
      <c r="S1337" s="162">
        <f t="shared" ref="S1337:S1374" si="143">SUM(G1337:R1337)</f>
        <v>0</v>
      </c>
      <c r="T1337" s="167"/>
    </row>
    <row r="1338" customHeight="1" spans="2:20">
      <c r="B1338" s="166"/>
      <c r="C1338" s="164">
        <f t="shared" si="142"/>
        <v>3</v>
      </c>
      <c r="D1338" s="158" t="str">
        <f>VLOOKUP(C1338,DMSP!$A$1:$C$39,2,0)</f>
        <v>2.HC</v>
      </c>
      <c r="E1338" s="159" t="str">
        <f>VLOOKUP(C1338,DMSP!$A$1:$C$39,3,0)</f>
        <v>HC KING-ROOT</v>
      </c>
      <c r="F1338" s="160">
        <f t="shared" si="135"/>
        <v>0</v>
      </c>
      <c r="G1338" s="176"/>
      <c r="H1338" s="176"/>
      <c r="I1338" s="176"/>
      <c r="J1338" s="176"/>
      <c r="K1338" s="176"/>
      <c r="L1338" s="176"/>
      <c r="M1338" s="176"/>
      <c r="N1338" s="176"/>
      <c r="O1338" s="176"/>
      <c r="P1338" s="176"/>
      <c r="Q1338" s="176"/>
      <c r="R1338" s="176"/>
      <c r="S1338" s="162">
        <f t="shared" si="143"/>
        <v>0</v>
      </c>
      <c r="T1338" s="167"/>
    </row>
    <row r="1339" customHeight="1" spans="2:20">
      <c r="B1339" s="166"/>
      <c r="C1339" s="164">
        <f t="shared" si="142"/>
        <v>4</v>
      </c>
      <c r="D1339" s="158" t="str">
        <f>VLOOKUP(C1339,DMSP!$A$1:$C$39,2,0)</f>
        <v>2.HC</v>
      </c>
      <c r="E1339" s="159" t="str">
        <f>VLOOKUP(C1339,DMSP!$A$1:$C$39,3,0)</f>
        <v>HAPPY FARM</v>
      </c>
      <c r="F1339" s="160">
        <f t="shared" si="135"/>
        <v>0</v>
      </c>
      <c r="G1339" s="176"/>
      <c r="H1339" s="176"/>
      <c r="I1339" s="176"/>
      <c r="J1339" s="176"/>
      <c r="K1339" s="176"/>
      <c r="L1339" s="176"/>
      <c r="M1339" s="176"/>
      <c r="N1339" s="176"/>
      <c r="O1339" s="176"/>
      <c r="P1339" s="176"/>
      <c r="Q1339" s="176"/>
      <c r="R1339" s="176"/>
      <c r="S1339" s="162">
        <f t="shared" si="143"/>
        <v>0</v>
      </c>
      <c r="T1339" s="167"/>
    </row>
    <row r="1340" customHeight="1" spans="2:20">
      <c r="B1340" s="166"/>
      <c r="C1340" s="164">
        <f t="shared" si="142"/>
        <v>5</v>
      </c>
      <c r="D1340" s="158" t="str">
        <f>VLOOKUP(C1340,DMSP!$A$1:$C$39,2,0)</f>
        <v>2.HC</v>
      </c>
      <c r="E1340" s="159" t="str">
        <f>VLOOKUP(C1340,DMSP!$A$1:$C$39,3,0)</f>
        <v>WOW</v>
      </c>
      <c r="F1340" s="160">
        <f t="shared" si="135"/>
        <v>0</v>
      </c>
      <c r="G1340" s="176"/>
      <c r="H1340" s="176"/>
      <c r="I1340" s="176"/>
      <c r="J1340" s="176"/>
      <c r="K1340" s="176"/>
      <c r="L1340" s="176"/>
      <c r="M1340" s="176"/>
      <c r="N1340" s="176"/>
      <c r="O1340" s="176"/>
      <c r="P1340" s="176"/>
      <c r="Q1340" s="176"/>
      <c r="R1340" s="176"/>
      <c r="S1340" s="162">
        <f t="shared" si="143"/>
        <v>0</v>
      </c>
      <c r="T1340" s="167"/>
    </row>
    <row r="1341" customHeight="1" spans="2:20">
      <c r="B1341" s="166"/>
      <c r="C1341" s="164">
        <f t="shared" si="142"/>
        <v>6</v>
      </c>
      <c r="D1341" s="158" t="str">
        <f>VLOOKUP(C1341,DMSP!$A$1:$C$39,2,0)</f>
        <v>3.SPRAY </v>
      </c>
      <c r="E1341" s="159" t="str">
        <f>VLOOKUP(C1341,DMSP!$A$1:$C$39,3,0)</f>
        <v>KELPIT</v>
      </c>
      <c r="F1341" s="160">
        <f t="shared" si="135"/>
        <v>0</v>
      </c>
      <c r="G1341" s="176"/>
      <c r="H1341" s="176"/>
      <c r="I1341" s="176"/>
      <c r="J1341" s="176"/>
      <c r="K1341" s="176"/>
      <c r="L1341" s="176"/>
      <c r="M1341" s="176"/>
      <c r="N1341" s="176"/>
      <c r="O1341" s="176"/>
      <c r="P1341" s="176"/>
      <c r="Q1341" s="176"/>
      <c r="R1341" s="176"/>
      <c r="S1341" s="162">
        <f t="shared" si="143"/>
        <v>0</v>
      </c>
      <c r="T1341" s="167"/>
    </row>
    <row r="1342" customHeight="1" spans="2:20">
      <c r="B1342" s="166"/>
      <c r="C1342" s="164">
        <f t="shared" si="142"/>
        <v>7</v>
      </c>
      <c r="D1342" s="158" t="str">
        <f>VLOOKUP(C1342,DMSP!$A$1:$C$39,2,0)</f>
        <v>3.SPRAY </v>
      </c>
      <c r="E1342" s="159" t="str">
        <f>VLOOKUP(C1342,DMSP!$A$1:$C$39,3,0)</f>
        <v>SI-K</v>
      </c>
      <c r="F1342" s="160">
        <f t="shared" si="135"/>
        <v>0</v>
      </c>
      <c r="G1342" s="176"/>
      <c r="H1342" s="176"/>
      <c r="I1342" s="176"/>
      <c r="J1342" s="176"/>
      <c r="K1342" s="176"/>
      <c r="L1342" s="176"/>
      <c r="M1342" s="176"/>
      <c r="N1342" s="176"/>
      <c r="O1342" s="176"/>
      <c r="P1342" s="176"/>
      <c r="Q1342" s="176"/>
      <c r="R1342" s="176"/>
      <c r="S1342" s="162">
        <f t="shared" si="143"/>
        <v>0</v>
      </c>
      <c r="T1342" s="167"/>
    </row>
    <row r="1343" customHeight="1" spans="2:20">
      <c r="B1343" s="166"/>
      <c r="C1343" s="164">
        <f t="shared" si="142"/>
        <v>8</v>
      </c>
      <c r="D1343" s="158" t="str">
        <f>VLOOKUP(C1343,DMSP!$A$1:$C$39,2,0)</f>
        <v>3.SPRAY </v>
      </c>
      <c r="E1343" s="159" t="str">
        <f>VLOOKUP(C1343,DMSP!$A$1:$C$39,3,0)</f>
        <v>SPRAY PHOS 620</v>
      </c>
      <c r="F1343" s="160">
        <f t="shared" si="135"/>
        <v>0</v>
      </c>
      <c r="G1343" s="176"/>
      <c r="H1343" s="176"/>
      <c r="I1343" s="176"/>
      <c r="J1343" s="176"/>
      <c r="K1343" s="176"/>
      <c r="L1343" s="176"/>
      <c r="M1343" s="176"/>
      <c r="N1343" s="176"/>
      <c r="O1343" s="176"/>
      <c r="P1343" s="176"/>
      <c r="Q1343" s="176"/>
      <c r="R1343" s="176"/>
      <c r="S1343" s="162">
        <f t="shared" si="143"/>
        <v>0</v>
      </c>
      <c r="T1343" s="167"/>
    </row>
    <row r="1344" customHeight="1" spans="2:20">
      <c r="B1344" s="166"/>
      <c r="C1344" s="164">
        <f t="shared" si="142"/>
        <v>9</v>
      </c>
      <c r="D1344" s="158" t="str">
        <f>VLOOKUP(C1344,DMSP!$A$1:$C$39,2,0)</f>
        <v>4.DƯỠNG RỄ</v>
      </c>
      <c r="E1344" s="159" t="str">
        <f>VLOOKUP(C1344,DMSP!$A$1:$C$39,3,0)</f>
        <v>CHITOSAN</v>
      </c>
      <c r="F1344" s="160">
        <f t="shared" si="135"/>
        <v>0</v>
      </c>
      <c r="G1344" s="176"/>
      <c r="H1344" s="176"/>
      <c r="I1344" s="176"/>
      <c r="J1344" s="176"/>
      <c r="K1344" s="176"/>
      <c r="L1344" s="176"/>
      <c r="M1344" s="176"/>
      <c r="N1344" s="176"/>
      <c r="O1344" s="176"/>
      <c r="P1344" s="176"/>
      <c r="Q1344" s="176"/>
      <c r="R1344" s="176"/>
      <c r="S1344" s="162">
        <f t="shared" si="143"/>
        <v>0</v>
      </c>
      <c r="T1344" s="167"/>
    </row>
    <row r="1345" customHeight="1" spans="2:20">
      <c r="B1345" s="166"/>
      <c r="C1345" s="164">
        <f t="shared" si="142"/>
        <v>10</v>
      </c>
      <c r="D1345" s="158" t="str">
        <f>VLOOKUP(C1345,DMSP!$A$1:$C$39,2,0)</f>
        <v>4.DƯỠNG RỄ</v>
      </c>
      <c r="E1345" s="159" t="str">
        <f>VLOOKUP(C1345,DMSP!$A$1:$C$39,3,0)</f>
        <v>ĐẠM CÁ</v>
      </c>
      <c r="F1345" s="160">
        <f t="shared" si="135"/>
        <v>0</v>
      </c>
      <c r="G1345" s="176"/>
      <c r="H1345" s="176"/>
      <c r="I1345" s="176"/>
      <c r="J1345" s="176"/>
      <c r="K1345" s="176"/>
      <c r="L1345" s="176"/>
      <c r="M1345" s="176"/>
      <c r="N1345" s="176"/>
      <c r="O1345" s="176"/>
      <c r="P1345" s="176"/>
      <c r="Q1345" s="176"/>
      <c r="R1345" s="176"/>
      <c r="S1345" s="162">
        <f t="shared" si="143"/>
        <v>0</v>
      </c>
      <c r="T1345" s="167"/>
    </row>
    <row r="1346" customHeight="1" spans="2:20">
      <c r="B1346" s="166"/>
      <c r="C1346" s="164">
        <f t="shared" si="142"/>
        <v>11</v>
      </c>
      <c r="D1346" s="158" t="str">
        <f>VLOOKUP(C1346,DMSP!$A$1:$C$39,2,0)</f>
        <v>4.DƯỠNG RỄ</v>
      </c>
      <c r="E1346" s="159" t="str">
        <f>VLOOKUP(C1346,DMSP!$A$1:$C$39,3,0)</f>
        <v>ĐẠM TÔM</v>
      </c>
      <c r="F1346" s="160">
        <f t="shared" si="135"/>
        <v>0</v>
      </c>
      <c r="G1346" s="176"/>
      <c r="H1346" s="176"/>
      <c r="I1346" s="176"/>
      <c r="J1346" s="176"/>
      <c r="K1346" s="176"/>
      <c r="L1346" s="176"/>
      <c r="M1346" s="176"/>
      <c r="N1346" s="176"/>
      <c r="O1346" s="176"/>
      <c r="P1346" s="176"/>
      <c r="Q1346" s="176"/>
      <c r="R1346" s="176"/>
      <c r="S1346" s="162">
        <f t="shared" si="143"/>
        <v>0</v>
      </c>
      <c r="T1346" s="167"/>
    </row>
    <row r="1347" customHeight="1" spans="2:20">
      <c r="B1347" s="166"/>
      <c r="C1347" s="164">
        <f t="shared" si="142"/>
        <v>12</v>
      </c>
      <c r="D1347" s="158" t="str">
        <f>VLOOKUP(C1347,DMSP!$A$1:$C$39,2,0)</f>
        <v>4.DƯỠNG RỄ</v>
      </c>
      <c r="E1347" s="159" t="str">
        <f>VLOOKUP(C1347,DMSP!$A$1:$C$39,3,0)</f>
        <v>SUPERMIC</v>
      </c>
      <c r="F1347" s="160">
        <f t="shared" si="135"/>
        <v>0</v>
      </c>
      <c r="G1347" s="176"/>
      <c r="H1347" s="176"/>
      <c r="I1347" s="176"/>
      <c r="J1347" s="176"/>
      <c r="K1347" s="176"/>
      <c r="L1347" s="176"/>
      <c r="M1347" s="176"/>
      <c r="N1347" s="176"/>
      <c r="O1347" s="176"/>
      <c r="P1347" s="176"/>
      <c r="Q1347" s="176"/>
      <c r="R1347" s="176"/>
      <c r="S1347" s="162">
        <f t="shared" si="143"/>
        <v>0</v>
      </c>
      <c r="T1347" s="167"/>
    </row>
    <row r="1348" customHeight="1" spans="2:20">
      <c r="B1348" s="166"/>
      <c r="C1348" s="164">
        <f t="shared" si="142"/>
        <v>13</v>
      </c>
      <c r="D1348" s="158" t="str">
        <f>VLOOKUP(C1348,DMSP!$A$1:$C$39,2,0)</f>
        <v>5.TRUYỀN THỐNG</v>
      </c>
      <c r="E1348" s="159" t="str">
        <f>VLOOKUP(C1348,DMSP!$A$1:$C$39,3,0)</f>
        <v>CABO</v>
      </c>
      <c r="F1348" s="160">
        <f t="shared" si="135"/>
        <v>0</v>
      </c>
      <c r="G1348" s="176"/>
      <c r="H1348" s="176"/>
      <c r="I1348" s="176"/>
      <c r="J1348" s="176"/>
      <c r="K1348" s="176"/>
      <c r="L1348" s="176"/>
      <c r="M1348" s="176"/>
      <c r="N1348" s="176"/>
      <c r="O1348" s="176"/>
      <c r="P1348" s="176"/>
      <c r="Q1348" s="176"/>
      <c r="R1348" s="176"/>
      <c r="S1348" s="162">
        <f t="shared" si="143"/>
        <v>0</v>
      </c>
      <c r="T1348" s="167"/>
    </row>
    <row r="1349" customHeight="1" spans="2:20">
      <c r="B1349" s="166"/>
      <c r="C1349" s="164">
        <f t="shared" si="142"/>
        <v>14</v>
      </c>
      <c r="D1349" s="158" t="str">
        <f>VLOOKUP(C1349,DMSP!$A$1:$C$39,2,0)</f>
        <v>5.TRUYỀN THỐNG</v>
      </c>
      <c r="E1349" s="159" t="str">
        <f>VLOOKUP(C1349,DMSP!$A$1:$C$39,3,0)</f>
        <v>F94</v>
      </c>
      <c r="F1349" s="160">
        <f t="shared" si="135"/>
        <v>0</v>
      </c>
      <c r="G1349" s="176"/>
      <c r="H1349" s="176"/>
      <c r="I1349" s="176"/>
      <c r="J1349" s="176"/>
      <c r="K1349" s="176"/>
      <c r="L1349" s="176"/>
      <c r="M1349" s="176"/>
      <c r="N1349" s="176"/>
      <c r="O1349" s="176"/>
      <c r="P1349" s="176"/>
      <c r="Q1349" s="176"/>
      <c r="R1349" s="176"/>
      <c r="S1349" s="162">
        <f t="shared" si="143"/>
        <v>0</v>
      </c>
      <c r="T1349" s="167"/>
    </row>
    <row r="1350" customHeight="1" spans="2:20">
      <c r="B1350" s="166"/>
      <c r="C1350" s="164">
        <f t="shared" si="142"/>
        <v>15</v>
      </c>
      <c r="D1350" s="158" t="str">
        <f>VLOOKUP(C1350,DMSP!$A$1:$C$39,2,0)</f>
        <v>5.TRUYỀN THỐNG</v>
      </c>
      <c r="E1350" s="159" t="str">
        <f>VLOOKUP(C1350,DMSP!$A$1:$C$39,3,0)</f>
        <v>F95</v>
      </c>
      <c r="F1350" s="160">
        <f t="shared" si="135"/>
        <v>0</v>
      </c>
      <c r="G1350" s="176"/>
      <c r="H1350" s="176"/>
      <c r="I1350" s="176"/>
      <c r="J1350" s="176"/>
      <c r="K1350" s="176"/>
      <c r="L1350" s="176"/>
      <c r="M1350" s="176"/>
      <c r="N1350" s="176"/>
      <c r="O1350" s="176"/>
      <c r="P1350" s="176"/>
      <c r="Q1350" s="176"/>
      <c r="R1350" s="176"/>
      <c r="S1350" s="162">
        <f t="shared" si="143"/>
        <v>0</v>
      </c>
      <c r="T1350" s="167"/>
    </row>
    <row r="1351" customHeight="1" spans="2:20">
      <c r="B1351" s="166"/>
      <c r="C1351" s="164">
        <f t="shared" si="142"/>
        <v>16</v>
      </c>
      <c r="D1351" s="158" t="str">
        <f>VLOOKUP(C1351,DMSP!$A$1:$C$39,2,0)</f>
        <v>5.TRUYỀN THỐNG</v>
      </c>
      <c r="E1351" s="159" t="str">
        <f>VLOOKUP(C1351,DMSP!$A$1:$C$39,3,0)</f>
        <v>THIOURE</v>
      </c>
      <c r="F1351" s="160">
        <f t="shared" ref="F1351:F1414" si="144">S1351</f>
        <v>0</v>
      </c>
      <c r="G1351" s="176"/>
      <c r="H1351" s="176"/>
      <c r="I1351" s="176"/>
      <c r="J1351" s="176"/>
      <c r="K1351" s="176"/>
      <c r="L1351" s="176"/>
      <c r="M1351" s="176"/>
      <c r="N1351" s="176"/>
      <c r="O1351" s="176"/>
      <c r="P1351" s="176"/>
      <c r="Q1351" s="176"/>
      <c r="R1351" s="176"/>
      <c r="S1351" s="162">
        <f t="shared" si="143"/>
        <v>0</v>
      </c>
      <c r="T1351" s="167"/>
    </row>
    <row r="1352" customHeight="1" spans="2:20">
      <c r="B1352" s="166"/>
      <c r="C1352" s="164">
        <f t="shared" si="142"/>
        <v>17</v>
      </c>
      <c r="D1352" s="158" t="str">
        <f>VLOOKUP(C1352,DMSP!$A$1:$C$39,2,0)</f>
        <v>5.TRUYỀN THỐNG</v>
      </c>
      <c r="E1352" s="159" t="str">
        <f>VLOOKUP(C1352,DMSP!$A$1:$C$39,3,0)</f>
        <v>TOBA JUM</v>
      </c>
      <c r="F1352" s="160">
        <f t="shared" si="144"/>
        <v>0</v>
      </c>
      <c r="G1352" s="176"/>
      <c r="H1352" s="176"/>
      <c r="I1352" s="176"/>
      <c r="J1352" s="176"/>
      <c r="K1352" s="176"/>
      <c r="L1352" s="176"/>
      <c r="M1352" s="176"/>
      <c r="N1352" s="176"/>
      <c r="O1352" s="176"/>
      <c r="P1352" s="176"/>
      <c r="Q1352" s="176"/>
      <c r="R1352" s="176"/>
      <c r="S1352" s="162">
        <f t="shared" si="143"/>
        <v>0</v>
      </c>
      <c r="T1352" s="167"/>
    </row>
    <row r="1353" customHeight="1" spans="2:20">
      <c r="B1353" s="166"/>
      <c r="C1353" s="164">
        <f t="shared" si="142"/>
        <v>18</v>
      </c>
      <c r="D1353" s="158" t="str">
        <f>VLOOKUP(C1353,DMSP!$A$1:$C$39,2,0)</f>
        <v>5.TRUYỀN THỐNG</v>
      </c>
      <c r="E1353" s="159" t="str">
        <f>VLOOKUP(C1353,DMSP!$A$1:$C$39,3,0)</f>
        <v>TOBA NET</v>
      </c>
      <c r="F1353" s="160">
        <f t="shared" si="144"/>
        <v>0</v>
      </c>
      <c r="G1353" s="176"/>
      <c r="H1353" s="176"/>
      <c r="I1353" s="176"/>
      <c r="J1353" s="176"/>
      <c r="K1353" s="176"/>
      <c r="L1353" s="176"/>
      <c r="M1353" s="176"/>
      <c r="N1353" s="176"/>
      <c r="O1353" s="176"/>
      <c r="P1353" s="176"/>
      <c r="Q1353" s="176"/>
      <c r="R1353" s="176"/>
      <c r="S1353" s="162">
        <f t="shared" si="143"/>
        <v>0</v>
      </c>
      <c r="T1353" s="167"/>
    </row>
    <row r="1354" customHeight="1" spans="2:20">
      <c r="B1354" s="166"/>
      <c r="C1354" s="164">
        <f t="shared" si="142"/>
        <v>19</v>
      </c>
      <c r="D1354" s="158" t="str">
        <f>VLOOKUP(C1354,DMSP!$A$1:$C$39,2,0)</f>
        <v>6.BVTV</v>
      </c>
      <c r="E1354" s="159" t="str">
        <f>VLOOKUP(C1354,DMSP!$A$1:$C$39,3,0)</f>
        <v>ABAFAX 1.8</v>
      </c>
      <c r="F1354" s="160">
        <f t="shared" si="144"/>
        <v>0</v>
      </c>
      <c r="G1354" s="176"/>
      <c r="H1354" s="176"/>
      <c r="I1354" s="176"/>
      <c r="J1354" s="176"/>
      <c r="K1354" s="176"/>
      <c r="L1354" s="176"/>
      <c r="M1354" s="176"/>
      <c r="N1354" s="176"/>
      <c r="O1354" s="176"/>
      <c r="P1354" s="176"/>
      <c r="Q1354" s="176"/>
      <c r="R1354" s="176"/>
      <c r="S1354" s="162">
        <f t="shared" si="143"/>
        <v>0</v>
      </c>
      <c r="T1354" s="167"/>
    </row>
    <row r="1355" customHeight="1" spans="2:20">
      <c r="B1355" s="166"/>
      <c r="C1355" s="164">
        <f t="shared" si="142"/>
        <v>20</v>
      </c>
      <c r="D1355" s="158" t="str">
        <f>VLOOKUP(C1355,DMSP!$A$1:$C$39,2,0)</f>
        <v>6.BVTV</v>
      </c>
      <c r="E1355" s="159" t="str">
        <f>VLOOKUP(C1355,DMSP!$A$1:$C$39,3,0)</f>
        <v>ABAFAX 3.6</v>
      </c>
      <c r="F1355" s="160">
        <f t="shared" si="144"/>
        <v>0</v>
      </c>
      <c r="G1355" s="176"/>
      <c r="H1355" s="176"/>
      <c r="I1355" s="176"/>
      <c r="J1355" s="176"/>
      <c r="K1355" s="176"/>
      <c r="L1355" s="176"/>
      <c r="M1355" s="176"/>
      <c r="N1355" s="176"/>
      <c r="O1355" s="176"/>
      <c r="P1355" s="176"/>
      <c r="Q1355" s="176"/>
      <c r="R1355" s="176"/>
      <c r="S1355" s="162">
        <f t="shared" si="143"/>
        <v>0</v>
      </c>
      <c r="T1355" s="167"/>
    </row>
    <row r="1356" customHeight="1" spans="2:20">
      <c r="B1356" s="166"/>
      <c r="C1356" s="164">
        <f t="shared" si="142"/>
        <v>21</v>
      </c>
      <c r="D1356" s="158" t="str">
        <f>VLOOKUP(C1356,DMSP!$A$1:$C$39,2,0)</f>
        <v>6.BVTV</v>
      </c>
      <c r="E1356" s="159" t="str">
        <f>VLOOKUP(C1356,DMSP!$A$1:$C$39,3,0)</f>
        <v>AZET</v>
      </c>
      <c r="F1356" s="160">
        <f t="shared" si="144"/>
        <v>0</v>
      </c>
      <c r="G1356" s="176"/>
      <c r="H1356" s="176"/>
      <c r="I1356" s="176"/>
      <c r="J1356" s="176"/>
      <c r="K1356" s="176"/>
      <c r="L1356" s="176"/>
      <c r="M1356" s="176"/>
      <c r="N1356" s="176"/>
      <c r="O1356" s="176"/>
      <c r="P1356" s="176"/>
      <c r="Q1356" s="176"/>
      <c r="R1356" s="176"/>
      <c r="S1356" s="162">
        <f t="shared" si="143"/>
        <v>0</v>
      </c>
      <c r="T1356" s="167"/>
    </row>
    <row r="1357" customHeight="1" spans="2:20">
      <c r="B1357" s="166"/>
      <c r="C1357" s="164">
        <f t="shared" si="142"/>
        <v>22</v>
      </c>
      <c r="D1357" s="158" t="str">
        <f>VLOOKUP(C1357,DMSP!$A$1:$C$39,2,0)</f>
        <v>6.BVTV</v>
      </c>
      <c r="E1357" s="159" t="str">
        <f>VLOOKUP(C1357,DMSP!$A$1:$C$39,3,0)</f>
        <v>BACBA</v>
      </c>
      <c r="F1357" s="160">
        <f t="shared" si="144"/>
        <v>0</v>
      </c>
      <c r="G1357" s="176"/>
      <c r="H1357" s="176"/>
      <c r="I1357" s="176"/>
      <c r="J1357" s="176"/>
      <c r="K1357" s="176"/>
      <c r="L1357" s="176"/>
      <c r="M1357" s="176"/>
      <c r="N1357" s="176"/>
      <c r="O1357" s="176"/>
      <c r="P1357" s="176"/>
      <c r="Q1357" s="176"/>
      <c r="R1357" s="176"/>
      <c r="S1357" s="162">
        <f t="shared" si="143"/>
        <v>0</v>
      </c>
      <c r="T1357" s="167"/>
    </row>
    <row r="1358" customHeight="1" spans="2:20">
      <c r="B1358" s="166"/>
      <c r="C1358" s="164">
        <f t="shared" si="142"/>
        <v>23</v>
      </c>
      <c r="D1358" s="158" t="str">
        <f>VLOOKUP(C1358,DMSP!$A$1:$C$39,2,0)</f>
        <v>6.BVTV</v>
      </c>
      <c r="E1358" s="159" t="str">
        <f>VLOOKUP(C1358,DMSP!$A$1:$C$39,3,0)</f>
        <v>BIOROSAMIL</v>
      </c>
      <c r="F1358" s="160">
        <f t="shared" si="144"/>
        <v>0</v>
      </c>
      <c r="G1358" s="176"/>
      <c r="H1358" s="176"/>
      <c r="I1358" s="176"/>
      <c r="J1358" s="176"/>
      <c r="K1358" s="176"/>
      <c r="L1358" s="176"/>
      <c r="M1358" s="176"/>
      <c r="N1358" s="176"/>
      <c r="O1358" s="176"/>
      <c r="P1358" s="176"/>
      <c r="Q1358" s="176"/>
      <c r="R1358" s="176"/>
      <c r="S1358" s="162">
        <f t="shared" si="143"/>
        <v>0</v>
      </c>
      <c r="T1358" s="167"/>
    </row>
    <row r="1359" customHeight="1" spans="2:20">
      <c r="B1359" s="166"/>
      <c r="C1359" s="164">
        <f t="shared" si="142"/>
        <v>24</v>
      </c>
      <c r="D1359" s="158" t="str">
        <f>VLOOKUP(C1359,DMSP!$A$1:$C$39,2,0)</f>
        <v>6.BVTV</v>
      </c>
      <c r="E1359" s="159" t="str">
        <f>VLOOKUP(C1359,DMSP!$A$1:$C$39,3,0)</f>
        <v>COC 86</v>
      </c>
      <c r="F1359" s="160">
        <f t="shared" si="144"/>
        <v>0</v>
      </c>
      <c r="G1359" s="176"/>
      <c r="H1359" s="176"/>
      <c r="I1359" s="176"/>
      <c r="J1359" s="176"/>
      <c r="K1359" s="176"/>
      <c r="L1359" s="176"/>
      <c r="M1359" s="176"/>
      <c r="N1359" s="176"/>
      <c r="O1359" s="176"/>
      <c r="P1359" s="176"/>
      <c r="Q1359" s="176"/>
      <c r="R1359" s="176"/>
      <c r="S1359" s="162">
        <f t="shared" si="143"/>
        <v>0</v>
      </c>
      <c r="T1359" s="167"/>
    </row>
    <row r="1360" customHeight="1" spans="2:20">
      <c r="B1360" s="166"/>
      <c r="C1360" s="164">
        <f t="shared" si="142"/>
        <v>25</v>
      </c>
      <c r="D1360" s="158" t="str">
        <f>VLOOKUP(C1360,DMSP!$A$1:$C$39,2,0)</f>
        <v>6.BVTV</v>
      </c>
      <c r="E1360" s="159" t="str">
        <f>VLOOKUP(C1360,DMSP!$A$1:$C$39,3,0)</f>
        <v>HEXA 5</v>
      </c>
      <c r="F1360" s="160">
        <f t="shared" si="144"/>
        <v>0</v>
      </c>
      <c r="G1360" s="176"/>
      <c r="H1360" s="176"/>
      <c r="I1360" s="176"/>
      <c r="J1360" s="176"/>
      <c r="K1360" s="176"/>
      <c r="L1360" s="176"/>
      <c r="M1360" s="176"/>
      <c r="N1360" s="176"/>
      <c r="O1360" s="176"/>
      <c r="P1360" s="176"/>
      <c r="Q1360" s="176"/>
      <c r="R1360" s="176"/>
      <c r="S1360" s="162">
        <f t="shared" si="143"/>
        <v>0</v>
      </c>
      <c r="T1360" s="167"/>
    </row>
    <row r="1361" customHeight="1" spans="2:20">
      <c r="B1361" s="166"/>
      <c r="C1361" s="164">
        <f t="shared" si="142"/>
        <v>26</v>
      </c>
      <c r="D1361" s="158" t="str">
        <f>VLOOKUP(C1361,DMSP!$A$1:$C$39,2,0)</f>
        <v>6.BVTV</v>
      </c>
      <c r="E1361" s="159" t="str">
        <f>VLOOKUP(C1361,DMSP!$A$1:$C$39,3,0)</f>
        <v>TAMALA</v>
      </c>
      <c r="F1361" s="160">
        <f t="shared" si="144"/>
        <v>0</v>
      </c>
      <c r="G1361" s="176"/>
      <c r="H1361" s="176"/>
      <c r="I1361" s="176"/>
      <c r="J1361" s="176"/>
      <c r="K1361" s="176"/>
      <c r="L1361" s="176"/>
      <c r="M1361" s="176"/>
      <c r="N1361" s="176"/>
      <c r="O1361" s="176"/>
      <c r="P1361" s="176"/>
      <c r="Q1361" s="176"/>
      <c r="R1361" s="176"/>
      <c r="S1361" s="162">
        <f t="shared" si="143"/>
        <v>0</v>
      </c>
      <c r="T1361" s="167"/>
    </row>
    <row r="1362" customHeight="1" spans="2:20">
      <c r="B1362" s="166"/>
      <c r="C1362" s="164">
        <f t="shared" si="142"/>
        <v>27</v>
      </c>
      <c r="D1362" s="158" t="str">
        <f>VLOOKUP(C1362,DMSP!$A$1:$C$39,2,0)</f>
        <v>7.KHÁC</v>
      </c>
      <c r="E1362" s="159" t="str">
        <f>VLOOKUP(C1362,DMSP!$A$1:$C$39,3,0)</f>
        <v>KẼM VÀNG</v>
      </c>
      <c r="F1362" s="160">
        <f t="shared" si="144"/>
        <v>0</v>
      </c>
      <c r="G1362" s="176"/>
      <c r="H1362" s="176"/>
      <c r="I1362" s="176"/>
      <c r="J1362" s="176"/>
      <c r="K1362" s="176"/>
      <c r="L1362" s="176"/>
      <c r="M1362" s="176"/>
      <c r="N1362" s="176"/>
      <c r="O1362" s="176"/>
      <c r="P1362" s="176"/>
      <c r="Q1362" s="176"/>
      <c r="R1362" s="176"/>
      <c r="S1362" s="162">
        <f t="shared" si="143"/>
        <v>0</v>
      </c>
      <c r="T1362" s="167"/>
    </row>
    <row r="1363" customHeight="1" spans="2:20">
      <c r="B1363" s="166"/>
      <c r="C1363" s="164">
        <f t="shared" si="142"/>
        <v>28</v>
      </c>
      <c r="D1363" s="158" t="str">
        <f>VLOOKUP(C1363,DMSP!$A$1:$C$39,2,0)</f>
        <v>7.KHÁC</v>
      </c>
      <c r="E1363" s="159" t="str">
        <f>VLOOKUP(C1363,DMSP!$A$1:$C$39,3,0)</f>
        <v>KHÁC1</v>
      </c>
      <c r="F1363" s="160">
        <f t="shared" si="144"/>
        <v>0</v>
      </c>
      <c r="G1363" s="176"/>
      <c r="H1363" s="176"/>
      <c r="I1363" s="176"/>
      <c r="J1363" s="176"/>
      <c r="K1363" s="176"/>
      <c r="L1363" s="176"/>
      <c r="M1363" s="176"/>
      <c r="N1363" s="176"/>
      <c r="O1363" s="176"/>
      <c r="P1363" s="176"/>
      <c r="Q1363" s="176"/>
      <c r="R1363" s="176"/>
      <c r="S1363" s="162">
        <f t="shared" si="143"/>
        <v>0</v>
      </c>
      <c r="T1363" s="167"/>
    </row>
    <row r="1364" customHeight="1" spans="2:20">
      <c r="B1364" s="166"/>
      <c r="C1364" s="164">
        <f t="shared" si="142"/>
        <v>29</v>
      </c>
      <c r="D1364" s="158" t="str">
        <f>VLOOKUP(C1364,DMSP!$A$1:$C$39,2,0)</f>
        <v>7.KHÁC</v>
      </c>
      <c r="E1364" s="169" t="s">
        <v>13</v>
      </c>
      <c r="F1364" s="160">
        <f t="shared" si="144"/>
        <v>0</v>
      </c>
      <c r="G1364" s="176"/>
      <c r="H1364" s="176"/>
      <c r="I1364" s="176"/>
      <c r="J1364" s="176"/>
      <c r="K1364" s="176"/>
      <c r="L1364" s="176"/>
      <c r="M1364" s="176"/>
      <c r="N1364" s="176"/>
      <c r="O1364" s="176"/>
      <c r="P1364" s="176"/>
      <c r="Q1364" s="176"/>
      <c r="R1364" s="176"/>
      <c r="S1364" s="162">
        <f t="shared" si="143"/>
        <v>0</v>
      </c>
      <c r="T1364" s="167"/>
    </row>
    <row r="1365" customHeight="1" spans="2:20">
      <c r="B1365" s="166"/>
      <c r="C1365" s="164">
        <f t="shared" si="142"/>
        <v>30</v>
      </c>
      <c r="D1365" s="158" t="str">
        <f>VLOOKUP(C1365,DMSP!$A$1:$C$39,2,0)</f>
        <v>7.KHÁC</v>
      </c>
      <c r="E1365" s="159" t="str">
        <f>VLOOKUP(C1365,DMSP!$A$1:$C$39,3,0)</f>
        <v>RỬA RONG RÊU</v>
      </c>
      <c r="F1365" s="160">
        <f t="shared" si="144"/>
        <v>0</v>
      </c>
      <c r="G1365" s="176"/>
      <c r="H1365" s="176"/>
      <c r="I1365" s="176"/>
      <c r="J1365" s="176"/>
      <c r="K1365" s="176"/>
      <c r="L1365" s="176"/>
      <c r="M1365" s="176"/>
      <c r="N1365" s="176"/>
      <c r="O1365" s="176"/>
      <c r="P1365" s="176"/>
      <c r="Q1365" s="176"/>
      <c r="R1365" s="176"/>
      <c r="S1365" s="162">
        <f t="shared" si="143"/>
        <v>0</v>
      </c>
      <c r="T1365" s="167"/>
    </row>
    <row r="1366" customHeight="1" spans="2:20">
      <c r="B1366" s="166"/>
      <c r="C1366" s="164">
        <f t="shared" si="142"/>
        <v>31</v>
      </c>
      <c r="D1366" s="158" t="str">
        <f>VLOOKUP(C1366,DMSP!$A$1:$C$39,2,0)</f>
        <v>7.KHÁC</v>
      </c>
      <c r="E1366" s="159" t="str">
        <f>VLOOKUP(C1366,DMSP!$A$1:$C$39,3,0)</f>
        <v>TB BO</v>
      </c>
      <c r="F1366" s="160">
        <f t="shared" si="144"/>
        <v>0</v>
      </c>
      <c r="G1366" s="176"/>
      <c r="H1366" s="176"/>
      <c r="I1366" s="176"/>
      <c r="J1366" s="176"/>
      <c r="K1366" s="176"/>
      <c r="L1366" s="176"/>
      <c r="M1366" s="176"/>
      <c r="N1366" s="176"/>
      <c r="O1366" s="176"/>
      <c r="P1366" s="176"/>
      <c r="Q1366" s="176"/>
      <c r="R1366" s="176"/>
      <c r="S1366" s="162">
        <f t="shared" si="143"/>
        <v>0</v>
      </c>
      <c r="T1366" s="167"/>
    </row>
    <row r="1367" customHeight="1" spans="2:20">
      <c r="B1367" s="166"/>
      <c r="C1367" s="164">
        <f t="shared" si="142"/>
        <v>32</v>
      </c>
      <c r="D1367" s="158" t="str">
        <f>VLOOKUP(C1367,DMSP!$A$1:$C$39,2,0)</f>
        <v>7.KHÁC</v>
      </c>
      <c r="E1367" s="159" t="str">
        <f>VLOOKUP(C1367,DMSP!$A$1:$C$39,3,0)</f>
        <v>TB FRUIT</v>
      </c>
      <c r="F1367" s="160">
        <f t="shared" si="144"/>
        <v>0</v>
      </c>
      <c r="G1367" s="176"/>
      <c r="H1367" s="176"/>
      <c r="I1367" s="176"/>
      <c r="J1367" s="176"/>
      <c r="K1367" s="176"/>
      <c r="L1367" s="176"/>
      <c r="M1367" s="176"/>
      <c r="N1367" s="176"/>
      <c r="O1367" s="176"/>
      <c r="P1367" s="176"/>
      <c r="Q1367" s="176"/>
      <c r="R1367" s="176"/>
      <c r="S1367" s="162">
        <f t="shared" si="143"/>
        <v>0</v>
      </c>
      <c r="T1367" s="167"/>
    </row>
    <row r="1368" customHeight="1" spans="2:20">
      <c r="B1368" s="166"/>
      <c r="C1368" s="164">
        <f t="shared" si="142"/>
        <v>33</v>
      </c>
      <c r="D1368" s="158" t="str">
        <f>VLOOKUP(C1368,DMSP!$A$1:$C$39,2,0)</f>
        <v>7.KHÁC</v>
      </c>
      <c r="E1368" s="159" t="str">
        <f>VLOOKUP(C1368,DMSP!$A$1:$C$39,3,0)</f>
        <v>TB PHOS</v>
      </c>
      <c r="F1368" s="160">
        <f t="shared" si="144"/>
        <v>0</v>
      </c>
      <c r="G1368" s="176"/>
      <c r="H1368" s="176"/>
      <c r="I1368" s="176"/>
      <c r="J1368" s="176"/>
      <c r="K1368" s="176"/>
      <c r="L1368" s="176"/>
      <c r="M1368" s="176"/>
      <c r="N1368" s="176"/>
      <c r="O1368" s="176"/>
      <c r="P1368" s="176"/>
      <c r="Q1368" s="176"/>
      <c r="R1368" s="176"/>
      <c r="S1368" s="162">
        <f t="shared" si="143"/>
        <v>0</v>
      </c>
      <c r="T1368" s="167"/>
    </row>
    <row r="1369" customHeight="1" spans="2:20">
      <c r="B1369" s="166"/>
      <c r="C1369" s="164">
        <f t="shared" si="142"/>
        <v>34</v>
      </c>
      <c r="D1369" s="158" t="str">
        <f>VLOOKUP(C1369,DMSP!$A$1:$C$39,2,0)</f>
        <v>7.KHÁC</v>
      </c>
      <c r="E1369" s="159" t="str">
        <f>VLOOKUP(C1369,DMSP!$A$1:$C$39,3,0)</f>
        <v>TOBA BÁM DÍNH</v>
      </c>
      <c r="F1369" s="160">
        <f t="shared" si="144"/>
        <v>0</v>
      </c>
      <c r="G1369" s="176"/>
      <c r="H1369" s="176"/>
      <c r="I1369" s="176"/>
      <c r="J1369" s="176"/>
      <c r="K1369" s="176"/>
      <c r="L1369" s="176"/>
      <c r="M1369" s="176"/>
      <c r="N1369" s="176"/>
      <c r="O1369" s="176"/>
      <c r="P1369" s="176"/>
      <c r="Q1369" s="176"/>
      <c r="R1369" s="176"/>
      <c r="S1369" s="162">
        <f t="shared" si="143"/>
        <v>0</v>
      </c>
      <c r="T1369" s="167"/>
    </row>
    <row r="1370" customHeight="1" spans="2:20">
      <c r="B1370" s="166"/>
      <c r="C1370" s="164">
        <f t="shared" si="142"/>
        <v>35</v>
      </c>
      <c r="D1370" s="158" t="str">
        <f>VLOOKUP(C1370,DMSP!$A$1:$C$39,2,0)</f>
        <v>7.KHÁC</v>
      </c>
      <c r="E1370" s="159" t="str">
        <f>VLOOKUP(C1370,DMSP!$A$1:$C$39,3,0)</f>
        <v>VỌT HOA NHÃN</v>
      </c>
      <c r="F1370" s="160">
        <f t="shared" si="144"/>
        <v>0</v>
      </c>
      <c r="G1370" s="176"/>
      <c r="H1370" s="176"/>
      <c r="I1370" s="176"/>
      <c r="J1370" s="176"/>
      <c r="K1370" s="176"/>
      <c r="L1370" s="176"/>
      <c r="M1370" s="176"/>
      <c r="N1370" s="176"/>
      <c r="O1370" s="176"/>
      <c r="P1370" s="176"/>
      <c r="Q1370" s="176"/>
      <c r="R1370" s="176"/>
      <c r="S1370" s="162">
        <f t="shared" si="143"/>
        <v>0</v>
      </c>
      <c r="T1370" s="167"/>
    </row>
    <row r="1371" customHeight="1" spans="2:20">
      <c r="B1371" s="166"/>
      <c r="C1371" s="164">
        <f t="shared" si="142"/>
        <v>36</v>
      </c>
      <c r="D1371" s="158" t="str">
        <f>VLOOKUP(C1371,DMSP!$A$1:$C$39,2,0)</f>
        <v>7.KHÁC</v>
      </c>
      <c r="E1371" s="159" t="str">
        <f>VLOOKUP(C1371,DMSP!$A$1:$C$39,3,0)</f>
        <v>VỌT HOA XOÀI</v>
      </c>
      <c r="F1371" s="160">
        <f t="shared" si="144"/>
        <v>0</v>
      </c>
      <c r="G1371" s="176"/>
      <c r="H1371" s="176"/>
      <c r="I1371" s="176"/>
      <c r="J1371" s="176"/>
      <c r="K1371" s="176"/>
      <c r="L1371" s="176"/>
      <c r="M1371" s="176"/>
      <c r="N1371" s="176"/>
      <c r="O1371" s="176"/>
      <c r="P1371" s="176"/>
      <c r="Q1371" s="176"/>
      <c r="R1371" s="176"/>
      <c r="S1371" s="162">
        <f t="shared" si="143"/>
        <v>0</v>
      </c>
      <c r="T1371" s="167"/>
    </row>
    <row r="1372" customHeight="1" spans="2:20">
      <c r="B1372" s="166"/>
      <c r="C1372" s="164">
        <f t="shared" si="142"/>
        <v>37</v>
      </c>
      <c r="D1372" s="158" t="str">
        <f>VLOOKUP(C1372,DMSP!$A$1:$C$39,2,0)</f>
        <v>7.KHÁC</v>
      </c>
      <c r="E1372" s="159" t="str">
        <f>VLOOKUP(C1372,DMSP!$A$1:$C$39,3,0)</f>
        <v>VỌT HOA XOÀI</v>
      </c>
      <c r="F1372" s="160">
        <f t="shared" si="144"/>
        <v>0</v>
      </c>
      <c r="G1372" s="176"/>
      <c r="H1372" s="176"/>
      <c r="I1372" s="176"/>
      <c r="J1372" s="176"/>
      <c r="K1372" s="176"/>
      <c r="L1372" s="176"/>
      <c r="M1372" s="176"/>
      <c r="N1372" s="176"/>
      <c r="O1372" s="176"/>
      <c r="P1372" s="176"/>
      <c r="Q1372" s="176"/>
      <c r="R1372" s="176"/>
      <c r="S1372" s="162">
        <f t="shared" si="143"/>
        <v>0</v>
      </c>
      <c r="T1372" s="167"/>
    </row>
    <row r="1373" customHeight="1" spans="2:20">
      <c r="B1373" s="92"/>
      <c r="C1373" s="170">
        <f>B1336</f>
        <v>0</v>
      </c>
      <c r="D1373" s="171"/>
      <c r="E1373" s="172" t="str">
        <f>"TOTAL "&amp;B1336</f>
        <v>TOTAL </v>
      </c>
      <c r="F1373" s="173">
        <f t="shared" si="144"/>
        <v>0</v>
      </c>
      <c r="G1373" s="174">
        <f>SUM(G1336:G1372)</f>
        <v>0</v>
      </c>
      <c r="H1373" s="174">
        <f t="shared" ref="H1373:R1373" si="145">SUM(H1336:H1372)</f>
        <v>0</v>
      </c>
      <c r="I1373" s="174">
        <f t="shared" si="145"/>
        <v>0</v>
      </c>
      <c r="J1373" s="174">
        <f t="shared" si="145"/>
        <v>0</v>
      </c>
      <c r="K1373" s="174">
        <f t="shared" si="145"/>
        <v>0</v>
      </c>
      <c r="L1373" s="174">
        <f t="shared" si="145"/>
        <v>0</v>
      </c>
      <c r="M1373" s="174">
        <f t="shared" si="145"/>
        <v>0</v>
      </c>
      <c r="N1373" s="174">
        <f t="shared" si="145"/>
        <v>0</v>
      </c>
      <c r="O1373" s="174">
        <f t="shared" si="145"/>
        <v>0</v>
      </c>
      <c r="P1373" s="174">
        <f t="shared" si="145"/>
        <v>0</v>
      </c>
      <c r="Q1373" s="174">
        <f t="shared" si="145"/>
        <v>0</v>
      </c>
      <c r="R1373" s="174">
        <f t="shared" si="145"/>
        <v>0</v>
      </c>
      <c r="S1373" s="174">
        <f t="shared" si="143"/>
        <v>0</v>
      </c>
      <c r="T1373" s="175"/>
    </row>
    <row r="1374" customHeight="1" spans="2:20">
      <c r="B1374" s="156"/>
      <c r="C1374" s="157">
        <v>1</v>
      </c>
      <c r="D1374" s="158" t="str">
        <f>VLOOKUP(C1374,DMSP!$A$1:$C$39,2,0)</f>
        <v>1.TOBA XANH</v>
      </c>
      <c r="E1374" s="159" t="str">
        <f>VLOOKUP(C1374,DMSP!$A$1:$C$39,3,0)</f>
        <v>TOBA XANH</v>
      </c>
      <c r="F1374" s="160">
        <f t="shared" si="144"/>
        <v>0</v>
      </c>
      <c r="G1374" s="176"/>
      <c r="H1374" s="176"/>
      <c r="I1374" s="176"/>
      <c r="J1374" s="176"/>
      <c r="K1374" s="176"/>
      <c r="L1374" s="176"/>
      <c r="M1374" s="176"/>
      <c r="N1374" s="176"/>
      <c r="O1374" s="176"/>
      <c r="P1374" s="176"/>
      <c r="Q1374" s="176"/>
      <c r="R1374" s="176"/>
      <c r="S1374" s="162">
        <f t="shared" si="143"/>
        <v>0</v>
      </c>
      <c r="T1374" s="163">
        <f>S1411</f>
        <v>0</v>
      </c>
    </row>
    <row r="1375" customHeight="1" spans="2:20">
      <c r="B1375" s="166"/>
      <c r="C1375" s="164">
        <f t="shared" ref="C1375:C1410" si="146">C1374+1</f>
        <v>2</v>
      </c>
      <c r="D1375" s="158" t="str">
        <f>VLOOKUP(C1375,DMSP!$A$1:$C$39,2,0)</f>
        <v>2.HC</v>
      </c>
      <c r="E1375" s="159" t="str">
        <f>VLOOKUP(C1375,DMSP!$A$1:$C$39,3,0)</f>
        <v>HC BOOSTER</v>
      </c>
      <c r="F1375" s="160">
        <f t="shared" si="144"/>
        <v>0</v>
      </c>
      <c r="G1375" s="176"/>
      <c r="H1375" s="176"/>
      <c r="I1375" s="176"/>
      <c r="J1375" s="176"/>
      <c r="K1375" s="176"/>
      <c r="L1375" s="176"/>
      <c r="M1375" s="176"/>
      <c r="N1375" s="176"/>
      <c r="O1375" s="176"/>
      <c r="P1375" s="176"/>
      <c r="Q1375" s="176"/>
      <c r="R1375" s="176"/>
      <c r="S1375" s="162">
        <f t="shared" ref="S1375:S1412" si="147">SUM(G1375:R1375)</f>
        <v>0</v>
      </c>
      <c r="T1375" s="167"/>
    </row>
    <row r="1376" customHeight="1" spans="2:20">
      <c r="B1376" s="166"/>
      <c r="C1376" s="164">
        <f t="shared" si="146"/>
        <v>3</v>
      </c>
      <c r="D1376" s="158" t="str">
        <f>VLOOKUP(C1376,DMSP!$A$1:$C$39,2,0)</f>
        <v>2.HC</v>
      </c>
      <c r="E1376" s="159" t="str">
        <f>VLOOKUP(C1376,DMSP!$A$1:$C$39,3,0)</f>
        <v>HC KING-ROOT</v>
      </c>
      <c r="F1376" s="160">
        <f t="shared" si="144"/>
        <v>0</v>
      </c>
      <c r="G1376" s="176"/>
      <c r="H1376" s="176"/>
      <c r="I1376" s="176"/>
      <c r="J1376" s="176"/>
      <c r="K1376" s="176"/>
      <c r="L1376" s="176"/>
      <c r="M1376" s="176"/>
      <c r="N1376" s="176"/>
      <c r="O1376" s="176"/>
      <c r="P1376" s="176"/>
      <c r="Q1376" s="176"/>
      <c r="R1376" s="176"/>
      <c r="S1376" s="162">
        <f t="shared" si="147"/>
        <v>0</v>
      </c>
      <c r="T1376" s="167"/>
    </row>
    <row r="1377" customHeight="1" spans="2:20">
      <c r="B1377" s="166"/>
      <c r="C1377" s="164">
        <f t="shared" si="146"/>
        <v>4</v>
      </c>
      <c r="D1377" s="158" t="str">
        <f>VLOOKUP(C1377,DMSP!$A$1:$C$39,2,0)</f>
        <v>2.HC</v>
      </c>
      <c r="E1377" s="159" t="str">
        <f>VLOOKUP(C1377,DMSP!$A$1:$C$39,3,0)</f>
        <v>HAPPY FARM</v>
      </c>
      <c r="F1377" s="160">
        <f t="shared" si="144"/>
        <v>0</v>
      </c>
      <c r="G1377" s="176"/>
      <c r="H1377" s="176"/>
      <c r="I1377" s="176"/>
      <c r="J1377" s="176"/>
      <c r="K1377" s="176"/>
      <c r="L1377" s="176"/>
      <c r="M1377" s="176"/>
      <c r="N1377" s="176"/>
      <c r="O1377" s="176"/>
      <c r="P1377" s="176"/>
      <c r="Q1377" s="176"/>
      <c r="R1377" s="176"/>
      <c r="S1377" s="162">
        <f t="shared" si="147"/>
        <v>0</v>
      </c>
      <c r="T1377" s="167"/>
    </row>
    <row r="1378" customHeight="1" spans="2:20">
      <c r="B1378" s="166"/>
      <c r="C1378" s="164">
        <f t="shared" si="146"/>
        <v>5</v>
      </c>
      <c r="D1378" s="158" t="str">
        <f>VLOOKUP(C1378,DMSP!$A$1:$C$39,2,0)</f>
        <v>2.HC</v>
      </c>
      <c r="E1378" s="159" t="str">
        <f>VLOOKUP(C1378,DMSP!$A$1:$C$39,3,0)</f>
        <v>WOW</v>
      </c>
      <c r="F1378" s="160">
        <f t="shared" si="144"/>
        <v>0</v>
      </c>
      <c r="G1378" s="176"/>
      <c r="H1378" s="176"/>
      <c r="I1378" s="176"/>
      <c r="J1378" s="176"/>
      <c r="K1378" s="176"/>
      <c r="L1378" s="176"/>
      <c r="M1378" s="176"/>
      <c r="N1378" s="176"/>
      <c r="O1378" s="176"/>
      <c r="P1378" s="176"/>
      <c r="Q1378" s="176"/>
      <c r="R1378" s="176"/>
      <c r="S1378" s="162">
        <f t="shared" si="147"/>
        <v>0</v>
      </c>
      <c r="T1378" s="167"/>
    </row>
    <row r="1379" customHeight="1" spans="2:20">
      <c r="B1379" s="166"/>
      <c r="C1379" s="164">
        <f t="shared" si="146"/>
        <v>6</v>
      </c>
      <c r="D1379" s="158" t="str">
        <f>VLOOKUP(C1379,DMSP!$A$1:$C$39,2,0)</f>
        <v>3.SPRAY </v>
      </c>
      <c r="E1379" s="159" t="str">
        <f>VLOOKUP(C1379,DMSP!$A$1:$C$39,3,0)</f>
        <v>KELPIT</v>
      </c>
      <c r="F1379" s="160">
        <f t="shared" si="144"/>
        <v>0</v>
      </c>
      <c r="G1379" s="176"/>
      <c r="H1379" s="176"/>
      <c r="I1379" s="176"/>
      <c r="J1379" s="176"/>
      <c r="K1379" s="176"/>
      <c r="L1379" s="176"/>
      <c r="M1379" s="176"/>
      <c r="N1379" s="176"/>
      <c r="O1379" s="176"/>
      <c r="P1379" s="176"/>
      <c r="Q1379" s="176"/>
      <c r="R1379" s="176"/>
      <c r="S1379" s="162">
        <f t="shared" si="147"/>
        <v>0</v>
      </c>
      <c r="T1379" s="167"/>
    </row>
    <row r="1380" customHeight="1" spans="2:20">
      <c r="B1380" s="166"/>
      <c r="C1380" s="164">
        <f t="shared" si="146"/>
        <v>7</v>
      </c>
      <c r="D1380" s="158" t="str">
        <f>VLOOKUP(C1380,DMSP!$A$1:$C$39,2,0)</f>
        <v>3.SPRAY </v>
      </c>
      <c r="E1380" s="159" t="str">
        <f>VLOOKUP(C1380,DMSP!$A$1:$C$39,3,0)</f>
        <v>SI-K</v>
      </c>
      <c r="F1380" s="160">
        <f t="shared" si="144"/>
        <v>0</v>
      </c>
      <c r="G1380" s="176"/>
      <c r="H1380" s="176"/>
      <c r="I1380" s="176"/>
      <c r="J1380" s="176"/>
      <c r="K1380" s="176"/>
      <c r="L1380" s="176"/>
      <c r="M1380" s="176"/>
      <c r="N1380" s="176"/>
      <c r="O1380" s="176"/>
      <c r="P1380" s="176"/>
      <c r="Q1380" s="176"/>
      <c r="R1380" s="176"/>
      <c r="S1380" s="162">
        <f t="shared" si="147"/>
        <v>0</v>
      </c>
      <c r="T1380" s="167"/>
    </row>
    <row r="1381" customHeight="1" spans="2:20">
      <c r="B1381" s="166"/>
      <c r="C1381" s="164">
        <f t="shared" si="146"/>
        <v>8</v>
      </c>
      <c r="D1381" s="158" t="str">
        <f>VLOOKUP(C1381,DMSP!$A$1:$C$39,2,0)</f>
        <v>3.SPRAY </v>
      </c>
      <c r="E1381" s="159" t="str">
        <f>VLOOKUP(C1381,DMSP!$A$1:$C$39,3,0)</f>
        <v>SPRAY PHOS 620</v>
      </c>
      <c r="F1381" s="160">
        <f t="shared" si="144"/>
        <v>0</v>
      </c>
      <c r="G1381" s="176"/>
      <c r="H1381" s="176"/>
      <c r="I1381" s="176"/>
      <c r="J1381" s="176"/>
      <c r="K1381" s="176"/>
      <c r="L1381" s="176"/>
      <c r="M1381" s="176"/>
      <c r="N1381" s="176"/>
      <c r="O1381" s="176"/>
      <c r="P1381" s="176"/>
      <c r="Q1381" s="176"/>
      <c r="R1381" s="176"/>
      <c r="S1381" s="162">
        <f t="shared" si="147"/>
        <v>0</v>
      </c>
      <c r="T1381" s="167"/>
    </row>
    <row r="1382" customHeight="1" spans="2:20">
      <c r="B1382" s="166"/>
      <c r="C1382" s="164">
        <f t="shared" si="146"/>
        <v>9</v>
      </c>
      <c r="D1382" s="158" t="str">
        <f>VLOOKUP(C1382,DMSP!$A$1:$C$39,2,0)</f>
        <v>4.DƯỠNG RỄ</v>
      </c>
      <c r="E1382" s="159" t="str">
        <f>VLOOKUP(C1382,DMSP!$A$1:$C$39,3,0)</f>
        <v>CHITOSAN</v>
      </c>
      <c r="F1382" s="160">
        <f t="shared" si="144"/>
        <v>0</v>
      </c>
      <c r="G1382" s="176"/>
      <c r="H1382" s="176"/>
      <c r="I1382" s="176"/>
      <c r="J1382" s="176"/>
      <c r="K1382" s="176"/>
      <c r="L1382" s="176"/>
      <c r="M1382" s="176"/>
      <c r="N1382" s="176"/>
      <c r="O1382" s="176"/>
      <c r="P1382" s="176"/>
      <c r="Q1382" s="176"/>
      <c r="R1382" s="176"/>
      <c r="S1382" s="162">
        <f t="shared" si="147"/>
        <v>0</v>
      </c>
      <c r="T1382" s="167"/>
    </row>
    <row r="1383" customHeight="1" spans="2:20">
      <c r="B1383" s="166"/>
      <c r="C1383" s="164">
        <f t="shared" si="146"/>
        <v>10</v>
      </c>
      <c r="D1383" s="158" t="str">
        <f>VLOOKUP(C1383,DMSP!$A$1:$C$39,2,0)</f>
        <v>4.DƯỠNG RỄ</v>
      </c>
      <c r="E1383" s="159" t="str">
        <f>VLOOKUP(C1383,DMSP!$A$1:$C$39,3,0)</f>
        <v>ĐẠM CÁ</v>
      </c>
      <c r="F1383" s="160">
        <f t="shared" si="144"/>
        <v>0</v>
      </c>
      <c r="G1383" s="176"/>
      <c r="H1383" s="176"/>
      <c r="I1383" s="176"/>
      <c r="J1383" s="176"/>
      <c r="K1383" s="176"/>
      <c r="L1383" s="176"/>
      <c r="M1383" s="176"/>
      <c r="N1383" s="176"/>
      <c r="O1383" s="176"/>
      <c r="P1383" s="176"/>
      <c r="Q1383" s="176"/>
      <c r="R1383" s="176"/>
      <c r="S1383" s="162">
        <f t="shared" si="147"/>
        <v>0</v>
      </c>
      <c r="T1383" s="167"/>
    </row>
    <row r="1384" customHeight="1" spans="2:20">
      <c r="B1384" s="166"/>
      <c r="C1384" s="164">
        <f t="shared" si="146"/>
        <v>11</v>
      </c>
      <c r="D1384" s="158" t="str">
        <f>VLOOKUP(C1384,DMSP!$A$1:$C$39,2,0)</f>
        <v>4.DƯỠNG RỄ</v>
      </c>
      <c r="E1384" s="159" t="str">
        <f>VLOOKUP(C1384,DMSP!$A$1:$C$39,3,0)</f>
        <v>ĐẠM TÔM</v>
      </c>
      <c r="F1384" s="160">
        <f t="shared" si="144"/>
        <v>0</v>
      </c>
      <c r="G1384" s="176"/>
      <c r="H1384" s="176"/>
      <c r="I1384" s="176"/>
      <c r="J1384" s="176"/>
      <c r="K1384" s="176"/>
      <c r="L1384" s="176"/>
      <c r="M1384" s="176"/>
      <c r="N1384" s="176"/>
      <c r="O1384" s="176"/>
      <c r="P1384" s="176"/>
      <c r="Q1384" s="176"/>
      <c r="R1384" s="176"/>
      <c r="S1384" s="162">
        <f t="shared" si="147"/>
        <v>0</v>
      </c>
      <c r="T1384" s="167"/>
    </row>
    <row r="1385" customHeight="1" spans="2:20">
      <c r="B1385" s="166"/>
      <c r="C1385" s="164">
        <f t="shared" si="146"/>
        <v>12</v>
      </c>
      <c r="D1385" s="158" t="str">
        <f>VLOOKUP(C1385,DMSP!$A$1:$C$39,2,0)</f>
        <v>4.DƯỠNG RỄ</v>
      </c>
      <c r="E1385" s="159" t="str">
        <f>VLOOKUP(C1385,DMSP!$A$1:$C$39,3,0)</f>
        <v>SUPERMIC</v>
      </c>
      <c r="F1385" s="160">
        <f t="shared" si="144"/>
        <v>0</v>
      </c>
      <c r="G1385" s="176"/>
      <c r="H1385" s="176"/>
      <c r="I1385" s="176"/>
      <c r="J1385" s="176"/>
      <c r="K1385" s="176"/>
      <c r="L1385" s="176"/>
      <c r="M1385" s="176"/>
      <c r="N1385" s="176"/>
      <c r="O1385" s="176"/>
      <c r="P1385" s="176"/>
      <c r="Q1385" s="176"/>
      <c r="R1385" s="176"/>
      <c r="S1385" s="162">
        <f t="shared" si="147"/>
        <v>0</v>
      </c>
      <c r="T1385" s="167"/>
    </row>
    <row r="1386" customHeight="1" spans="2:20">
      <c r="B1386" s="166"/>
      <c r="C1386" s="164">
        <f t="shared" si="146"/>
        <v>13</v>
      </c>
      <c r="D1386" s="158" t="str">
        <f>VLOOKUP(C1386,DMSP!$A$1:$C$39,2,0)</f>
        <v>5.TRUYỀN THỐNG</v>
      </c>
      <c r="E1386" s="159" t="str">
        <f>VLOOKUP(C1386,DMSP!$A$1:$C$39,3,0)</f>
        <v>CABO</v>
      </c>
      <c r="F1386" s="160">
        <f t="shared" si="144"/>
        <v>0</v>
      </c>
      <c r="G1386" s="176"/>
      <c r="H1386" s="176"/>
      <c r="I1386" s="176"/>
      <c r="J1386" s="176"/>
      <c r="K1386" s="176"/>
      <c r="L1386" s="176"/>
      <c r="M1386" s="176"/>
      <c r="N1386" s="176"/>
      <c r="O1386" s="176"/>
      <c r="P1386" s="176"/>
      <c r="Q1386" s="176"/>
      <c r="R1386" s="176"/>
      <c r="S1386" s="162">
        <f t="shared" si="147"/>
        <v>0</v>
      </c>
      <c r="T1386" s="167"/>
    </row>
    <row r="1387" customHeight="1" spans="2:20">
      <c r="B1387" s="166"/>
      <c r="C1387" s="164">
        <f t="shared" si="146"/>
        <v>14</v>
      </c>
      <c r="D1387" s="158" t="str">
        <f>VLOOKUP(C1387,DMSP!$A$1:$C$39,2,0)</f>
        <v>5.TRUYỀN THỐNG</v>
      </c>
      <c r="E1387" s="159" t="str">
        <f>VLOOKUP(C1387,DMSP!$A$1:$C$39,3,0)</f>
        <v>F94</v>
      </c>
      <c r="F1387" s="160">
        <f t="shared" si="144"/>
        <v>0</v>
      </c>
      <c r="G1387" s="176"/>
      <c r="H1387" s="176"/>
      <c r="I1387" s="176"/>
      <c r="J1387" s="176"/>
      <c r="K1387" s="176"/>
      <c r="L1387" s="176"/>
      <c r="M1387" s="176"/>
      <c r="N1387" s="176"/>
      <c r="O1387" s="176"/>
      <c r="P1387" s="176"/>
      <c r="Q1387" s="176"/>
      <c r="R1387" s="176"/>
      <c r="S1387" s="162">
        <f t="shared" si="147"/>
        <v>0</v>
      </c>
      <c r="T1387" s="167"/>
    </row>
    <row r="1388" customHeight="1" spans="2:20">
      <c r="B1388" s="166"/>
      <c r="C1388" s="164">
        <f t="shared" si="146"/>
        <v>15</v>
      </c>
      <c r="D1388" s="158" t="str">
        <f>VLOOKUP(C1388,DMSP!$A$1:$C$39,2,0)</f>
        <v>5.TRUYỀN THỐNG</v>
      </c>
      <c r="E1388" s="159" t="str">
        <f>VLOOKUP(C1388,DMSP!$A$1:$C$39,3,0)</f>
        <v>F95</v>
      </c>
      <c r="F1388" s="160">
        <f t="shared" si="144"/>
        <v>0</v>
      </c>
      <c r="G1388" s="176"/>
      <c r="H1388" s="176"/>
      <c r="I1388" s="176"/>
      <c r="J1388" s="176"/>
      <c r="K1388" s="176"/>
      <c r="L1388" s="176"/>
      <c r="M1388" s="176"/>
      <c r="N1388" s="176"/>
      <c r="O1388" s="176"/>
      <c r="P1388" s="176"/>
      <c r="Q1388" s="176"/>
      <c r="R1388" s="176"/>
      <c r="S1388" s="162">
        <f t="shared" si="147"/>
        <v>0</v>
      </c>
      <c r="T1388" s="167"/>
    </row>
    <row r="1389" customHeight="1" spans="2:20">
      <c r="B1389" s="166"/>
      <c r="C1389" s="164">
        <f t="shared" si="146"/>
        <v>16</v>
      </c>
      <c r="D1389" s="158" t="str">
        <f>VLOOKUP(C1389,DMSP!$A$1:$C$39,2,0)</f>
        <v>5.TRUYỀN THỐNG</v>
      </c>
      <c r="E1389" s="159" t="str">
        <f>VLOOKUP(C1389,DMSP!$A$1:$C$39,3,0)</f>
        <v>THIOURE</v>
      </c>
      <c r="F1389" s="160">
        <f t="shared" si="144"/>
        <v>0</v>
      </c>
      <c r="G1389" s="176"/>
      <c r="H1389" s="176"/>
      <c r="I1389" s="176"/>
      <c r="J1389" s="176"/>
      <c r="K1389" s="176"/>
      <c r="L1389" s="176"/>
      <c r="M1389" s="176"/>
      <c r="N1389" s="176"/>
      <c r="O1389" s="176"/>
      <c r="P1389" s="176"/>
      <c r="Q1389" s="176"/>
      <c r="R1389" s="176"/>
      <c r="S1389" s="162">
        <f t="shared" si="147"/>
        <v>0</v>
      </c>
      <c r="T1389" s="167"/>
    </row>
    <row r="1390" customHeight="1" spans="2:20">
      <c r="B1390" s="166"/>
      <c r="C1390" s="164">
        <f t="shared" si="146"/>
        <v>17</v>
      </c>
      <c r="D1390" s="158" t="str">
        <f>VLOOKUP(C1390,DMSP!$A$1:$C$39,2,0)</f>
        <v>5.TRUYỀN THỐNG</v>
      </c>
      <c r="E1390" s="159" t="str">
        <f>VLOOKUP(C1390,DMSP!$A$1:$C$39,3,0)</f>
        <v>TOBA JUM</v>
      </c>
      <c r="F1390" s="160">
        <f t="shared" si="144"/>
        <v>0</v>
      </c>
      <c r="G1390" s="176"/>
      <c r="H1390" s="176"/>
      <c r="I1390" s="176"/>
      <c r="J1390" s="176"/>
      <c r="K1390" s="176"/>
      <c r="L1390" s="176"/>
      <c r="M1390" s="176"/>
      <c r="N1390" s="176"/>
      <c r="O1390" s="176"/>
      <c r="P1390" s="176"/>
      <c r="Q1390" s="176"/>
      <c r="R1390" s="176"/>
      <c r="S1390" s="162">
        <f t="shared" si="147"/>
        <v>0</v>
      </c>
      <c r="T1390" s="167"/>
    </row>
    <row r="1391" customHeight="1" spans="2:20">
      <c r="B1391" s="166"/>
      <c r="C1391" s="164">
        <f t="shared" si="146"/>
        <v>18</v>
      </c>
      <c r="D1391" s="158" t="str">
        <f>VLOOKUP(C1391,DMSP!$A$1:$C$39,2,0)</f>
        <v>5.TRUYỀN THỐNG</v>
      </c>
      <c r="E1391" s="159" t="str">
        <f>VLOOKUP(C1391,DMSP!$A$1:$C$39,3,0)</f>
        <v>TOBA NET</v>
      </c>
      <c r="F1391" s="160">
        <f t="shared" si="144"/>
        <v>0</v>
      </c>
      <c r="G1391" s="176"/>
      <c r="H1391" s="176"/>
      <c r="I1391" s="176"/>
      <c r="J1391" s="176"/>
      <c r="K1391" s="176"/>
      <c r="L1391" s="176"/>
      <c r="M1391" s="176"/>
      <c r="N1391" s="176"/>
      <c r="O1391" s="176"/>
      <c r="P1391" s="176"/>
      <c r="Q1391" s="176"/>
      <c r="R1391" s="176"/>
      <c r="S1391" s="162">
        <f t="shared" si="147"/>
        <v>0</v>
      </c>
      <c r="T1391" s="167"/>
    </row>
    <row r="1392" customHeight="1" spans="2:20">
      <c r="B1392" s="166"/>
      <c r="C1392" s="164">
        <f t="shared" si="146"/>
        <v>19</v>
      </c>
      <c r="D1392" s="158" t="str">
        <f>VLOOKUP(C1392,DMSP!$A$1:$C$39,2,0)</f>
        <v>6.BVTV</v>
      </c>
      <c r="E1392" s="159" t="str">
        <f>VLOOKUP(C1392,DMSP!$A$1:$C$39,3,0)</f>
        <v>ABAFAX 1.8</v>
      </c>
      <c r="F1392" s="160">
        <f t="shared" si="144"/>
        <v>0</v>
      </c>
      <c r="G1392" s="176"/>
      <c r="H1392" s="176"/>
      <c r="I1392" s="176"/>
      <c r="J1392" s="176"/>
      <c r="K1392" s="176"/>
      <c r="L1392" s="176"/>
      <c r="M1392" s="176"/>
      <c r="N1392" s="176"/>
      <c r="O1392" s="176"/>
      <c r="P1392" s="176"/>
      <c r="Q1392" s="176"/>
      <c r="R1392" s="176"/>
      <c r="S1392" s="162">
        <f t="shared" si="147"/>
        <v>0</v>
      </c>
      <c r="T1392" s="167"/>
    </row>
    <row r="1393" customHeight="1" spans="2:20">
      <c r="B1393" s="166"/>
      <c r="C1393" s="164">
        <f t="shared" si="146"/>
        <v>20</v>
      </c>
      <c r="D1393" s="158" t="str">
        <f>VLOOKUP(C1393,DMSP!$A$1:$C$39,2,0)</f>
        <v>6.BVTV</v>
      </c>
      <c r="E1393" s="159" t="str">
        <f>VLOOKUP(C1393,DMSP!$A$1:$C$39,3,0)</f>
        <v>ABAFAX 3.6</v>
      </c>
      <c r="F1393" s="160">
        <f t="shared" si="144"/>
        <v>0</v>
      </c>
      <c r="G1393" s="176"/>
      <c r="H1393" s="176"/>
      <c r="I1393" s="176"/>
      <c r="J1393" s="176"/>
      <c r="K1393" s="176"/>
      <c r="L1393" s="176"/>
      <c r="M1393" s="176"/>
      <c r="N1393" s="176"/>
      <c r="O1393" s="176"/>
      <c r="P1393" s="176"/>
      <c r="Q1393" s="176"/>
      <c r="R1393" s="176"/>
      <c r="S1393" s="162">
        <f t="shared" si="147"/>
        <v>0</v>
      </c>
      <c r="T1393" s="167"/>
    </row>
    <row r="1394" customHeight="1" spans="2:20">
      <c r="B1394" s="166"/>
      <c r="C1394" s="164">
        <f t="shared" si="146"/>
        <v>21</v>
      </c>
      <c r="D1394" s="158" t="str">
        <f>VLOOKUP(C1394,DMSP!$A$1:$C$39,2,0)</f>
        <v>6.BVTV</v>
      </c>
      <c r="E1394" s="159" t="str">
        <f>VLOOKUP(C1394,DMSP!$A$1:$C$39,3,0)</f>
        <v>AZET</v>
      </c>
      <c r="F1394" s="160">
        <f t="shared" si="144"/>
        <v>0</v>
      </c>
      <c r="G1394" s="176"/>
      <c r="H1394" s="176"/>
      <c r="I1394" s="176"/>
      <c r="J1394" s="176"/>
      <c r="K1394" s="176"/>
      <c r="L1394" s="176"/>
      <c r="M1394" s="176"/>
      <c r="N1394" s="176"/>
      <c r="O1394" s="176"/>
      <c r="P1394" s="176"/>
      <c r="Q1394" s="176"/>
      <c r="R1394" s="176"/>
      <c r="S1394" s="162">
        <f t="shared" si="147"/>
        <v>0</v>
      </c>
      <c r="T1394" s="167"/>
    </row>
    <row r="1395" customHeight="1" spans="2:20">
      <c r="B1395" s="166"/>
      <c r="C1395" s="164">
        <f t="shared" si="146"/>
        <v>22</v>
      </c>
      <c r="D1395" s="158" t="str">
        <f>VLOOKUP(C1395,DMSP!$A$1:$C$39,2,0)</f>
        <v>6.BVTV</v>
      </c>
      <c r="E1395" s="159" t="str">
        <f>VLOOKUP(C1395,DMSP!$A$1:$C$39,3,0)</f>
        <v>BACBA</v>
      </c>
      <c r="F1395" s="160">
        <f t="shared" si="144"/>
        <v>0</v>
      </c>
      <c r="G1395" s="176"/>
      <c r="H1395" s="176"/>
      <c r="I1395" s="176"/>
      <c r="J1395" s="176"/>
      <c r="K1395" s="176"/>
      <c r="L1395" s="176"/>
      <c r="M1395" s="176"/>
      <c r="N1395" s="176"/>
      <c r="O1395" s="176"/>
      <c r="P1395" s="176"/>
      <c r="Q1395" s="176"/>
      <c r="R1395" s="176"/>
      <c r="S1395" s="162">
        <f t="shared" si="147"/>
        <v>0</v>
      </c>
      <c r="T1395" s="167"/>
    </row>
    <row r="1396" customHeight="1" spans="2:20">
      <c r="B1396" s="166"/>
      <c r="C1396" s="164">
        <f t="shared" si="146"/>
        <v>23</v>
      </c>
      <c r="D1396" s="158" t="str">
        <f>VLOOKUP(C1396,DMSP!$A$1:$C$39,2,0)</f>
        <v>6.BVTV</v>
      </c>
      <c r="E1396" s="159" t="str">
        <f>VLOOKUP(C1396,DMSP!$A$1:$C$39,3,0)</f>
        <v>BIOROSAMIL</v>
      </c>
      <c r="F1396" s="160">
        <f t="shared" si="144"/>
        <v>0</v>
      </c>
      <c r="G1396" s="176"/>
      <c r="H1396" s="176"/>
      <c r="I1396" s="176"/>
      <c r="J1396" s="176"/>
      <c r="K1396" s="176"/>
      <c r="L1396" s="176"/>
      <c r="M1396" s="176"/>
      <c r="N1396" s="176"/>
      <c r="O1396" s="176"/>
      <c r="P1396" s="176"/>
      <c r="Q1396" s="176"/>
      <c r="R1396" s="176"/>
      <c r="S1396" s="162">
        <f t="shared" si="147"/>
        <v>0</v>
      </c>
      <c r="T1396" s="167"/>
    </row>
    <row r="1397" customHeight="1" spans="2:20">
      <c r="B1397" s="166"/>
      <c r="C1397" s="164">
        <f t="shared" si="146"/>
        <v>24</v>
      </c>
      <c r="D1397" s="158" t="str">
        <f>VLOOKUP(C1397,DMSP!$A$1:$C$39,2,0)</f>
        <v>6.BVTV</v>
      </c>
      <c r="E1397" s="159" t="str">
        <f>VLOOKUP(C1397,DMSP!$A$1:$C$39,3,0)</f>
        <v>COC 86</v>
      </c>
      <c r="F1397" s="160">
        <f t="shared" si="144"/>
        <v>0</v>
      </c>
      <c r="G1397" s="176"/>
      <c r="H1397" s="176"/>
      <c r="I1397" s="176"/>
      <c r="J1397" s="176"/>
      <c r="K1397" s="176"/>
      <c r="L1397" s="176"/>
      <c r="M1397" s="176"/>
      <c r="N1397" s="176"/>
      <c r="O1397" s="176"/>
      <c r="P1397" s="176"/>
      <c r="Q1397" s="176"/>
      <c r="R1397" s="176"/>
      <c r="S1397" s="162">
        <f t="shared" si="147"/>
        <v>0</v>
      </c>
      <c r="T1397" s="167"/>
    </row>
    <row r="1398" customHeight="1" spans="2:20">
      <c r="B1398" s="166"/>
      <c r="C1398" s="164">
        <f t="shared" si="146"/>
        <v>25</v>
      </c>
      <c r="D1398" s="158" t="str">
        <f>VLOOKUP(C1398,DMSP!$A$1:$C$39,2,0)</f>
        <v>6.BVTV</v>
      </c>
      <c r="E1398" s="159" t="str">
        <f>VLOOKUP(C1398,DMSP!$A$1:$C$39,3,0)</f>
        <v>HEXA 5</v>
      </c>
      <c r="F1398" s="160">
        <f t="shared" si="144"/>
        <v>0</v>
      </c>
      <c r="G1398" s="176"/>
      <c r="H1398" s="176"/>
      <c r="I1398" s="176"/>
      <c r="J1398" s="176"/>
      <c r="K1398" s="176"/>
      <c r="L1398" s="176"/>
      <c r="M1398" s="176"/>
      <c r="N1398" s="176"/>
      <c r="O1398" s="176"/>
      <c r="P1398" s="176"/>
      <c r="Q1398" s="176"/>
      <c r="R1398" s="176"/>
      <c r="S1398" s="162">
        <f t="shared" si="147"/>
        <v>0</v>
      </c>
      <c r="T1398" s="167"/>
    </row>
    <row r="1399" customHeight="1" spans="2:20">
      <c r="B1399" s="166"/>
      <c r="C1399" s="164">
        <f t="shared" si="146"/>
        <v>26</v>
      </c>
      <c r="D1399" s="158" t="str">
        <f>VLOOKUP(C1399,DMSP!$A$1:$C$39,2,0)</f>
        <v>6.BVTV</v>
      </c>
      <c r="E1399" s="159" t="str">
        <f>VLOOKUP(C1399,DMSP!$A$1:$C$39,3,0)</f>
        <v>TAMALA</v>
      </c>
      <c r="F1399" s="160">
        <f t="shared" si="144"/>
        <v>0</v>
      </c>
      <c r="G1399" s="176"/>
      <c r="H1399" s="176"/>
      <c r="I1399" s="176"/>
      <c r="J1399" s="176"/>
      <c r="K1399" s="176"/>
      <c r="L1399" s="176"/>
      <c r="M1399" s="176"/>
      <c r="N1399" s="176"/>
      <c r="O1399" s="176"/>
      <c r="P1399" s="176"/>
      <c r="Q1399" s="176"/>
      <c r="R1399" s="176"/>
      <c r="S1399" s="162">
        <f t="shared" si="147"/>
        <v>0</v>
      </c>
      <c r="T1399" s="167"/>
    </row>
    <row r="1400" customHeight="1" spans="2:20">
      <c r="B1400" s="166"/>
      <c r="C1400" s="164">
        <f t="shared" si="146"/>
        <v>27</v>
      </c>
      <c r="D1400" s="158" t="str">
        <f>VLOOKUP(C1400,DMSP!$A$1:$C$39,2,0)</f>
        <v>7.KHÁC</v>
      </c>
      <c r="E1400" s="159" t="str">
        <f>VLOOKUP(C1400,DMSP!$A$1:$C$39,3,0)</f>
        <v>KẼM VÀNG</v>
      </c>
      <c r="F1400" s="160">
        <f t="shared" si="144"/>
        <v>0</v>
      </c>
      <c r="G1400" s="176"/>
      <c r="H1400" s="176"/>
      <c r="I1400" s="176"/>
      <c r="J1400" s="176"/>
      <c r="K1400" s="176"/>
      <c r="L1400" s="176"/>
      <c r="M1400" s="176"/>
      <c r="N1400" s="176"/>
      <c r="O1400" s="176"/>
      <c r="P1400" s="176"/>
      <c r="Q1400" s="176"/>
      <c r="R1400" s="176"/>
      <c r="S1400" s="162">
        <f t="shared" si="147"/>
        <v>0</v>
      </c>
      <c r="T1400" s="167"/>
    </row>
    <row r="1401" customHeight="1" spans="2:20">
      <c r="B1401" s="166"/>
      <c r="C1401" s="164">
        <f t="shared" si="146"/>
        <v>28</v>
      </c>
      <c r="D1401" s="158" t="str">
        <f>VLOOKUP(C1401,DMSP!$A$1:$C$39,2,0)</f>
        <v>7.KHÁC</v>
      </c>
      <c r="E1401" s="159" t="str">
        <f>VLOOKUP(C1401,DMSP!$A$1:$C$39,3,0)</f>
        <v>KHÁC1</v>
      </c>
      <c r="F1401" s="160">
        <f t="shared" si="144"/>
        <v>0</v>
      </c>
      <c r="G1401" s="176"/>
      <c r="H1401" s="176"/>
      <c r="I1401" s="176"/>
      <c r="J1401" s="176"/>
      <c r="K1401" s="176"/>
      <c r="L1401" s="176"/>
      <c r="M1401" s="176"/>
      <c r="N1401" s="176"/>
      <c r="O1401" s="176"/>
      <c r="P1401" s="176"/>
      <c r="Q1401" s="176"/>
      <c r="R1401" s="176"/>
      <c r="S1401" s="162">
        <f t="shared" si="147"/>
        <v>0</v>
      </c>
      <c r="T1401" s="167"/>
    </row>
    <row r="1402" customHeight="1" spans="2:20">
      <c r="B1402" s="166"/>
      <c r="C1402" s="164">
        <f t="shared" si="146"/>
        <v>29</v>
      </c>
      <c r="D1402" s="158" t="str">
        <f>VLOOKUP(C1402,DMSP!$A$1:$C$39,2,0)</f>
        <v>7.KHÁC</v>
      </c>
      <c r="E1402" s="169" t="s">
        <v>13</v>
      </c>
      <c r="F1402" s="160">
        <f t="shared" si="144"/>
        <v>0</v>
      </c>
      <c r="G1402" s="176"/>
      <c r="H1402" s="176"/>
      <c r="I1402" s="176"/>
      <c r="J1402" s="176"/>
      <c r="K1402" s="176"/>
      <c r="L1402" s="176"/>
      <c r="M1402" s="176"/>
      <c r="N1402" s="176"/>
      <c r="O1402" s="176"/>
      <c r="P1402" s="176"/>
      <c r="Q1402" s="176"/>
      <c r="R1402" s="176"/>
      <c r="S1402" s="162">
        <f t="shared" si="147"/>
        <v>0</v>
      </c>
      <c r="T1402" s="167"/>
    </row>
    <row r="1403" customHeight="1" spans="2:20">
      <c r="B1403" s="166"/>
      <c r="C1403" s="164">
        <f t="shared" si="146"/>
        <v>30</v>
      </c>
      <c r="D1403" s="158" t="str">
        <f>VLOOKUP(C1403,DMSP!$A$1:$C$39,2,0)</f>
        <v>7.KHÁC</v>
      </c>
      <c r="E1403" s="159" t="str">
        <f>VLOOKUP(C1403,DMSP!$A$1:$C$39,3,0)</f>
        <v>RỬA RONG RÊU</v>
      </c>
      <c r="F1403" s="160">
        <f t="shared" si="144"/>
        <v>0</v>
      </c>
      <c r="G1403" s="176"/>
      <c r="H1403" s="176"/>
      <c r="I1403" s="176"/>
      <c r="J1403" s="176"/>
      <c r="K1403" s="176"/>
      <c r="L1403" s="176"/>
      <c r="M1403" s="176"/>
      <c r="N1403" s="176"/>
      <c r="O1403" s="176"/>
      <c r="P1403" s="176"/>
      <c r="Q1403" s="176"/>
      <c r="R1403" s="176"/>
      <c r="S1403" s="162">
        <f t="shared" si="147"/>
        <v>0</v>
      </c>
      <c r="T1403" s="167"/>
    </row>
    <row r="1404" customHeight="1" spans="2:20">
      <c r="B1404" s="166"/>
      <c r="C1404" s="164">
        <f t="shared" si="146"/>
        <v>31</v>
      </c>
      <c r="D1404" s="158" t="str">
        <f>VLOOKUP(C1404,DMSP!$A$1:$C$39,2,0)</f>
        <v>7.KHÁC</v>
      </c>
      <c r="E1404" s="159" t="str">
        <f>VLOOKUP(C1404,DMSP!$A$1:$C$39,3,0)</f>
        <v>TB BO</v>
      </c>
      <c r="F1404" s="160">
        <f t="shared" si="144"/>
        <v>0</v>
      </c>
      <c r="G1404" s="176"/>
      <c r="H1404" s="176"/>
      <c r="I1404" s="176"/>
      <c r="J1404" s="176"/>
      <c r="K1404" s="176"/>
      <c r="L1404" s="176"/>
      <c r="M1404" s="176"/>
      <c r="N1404" s="176"/>
      <c r="O1404" s="176"/>
      <c r="P1404" s="176"/>
      <c r="Q1404" s="176"/>
      <c r="R1404" s="176"/>
      <c r="S1404" s="162">
        <f t="shared" si="147"/>
        <v>0</v>
      </c>
      <c r="T1404" s="167"/>
    </row>
    <row r="1405" customHeight="1" spans="2:20">
      <c r="B1405" s="166"/>
      <c r="C1405" s="164">
        <f t="shared" si="146"/>
        <v>32</v>
      </c>
      <c r="D1405" s="158" t="str">
        <f>VLOOKUP(C1405,DMSP!$A$1:$C$39,2,0)</f>
        <v>7.KHÁC</v>
      </c>
      <c r="E1405" s="159" t="str">
        <f>VLOOKUP(C1405,DMSP!$A$1:$C$39,3,0)</f>
        <v>TB FRUIT</v>
      </c>
      <c r="F1405" s="160">
        <f t="shared" si="144"/>
        <v>0</v>
      </c>
      <c r="G1405" s="176"/>
      <c r="H1405" s="176"/>
      <c r="I1405" s="176"/>
      <c r="J1405" s="176"/>
      <c r="K1405" s="176"/>
      <c r="L1405" s="176"/>
      <c r="M1405" s="176"/>
      <c r="N1405" s="176"/>
      <c r="O1405" s="176"/>
      <c r="P1405" s="176"/>
      <c r="Q1405" s="176"/>
      <c r="R1405" s="176"/>
      <c r="S1405" s="162">
        <f t="shared" si="147"/>
        <v>0</v>
      </c>
      <c r="T1405" s="167"/>
    </row>
    <row r="1406" customHeight="1" spans="2:20">
      <c r="B1406" s="166"/>
      <c r="C1406" s="164">
        <f t="shared" si="146"/>
        <v>33</v>
      </c>
      <c r="D1406" s="158" t="str">
        <f>VLOOKUP(C1406,DMSP!$A$1:$C$39,2,0)</f>
        <v>7.KHÁC</v>
      </c>
      <c r="E1406" s="159" t="str">
        <f>VLOOKUP(C1406,DMSP!$A$1:$C$39,3,0)</f>
        <v>TB PHOS</v>
      </c>
      <c r="F1406" s="160">
        <f t="shared" si="144"/>
        <v>0</v>
      </c>
      <c r="G1406" s="176"/>
      <c r="H1406" s="176"/>
      <c r="I1406" s="176"/>
      <c r="J1406" s="176"/>
      <c r="K1406" s="176"/>
      <c r="L1406" s="176"/>
      <c r="M1406" s="176"/>
      <c r="N1406" s="176"/>
      <c r="O1406" s="176"/>
      <c r="P1406" s="176"/>
      <c r="Q1406" s="176"/>
      <c r="R1406" s="176"/>
      <c r="S1406" s="162">
        <f t="shared" si="147"/>
        <v>0</v>
      </c>
      <c r="T1406" s="167"/>
    </row>
    <row r="1407" customHeight="1" spans="2:20">
      <c r="B1407" s="166"/>
      <c r="C1407" s="164">
        <f t="shared" si="146"/>
        <v>34</v>
      </c>
      <c r="D1407" s="158" t="str">
        <f>VLOOKUP(C1407,DMSP!$A$1:$C$39,2,0)</f>
        <v>7.KHÁC</v>
      </c>
      <c r="E1407" s="159" t="str">
        <f>VLOOKUP(C1407,DMSP!$A$1:$C$39,3,0)</f>
        <v>TOBA BÁM DÍNH</v>
      </c>
      <c r="F1407" s="160">
        <f t="shared" si="144"/>
        <v>0</v>
      </c>
      <c r="G1407" s="176"/>
      <c r="H1407" s="176"/>
      <c r="I1407" s="176"/>
      <c r="J1407" s="176"/>
      <c r="K1407" s="176"/>
      <c r="L1407" s="176"/>
      <c r="M1407" s="176"/>
      <c r="N1407" s="176"/>
      <c r="O1407" s="176"/>
      <c r="P1407" s="176"/>
      <c r="Q1407" s="176"/>
      <c r="R1407" s="176"/>
      <c r="S1407" s="162">
        <f t="shared" si="147"/>
        <v>0</v>
      </c>
      <c r="T1407" s="167"/>
    </row>
    <row r="1408" customHeight="1" spans="2:20">
      <c r="B1408" s="166"/>
      <c r="C1408" s="164">
        <f t="shared" si="146"/>
        <v>35</v>
      </c>
      <c r="D1408" s="158" t="str">
        <f>VLOOKUP(C1408,DMSP!$A$1:$C$39,2,0)</f>
        <v>7.KHÁC</v>
      </c>
      <c r="E1408" s="159" t="str">
        <f>VLOOKUP(C1408,DMSP!$A$1:$C$39,3,0)</f>
        <v>VỌT HOA NHÃN</v>
      </c>
      <c r="F1408" s="160">
        <f t="shared" si="144"/>
        <v>0</v>
      </c>
      <c r="G1408" s="176"/>
      <c r="H1408" s="176"/>
      <c r="I1408" s="176"/>
      <c r="J1408" s="176"/>
      <c r="K1408" s="176"/>
      <c r="L1408" s="176"/>
      <c r="M1408" s="176"/>
      <c r="N1408" s="176"/>
      <c r="O1408" s="176"/>
      <c r="P1408" s="176"/>
      <c r="Q1408" s="176"/>
      <c r="R1408" s="176"/>
      <c r="S1408" s="162">
        <f t="shared" si="147"/>
        <v>0</v>
      </c>
      <c r="T1408" s="167"/>
    </row>
    <row r="1409" customHeight="1" spans="2:20">
      <c r="B1409" s="166"/>
      <c r="C1409" s="164">
        <f t="shared" si="146"/>
        <v>36</v>
      </c>
      <c r="D1409" s="158" t="str">
        <f>VLOOKUP(C1409,DMSP!$A$1:$C$39,2,0)</f>
        <v>7.KHÁC</v>
      </c>
      <c r="E1409" s="159" t="str">
        <f>VLOOKUP(C1409,DMSP!$A$1:$C$39,3,0)</f>
        <v>VỌT HOA XOÀI</v>
      </c>
      <c r="F1409" s="160">
        <f t="shared" si="144"/>
        <v>0</v>
      </c>
      <c r="G1409" s="176"/>
      <c r="H1409" s="176"/>
      <c r="I1409" s="176"/>
      <c r="J1409" s="176"/>
      <c r="K1409" s="176"/>
      <c r="L1409" s="176"/>
      <c r="M1409" s="176"/>
      <c r="N1409" s="176"/>
      <c r="O1409" s="176"/>
      <c r="P1409" s="176"/>
      <c r="Q1409" s="176"/>
      <c r="R1409" s="176"/>
      <c r="S1409" s="162">
        <f t="shared" si="147"/>
        <v>0</v>
      </c>
      <c r="T1409" s="167"/>
    </row>
    <row r="1410" customHeight="1" spans="2:20">
      <c r="B1410" s="166"/>
      <c r="C1410" s="164">
        <f t="shared" si="146"/>
        <v>37</v>
      </c>
      <c r="D1410" s="158" t="str">
        <f>VLOOKUP(C1410,DMSP!$A$1:$C$39,2,0)</f>
        <v>7.KHÁC</v>
      </c>
      <c r="E1410" s="159" t="str">
        <f>VLOOKUP(C1410,DMSP!$A$1:$C$39,3,0)</f>
        <v>VỌT HOA XOÀI</v>
      </c>
      <c r="F1410" s="160">
        <f t="shared" si="144"/>
        <v>0</v>
      </c>
      <c r="G1410" s="176"/>
      <c r="H1410" s="176"/>
      <c r="I1410" s="176"/>
      <c r="J1410" s="176"/>
      <c r="K1410" s="176"/>
      <c r="L1410" s="176"/>
      <c r="M1410" s="176"/>
      <c r="N1410" s="176"/>
      <c r="O1410" s="176"/>
      <c r="P1410" s="176"/>
      <c r="Q1410" s="176"/>
      <c r="R1410" s="176"/>
      <c r="S1410" s="162">
        <f t="shared" si="147"/>
        <v>0</v>
      </c>
      <c r="T1410" s="167"/>
    </row>
    <row r="1411" customHeight="1" spans="2:20">
      <c r="B1411" s="92"/>
      <c r="C1411" s="170">
        <f>B1374</f>
        <v>0</v>
      </c>
      <c r="D1411" s="171"/>
      <c r="E1411" s="172" t="str">
        <f>"TOTAL "&amp;B1374</f>
        <v>TOTAL </v>
      </c>
      <c r="F1411" s="173">
        <f t="shared" si="144"/>
        <v>0</v>
      </c>
      <c r="G1411" s="174">
        <f>SUM(G1374:G1410)</f>
        <v>0</v>
      </c>
      <c r="H1411" s="174">
        <f t="shared" ref="H1411:R1411" si="148">SUM(H1374:H1410)</f>
        <v>0</v>
      </c>
      <c r="I1411" s="174">
        <f t="shared" si="148"/>
        <v>0</v>
      </c>
      <c r="J1411" s="174">
        <f t="shared" si="148"/>
        <v>0</v>
      </c>
      <c r="K1411" s="174">
        <f t="shared" si="148"/>
        <v>0</v>
      </c>
      <c r="L1411" s="174">
        <f t="shared" si="148"/>
        <v>0</v>
      </c>
      <c r="M1411" s="174">
        <f t="shared" si="148"/>
        <v>0</v>
      </c>
      <c r="N1411" s="174">
        <f t="shared" si="148"/>
        <v>0</v>
      </c>
      <c r="O1411" s="174">
        <f t="shared" si="148"/>
        <v>0</v>
      </c>
      <c r="P1411" s="174">
        <f t="shared" si="148"/>
        <v>0</v>
      </c>
      <c r="Q1411" s="174">
        <f t="shared" si="148"/>
        <v>0</v>
      </c>
      <c r="R1411" s="174">
        <f t="shared" si="148"/>
        <v>0</v>
      </c>
      <c r="S1411" s="174">
        <f t="shared" si="147"/>
        <v>0</v>
      </c>
      <c r="T1411" s="175"/>
    </row>
    <row r="1412" customHeight="1" spans="2:20">
      <c r="B1412" s="156"/>
      <c r="C1412" s="157">
        <v>1</v>
      </c>
      <c r="D1412" s="158" t="str">
        <f>VLOOKUP(C1412,DMSP!$A$1:$C$39,2,0)</f>
        <v>1.TOBA XANH</v>
      </c>
      <c r="E1412" s="159" t="str">
        <f>VLOOKUP(C1412,DMSP!$A$1:$C$39,3,0)</f>
        <v>TOBA XANH</v>
      </c>
      <c r="F1412" s="160">
        <f t="shared" si="144"/>
        <v>0</v>
      </c>
      <c r="G1412" s="176"/>
      <c r="H1412" s="176"/>
      <c r="I1412" s="176"/>
      <c r="J1412" s="176"/>
      <c r="K1412" s="176"/>
      <c r="L1412" s="176"/>
      <c r="M1412" s="176"/>
      <c r="N1412" s="176"/>
      <c r="O1412" s="176"/>
      <c r="P1412" s="176"/>
      <c r="Q1412" s="176"/>
      <c r="R1412" s="176"/>
      <c r="S1412" s="162">
        <f t="shared" si="147"/>
        <v>0</v>
      </c>
      <c r="T1412" s="163">
        <f>S1449</f>
        <v>0</v>
      </c>
    </row>
    <row r="1413" customHeight="1" spans="2:20">
      <c r="B1413" s="166"/>
      <c r="C1413" s="164">
        <f t="shared" ref="C1413:C1448" si="149">C1412+1</f>
        <v>2</v>
      </c>
      <c r="D1413" s="158" t="str">
        <f>VLOOKUP(C1413,DMSP!$A$1:$C$39,2,0)</f>
        <v>2.HC</v>
      </c>
      <c r="E1413" s="159" t="str">
        <f>VLOOKUP(C1413,DMSP!$A$1:$C$39,3,0)</f>
        <v>HC BOOSTER</v>
      </c>
      <c r="F1413" s="160">
        <f t="shared" si="144"/>
        <v>0</v>
      </c>
      <c r="G1413" s="176"/>
      <c r="H1413" s="176"/>
      <c r="I1413" s="176"/>
      <c r="J1413" s="176"/>
      <c r="K1413" s="176"/>
      <c r="L1413" s="176"/>
      <c r="M1413" s="176"/>
      <c r="N1413" s="176"/>
      <c r="O1413" s="176"/>
      <c r="P1413" s="176"/>
      <c r="Q1413" s="176"/>
      <c r="R1413" s="176"/>
      <c r="S1413" s="162">
        <f t="shared" ref="S1413:S1450" si="150">SUM(G1413:R1413)</f>
        <v>0</v>
      </c>
      <c r="T1413" s="167"/>
    </row>
    <row r="1414" customHeight="1" spans="2:20">
      <c r="B1414" s="166"/>
      <c r="C1414" s="164">
        <f t="shared" si="149"/>
        <v>3</v>
      </c>
      <c r="D1414" s="158" t="str">
        <f>VLOOKUP(C1414,DMSP!$A$1:$C$39,2,0)</f>
        <v>2.HC</v>
      </c>
      <c r="E1414" s="159" t="str">
        <f>VLOOKUP(C1414,DMSP!$A$1:$C$39,3,0)</f>
        <v>HC KING-ROOT</v>
      </c>
      <c r="F1414" s="160">
        <f t="shared" si="144"/>
        <v>0</v>
      </c>
      <c r="G1414" s="176"/>
      <c r="H1414" s="176"/>
      <c r="I1414" s="176"/>
      <c r="J1414" s="176"/>
      <c r="K1414" s="176"/>
      <c r="L1414" s="176"/>
      <c r="M1414" s="176"/>
      <c r="N1414" s="176"/>
      <c r="O1414" s="176"/>
      <c r="P1414" s="176"/>
      <c r="Q1414" s="176"/>
      <c r="R1414" s="176"/>
      <c r="S1414" s="162">
        <f t="shared" si="150"/>
        <v>0</v>
      </c>
      <c r="T1414" s="167"/>
    </row>
    <row r="1415" customHeight="1" spans="2:20">
      <c r="B1415" s="166"/>
      <c r="C1415" s="164">
        <f t="shared" si="149"/>
        <v>4</v>
      </c>
      <c r="D1415" s="158" t="str">
        <f>VLOOKUP(C1415,DMSP!$A$1:$C$39,2,0)</f>
        <v>2.HC</v>
      </c>
      <c r="E1415" s="159" t="str">
        <f>VLOOKUP(C1415,DMSP!$A$1:$C$39,3,0)</f>
        <v>HAPPY FARM</v>
      </c>
      <c r="F1415" s="160">
        <f t="shared" ref="F1415:F1478" si="151">S1415</f>
        <v>0</v>
      </c>
      <c r="G1415" s="176"/>
      <c r="H1415" s="176"/>
      <c r="I1415" s="176"/>
      <c r="J1415" s="176"/>
      <c r="K1415" s="176"/>
      <c r="L1415" s="176"/>
      <c r="M1415" s="176"/>
      <c r="N1415" s="176"/>
      <c r="O1415" s="176"/>
      <c r="P1415" s="176"/>
      <c r="Q1415" s="176"/>
      <c r="R1415" s="176"/>
      <c r="S1415" s="162">
        <f t="shared" si="150"/>
        <v>0</v>
      </c>
      <c r="T1415" s="167"/>
    </row>
    <row r="1416" customHeight="1" spans="2:20">
      <c r="B1416" s="166"/>
      <c r="C1416" s="164">
        <f t="shared" si="149"/>
        <v>5</v>
      </c>
      <c r="D1416" s="158" t="str">
        <f>VLOOKUP(C1416,DMSP!$A$1:$C$39,2,0)</f>
        <v>2.HC</v>
      </c>
      <c r="E1416" s="159" t="str">
        <f>VLOOKUP(C1416,DMSP!$A$1:$C$39,3,0)</f>
        <v>WOW</v>
      </c>
      <c r="F1416" s="160">
        <f t="shared" si="151"/>
        <v>0</v>
      </c>
      <c r="G1416" s="176"/>
      <c r="H1416" s="176"/>
      <c r="I1416" s="176"/>
      <c r="J1416" s="176"/>
      <c r="K1416" s="176"/>
      <c r="L1416" s="176"/>
      <c r="M1416" s="176"/>
      <c r="N1416" s="176"/>
      <c r="O1416" s="176"/>
      <c r="P1416" s="176"/>
      <c r="Q1416" s="176"/>
      <c r="R1416" s="176"/>
      <c r="S1416" s="162">
        <f t="shared" si="150"/>
        <v>0</v>
      </c>
      <c r="T1416" s="167"/>
    </row>
    <row r="1417" customHeight="1" spans="2:20">
      <c r="B1417" s="166"/>
      <c r="C1417" s="164">
        <f t="shared" si="149"/>
        <v>6</v>
      </c>
      <c r="D1417" s="158" t="str">
        <f>VLOOKUP(C1417,DMSP!$A$1:$C$39,2,0)</f>
        <v>3.SPRAY </v>
      </c>
      <c r="E1417" s="159" t="str">
        <f>VLOOKUP(C1417,DMSP!$A$1:$C$39,3,0)</f>
        <v>KELPIT</v>
      </c>
      <c r="F1417" s="160">
        <f t="shared" si="151"/>
        <v>0</v>
      </c>
      <c r="G1417" s="176"/>
      <c r="H1417" s="176"/>
      <c r="I1417" s="176"/>
      <c r="J1417" s="176"/>
      <c r="K1417" s="176"/>
      <c r="L1417" s="176"/>
      <c r="M1417" s="176"/>
      <c r="N1417" s="176"/>
      <c r="O1417" s="176"/>
      <c r="P1417" s="176"/>
      <c r="Q1417" s="176"/>
      <c r="R1417" s="176"/>
      <c r="S1417" s="162">
        <f t="shared" si="150"/>
        <v>0</v>
      </c>
      <c r="T1417" s="167"/>
    </row>
    <row r="1418" customHeight="1" spans="2:20">
      <c r="B1418" s="166"/>
      <c r="C1418" s="164">
        <f t="shared" si="149"/>
        <v>7</v>
      </c>
      <c r="D1418" s="158" t="str">
        <f>VLOOKUP(C1418,DMSP!$A$1:$C$39,2,0)</f>
        <v>3.SPRAY </v>
      </c>
      <c r="E1418" s="159" t="str">
        <f>VLOOKUP(C1418,DMSP!$A$1:$C$39,3,0)</f>
        <v>SI-K</v>
      </c>
      <c r="F1418" s="160">
        <f t="shared" si="151"/>
        <v>0</v>
      </c>
      <c r="G1418" s="176"/>
      <c r="H1418" s="176"/>
      <c r="I1418" s="176"/>
      <c r="J1418" s="176"/>
      <c r="K1418" s="176"/>
      <c r="L1418" s="176"/>
      <c r="M1418" s="176"/>
      <c r="N1418" s="176"/>
      <c r="O1418" s="176"/>
      <c r="P1418" s="176"/>
      <c r="Q1418" s="176"/>
      <c r="R1418" s="176"/>
      <c r="S1418" s="162">
        <f t="shared" si="150"/>
        <v>0</v>
      </c>
      <c r="T1418" s="167"/>
    </row>
    <row r="1419" customHeight="1" spans="2:20">
      <c r="B1419" s="166"/>
      <c r="C1419" s="164">
        <f t="shared" si="149"/>
        <v>8</v>
      </c>
      <c r="D1419" s="158" t="str">
        <f>VLOOKUP(C1419,DMSP!$A$1:$C$39,2,0)</f>
        <v>3.SPRAY </v>
      </c>
      <c r="E1419" s="159" t="str">
        <f>VLOOKUP(C1419,DMSP!$A$1:$C$39,3,0)</f>
        <v>SPRAY PHOS 620</v>
      </c>
      <c r="F1419" s="160">
        <f t="shared" si="151"/>
        <v>0</v>
      </c>
      <c r="G1419" s="176"/>
      <c r="H1419" s="176"/>
      <c r="I1419" s="176"/>
      <c r="J1419" s="176"/>
      <c r="K1419" s="176"/>
      <c r="L1419" s="176"/>
      <c r="M1419" s="176"/>
      <c r="N1419" s="176"/>
      <c r="O1419" s="176"/>
      <c r="P1419" s="176"/>
      <c r="Q1419" s="176"/>
      <c r="R1419" s="176"/>
      <c r="S1419" s="162">
        <f t="shared" si="150"/>
        <v>0</v>
      </c>
      <c r="T1419" s="167"/>
    </row>
    <row r="1420" customHeight="1" spans="2:20">
      <c r="B1420" s="166"/>
      <c r="C1420" s="164">
        <f t="shared" si="149"/>
        <v>9</v>
      </c>
      <c r="D1420" s="158" t="str">
        <f>VLOOKUP(C1420,DMSP!$A$1:$C$39,2,0)</f>
        <v>4.DƯỠNG RỄ</v>
      </c>
      <c r="E1420" s="159" t="str">
        <f>VLOOKUP(C1420,DMSP!$A$1:$C$39,3,0)</f>
        <v>CHITOSAN</v>
      </c>
      <c r="F1420" s="160">
        <f t="shared" si="151"/>
        <v>0</v>
      </c>
      <c r="G1420" s="176"/>
      <c r="H1420" s="176"/>
      <c r="I1420" s="176"/>
      <c r="J1420" s="176"/>
      <c r="K1420" s="176"/>
      <c r="L1420" s="176"/>
      <c r="M1420" s="176"/>
      <c r="N1420" s="176"/>
      <c r="O1420" s="176"/>
      <c r="P1420" s="176"/>
      <c r="Q1420" s="176"/>
      <c r="R1420" s="176"/>
      <c r="S1420" s="162">
        <f t="shared" si="150"/>
        <v>0</v>
      </c>
      <c r="T1420" s="167"/>
    </row>
    <row r="1421" customHeight="1" spans="2:20">
      <c r="B1421" s="166"/>
      <c r="C1421" s="164">
        <f t="shared" si="149"/>
        <v>10</v>
      </c>
      <c r="D1421" s="158" t="str">
        <f>VLOOKUP(C1421,DMSP!$A$1:$C$39,2,0)</f>
        <v>4.DƯỠNG RỄ</v>
      </c>
      <c r="E1421" s="159" t="str">
        <f>VLOOKUP(C1421,DMSP!$A$1:$C$39,3,0)</f>
        <v>ĐẠM CÁ</v>
      </c>
      <c r="F1421" s="160">
        <f t="shared" si="151"/>
        <v>0</v>
      </c>
      <c r="G1421" s="176"/>
      <c r="H1421" s="176"/>
      <c r="I1421" s="176"/>
      <c r="J1421" s="176"/>
      <c r="K1421" s="176"/>
      <c r="L1421" s="176"/>
      <c r="M1421" s="176"/>
      <c r="N1421" s="176"/>
      <c r="O1421" s="176"/>
      <c r="P1421" s="176"/>
      <c r="Q1421" s="176"/>
      <c r="R1421" s="176"/>
      <c r="S1421" s="162">
        <f t="shared" si="150"/>
        <v>0</v>
      </c>
      <c r="T1421" s="167"/>
    </row>
    <row r="1422" customHeight="1" spans="2:20">
      <c r="B1422" s="166"/>
      <c r="C1422" s="164">
        <f t="shared" si="149"/>
        <v>11</v>
      </c>
      <c r="D1422" s="158" t="str">
        <f>VLOOKUP(C1422,DMSP!$A$1:$C$39,2,0)</f>
        <v>4.DƯỠNG RỄ</v>
      </c>
      <c r="E1422" s="159" t="str">
        <f>VLOOKUP(C1422,DMSP!$A$1:$C$39,3,0)</f>
        <v>ĐẠM TÔM</v>
      </c>
      <c r="F1422" s="160">
        <f t="shared" si="151"/>
        <v>0</v>
      </c>
      <c r="G1422" s="176"/>
      <c r="H1422" s="176"/>
      <c r="I1422" s="176"/>
      <c r="J1422" s="176"/>
      <c r="K1422" s="176"/>
      <c r="L1422" s="176"/>
      <c r="M1422" s="176"/>
      <c r="N1422" s="176"/>
      <c r="O1422" s="176"/>
      <c r="P1422" s="176"/>
      <c r="Q1422" s="176"/>
      <c r="R1422" s="176"/>
      <c r="S1422" s="162">
        <f t="shared" si="150"/>
        <v>0</v>
      </c>
      <c r="T1422" s="167"/>
    </row>
    <row r="1423" customHeight="1" spans="2:20">
      <c r="B1423" s="166"/>
      <c r="C1423" s="164">
        <f t="shared" si="149"/>
        <v>12</v>
      </c>
      <c r="D1423" s="158" t="str">
        <f>VLOOKUP(C1423,DMSP!$A$1:$C$39,2,0)</f>
        <v>4.DƯỠNG RỄ</v>
      </c>
      <c r="E1423" s="159" t="str">
        <f>VLOOKUP(C1423,DMSP!$A$1:$C$39,3,0)</f>
        <v>SUPERMIC</v>
      </c>
      <c r="F1423" s="160">
        <f t="shared" si="151"/>
        <v>0</v>
      </c>
      <c r="G1423" s="176"/>
      <c r="H1423" s="176"/>
      <c r="I1423" s="176"/>
      <c r="J1423" s="176"/>
      <c r="K1423" s="176"/>
      <c r="L1423" s="176"/>
      <c r="M1423" s="176"/>
      <c r="N1423" s="176"/>
      <c r="O1423" s="176"/>
      <c r="P1423" s="176"/>
      <c r="Q1423" s="176"/>
      <c r="R1423" s="176"/>
      <c r="S1423" s="162">
        <f t="shared" si="150"/>
        <v>0</v>
      </c>
      <c r="T1423" s="167"/>
    </row>
    <row r="1424" customHeight="1" spans="2:20">
      <c r="B1424" s="166"/>
      <c r="C1424" s="164">
        <f t="shared" si="149"/>
        <v>13</v>
      </c>
      <c r="D1424" s="158" t="str">
        <f>VLOOKUP(C1424,DMSP!$A$1:$C$39,2,0)</f>
        <v>5.TRUYỀN THỐNG</v>
      </c>
      <c r="E1424" s="159" t="str">
        <f>VLOOKUP(C1424,DMSP!$A$1:$C$39,3,0)</f>
        <v>CABO</v>
      </c>
      <c r="F1424" s="160">
        <f t="shared" si="151"/>
        <v>0</v>
      </c>
      <c r="G1424" s="176"/>
      <c r="H1424" s="176"/>
      <c r="I1424" s="176"/>
      <c r="J1424" s="176"/>
      <c r="K1424" s="176"/>
      <c r="L1424" s="176"/>
      <c r="M1424" s="176"/>
      <c r="N1424" s="176"/>
      <c r="O1424" s="176"/>
      <c r="P1424" s="176"/>
      <c r="Q1424" s="176"/>
      <c r="R1424" s="176"/>
      <c r="S1424" s="162">
        <f t="shared" si="150"/>
        <v>0</v>
      </c>
      <c r="T1424" s="167"/>
    </row>
    <row r="1425" customHeight="1" spans="2:20">
      <c r="B1425" s="166"/>
      <c r="C1425" s="164">
        <f t="shared" si="149"/>
        <v>14</v>
      </c>
      <c r="D1425" s="158" t="str">
        <f>VLOOKUP(C1425,DMSP!$A$1:$C$39,2,0)</f>
        <v>5.TRUYỀN THỐNG</v>
      </c>
      <c r="E1425" s="159" t="str">
        <f>VLOOKUP(C1425,DMSP!$A$1:$C$39,3,0)</f>
        <v>F94</v>
      </c>
      <c r="F1425" s="160">
        <f t="shared" si="151"/>
        <v>0</v>
      </c>
      <c r="G1425" s="176"/>
      <c r="H1425" s="176"/>
      <c r="I1425" s="176"/>
      <c r="J1425" s="176"/>
      <c r="K1425" s="176"/>
      <c r="L1425" s="176"/>
      <c r="M1425" s="176"/>
      <c r="N1425" s="176"/>
      <c r="O1425" s="176"/>
      <c r="P1425" s="176"/>
      <c r="Q1425" s="176"/>
      <c r="R1425" s="176"/>
      <c r="S1425" s="162">
        <f t="shared" si="150"/>
        <v>0</v>
      </c>
      <c r="T1425" s="167"/>
    </row>
    <row r="1426" customHeight="1" spans="2:20">
      <c r="B1426" s="166"/>
      <c r="C1426" s="164">
        <f t="shared" si="149"/>
        <v>15</v>
      </c>
      <c r="D1426" s="158" t="str">
        <f>VLOOKUP(C1426,DMSP!$A$1:$C$39,2,0)</f>
        <v>5.TRUYỀN THỐNG</v>
      </c>
      <c r="E1426" s="159" t="str">
        <f>VLOOKUP(C1426,DMSP!$A$1:$C$39,3,0)</f>
        <v>F95</v>
      </c>
      <c r="F1426" s="160">
        <f t="shared" si="151"/>
        <v>0</v>
      </c>
      <c r="G1426" s="176"/>
      <c r="H1426" s="176"/>
      <c r="I1426" s="176"/>
      <c r="J1426" s="176"/>
      <c r="K1426" s="176"/>
      <c r="L1426" s="176"/>
      <c r="M1426" s="176"/>
      <c r="N1426" s="176"/>
      <c r="O1426" s="176"/>
      <c r="P1426" s="176"/>
      <c r="Q1426" s="176"/>
      <c r="R1426" s="176"/>
      <c r="S1426" s="162">
        <f t="shared" si="150"/>
        <v>0</v>
      </c>
      <c r="T1426" s="167"/>
    </row>
    <row r="1427" customHeight="1" spans="2:20">
      <c r="B1427" s="166"/>
      <c r="C1427" s="164">
        <f t="shared" si="149"/>
        <v>16</v>
      </c>
      <c r="D1427" s="158" t="str">
        <f>VLOOKUP(C1427,DMSP!$A$1:$C$39,2,0)</f>
        <v>5.TRUYỀN THỐNG</v>
      </c>
      <c r="E1427" s="159" t="str">
        <f>VLOOKUP(C1427,DMSP!$A$1:$C$39,3,0)</f>
        <v>THIOURE</v>
      </c>
      <c r="F1427" s="160">
        <f t="shared" si="151"/>
        <v>0</v>
      </c>
      <c r="G1427" s="176"/>
      <c r="H1427" s="176"/>
      <c r="I1427" s="176"/>
      <c r="J1427" s="176"/>
      <c r="K1427" s="176"/>
      <c r="L1427" s="176"/>
      <c r="M1427" s="176"/>
      <c r="N1427" s="176"/>
      <c r="O1427" s="176"/>
      <c r="P1427" s="176"/>
      <c r="Q1427" s="176"/>
      <c r="R1427" s="176"/>
      <c r="S1427" s="162">
        <f t="shared" si="150"/>
        <v>0</v>
      </c>
      <c r="T1427" s="167"/>
    </row>
    <row r="1428" customHeight="1" spans="2:20">
      <c r="B1428" s="166"/>
      <c r="C1428" s="164">
        <f t="shared" si="149"/>
        <v>17</v>
      </c>
      <c r="D1428" s="158" t="str">
        <f>VLOOKUP(C1428,DMSP!$A$1:$C$39,2,0)</f>
        <v>5.TRUYỀN THỐNG</v>
      </c>
      <c r="E1428" s="159" t="str">
        <f>VLOOKUP(C1428,DMSP!$A$1:$C$39,3,0)</f>
        <v>TOBA JUM</v>
      </c>
      <c r="F1428" s="160">
        <f t="shared" si="151"/>
        <v>0</v>
      </c>
      <c r="G1428" s="176"/>
      <c r="H1428" s="176"/>
      <c r="I1428" s="176"/>
      <c r="J1428" s="176"/>
      <c r="K1428" s="176"/>
      <c r="L1428" s="176"/>
      <c r="M1428" s="176"/>
      <c r="N1428" s="176"/>
      <c r="O1428" s="176"/>
      <c r="P1428" s="176"/>
      <c r="Q1428" s="176"/>
      <c r="R1428" s="176"/>
      <c r="S1428" s="162">
        <f t="shared" si="150"/>
        <v>0</v>
      </c>
      <c r="T1428" s="167"/>
    </row>
    <row r="1429" customHeight="1" spans="2:20">
      <c r="B1429" s="166"/>
      <c r="C1429" s="164">
        <f t="shared" si="149"/>
        <v>18</v>
      </c>
      <c r="D1429" s="158" t="str">
        <f>VLOOKUP(C1429,DMSP!$A$1:$C$39,2,0)</f>
        <v>5.TRUYỀN THỐNG</v>
      </c>
      <c r="E1429" s="159" t="str">
        <f>VLOOKUP(C1429,DMSP!$A$1:$C$39,3,0)</f>
        <v>TOBA NET</v>
      </c>
      <c r="F1429" s="160">
        <f t="shared" si="151"/>
        <v>0</v>
      </c>
      <c r="G1429" s="176"/>
      <c r="H1429" s="176"/>
      <c r="I1429" s="176"/>
      <c r="J1429" s="176"/>
      <c r="K1429" s="176"/>
      <c r="L1429" s="176"/>
      <c r="M1429" s="176"/>
      <c r="N1429" s="176"/>
      <c r="O1429" s="176"/>
      <c r="P1429" s="176"/>
      <c r="Q1429" s="176"/>
      <c r="R1429" s="176"/>
      <c r="S1429" s="162">
        <f t="shared" si="150"/>
        <v>0</v>
      </c>
      <c r="T1429" s="167"/>
    </row>
    <row r="1430" customHeight="1" spans="2:20">
      <c r="B1430" s="166"/>
      <c r="C1430" s="164">
        <f t="shared" si="149"/>
        <v>19</v>
      </c>
      <c r="D1430" s="158" t="str">
        <f>VLOOKUP(C1430,DMSP!$A$1:$C$39,2,0)</f>
        <v>6.BVTV</v>
      </c>
      <c r="E1430" s="159" t="str">
        <f>VLOOKUP(C1430,DMSP!$A$1:$C$39,3,0)</f>
        <v>ABAFAX 1.8</v>
      </c>
      <c r="F1430" s="160">
        <f t="shared" si="151"/>
        <v>0</v>
      </c>
      <c r="G1430" s="176"/>
      <c r="H1430" s="176"/>
      <c r="I1430" s="176"/>
      <c r="J1430" s="176"/>
      <c r="K1430" s="176"/>
      <c r="L1430" s="176"/>
      <c r="M1430" s="176"/>
      <c r="N1430" s="176"/>
      <c r="O1430" s="176"/>
      <c r="P1430" s="176"/>
      <c r="Q1430" s="176"/>
      <c r="R1430" s="176"/>
      <c r="S1430" s="162">
        <f t="shared" si="150"/>
        <v>0</v>
      </c>
      <c r="T1430" s="167"/>
    </row>
    <row r="1431" customHeight="1" spans="2:20">
      <c r="B1431" s="166"/>
      <c r="C1431" s="164">
        <f t="shared" si="149"/>
        <v>20</v>
      </c>
      <c r="D1431" s="158" t="str">
        <f>VLOOKUP(C1431,DMSP!$A$1:$C$39,2,0)</f>
        <v>6.BVTV</v>
      </c>
      <c r="E1431" s="159" t="str">
        <f>VLOOKUP(C1431,DMSP!$A$1:$C$39,3,0)</f>
        <v>ABAFAX 3.6</v>
      </c>
      <c r="F1431" s="160">
        <f t="shared" si="151"/>
        <v>0</v>
      </c>
      <c r="G1431" s="176"/>
      <c r="H1431" s="176"/>
      <c r="I1431" s="176"/>
      <c r="J1431" s="176"/>
      <c r="K1431" s="176"/>
      <c r="L1431" s="176"/>
      <c r="M1431" s="176"/>
      <c r="N1431" s="176"/>
      <c r="O1431" s="176"/>
      <c r="P1431" s="176"/>
      <c r="Q1431" s="176"/>
      <c r="R1431" s="176"/>
      <c r="S1431" s="162">
        <f t="shared" si="150"/>
        <v>0</v>
      </c>
      <c r="T1431" s="167"/>
    </row>
    <row r="1432" customHeight="1" spans="2:20">
      <c r="B1432" s="166"/>
      <c r="C1432" s="164">
        <f t="shared" si="149"/>
        <v>21</v>
      </c>
      <c r="D1432" s="158" t="str">
        <f>VLOOKUP(C1432,DMSP!$A$1:$C$39,2,0)</f>
        <v>6.BVTV</v>
      </c>
      <c r="E1432" s="159" t="str">
        <f>VLOOKUP(C1432,DMSP!$A$1:$C$39,3,0)</f>
        <v>AZET</v>
      </c>
      <c r="F1432" s="160">
        <f t="shared" si="151"/>
        <v>0</v>
      </c>
      <c r="G1432" s="176"/>
      <c r="H1432" s="176"/>
      <c r="I1432" s="176"/>
      <c r="J1432" s="176"/>
      <c r="K1432" s="176"/>
      <c r="L1432" s="176"/>
      <c r="M1432" s="176"/>
      <c r="N1432" s="176"/>
      <c r="O1432" s="176"/>
      <c r="P1432" s="176"/>
      <c r="Q1432" s="176"/>
      <c r="R1432" s="176"/>
      <c r="S1432" s="162">
        <f t="shared" si="150"/>
        <v>0</v>
      </c>
      <c r="T1432" s="167"/>
    </row>
    <row r="1433" customHeight="1" spans="2:20">
      <c r="B1433" s="166"/>
      <c r="C1433" s="164">
        <f t="shared" si="149"/>
        <v>22</v>
      </c>
      <c r="D1433" s="158" t="str">
        <f>VLOOKUP(C1433,DMSP!$A$1:$C$39,2,0)</f>
        <v>6.BVTV</v>
      </c>
      <c r="E1433" s="159" t="str">
        <f>VLOOKUP(C1433,DMSP!$A$1:$C$39,3,0)</f>
        <v>BACBA</v>
      </c>
      <c r="F1433" s="160">
        <f t="shared" si="151"/>
        <v>0</v>
      </c>
      <c r="G1433" s="176"/>
      <c r="H1433" s="176"/>
      <c r="I1433" s="176"/>
      <c r="J1433" s="176"/>
      <c r="K1433" s="176"/>
      <c r="L1433" s="176"/>
      <c r="M1433" s="176"/>
      <c r="N1433" s="176"/>
      <c r="O1433" s="176"/>
      <c r="P1433" s="176"/>
      <c r="Q1433" s="176"/>
      <c r="R1433" s="176"/>
      <c r="S1433" s="162">
        <f t="shared" si="150"/>
        <v>0</v>
      </c>
      <c r="T1433" s="167"/>
    </row>
    <row r="1434" customHeight="1" spans="2:20">
      <c r="B1434" s="166"/>
      <c r="C1434" s="164">
        <f t="shared" si="149"/>
        <v>23</v>
      </c>
      <c r="D1434" s="158" t="str">
        <f>VLOOKUP(C1434,DMSP!$A$1:$C$39,2,0)</f>
        <v>6.BVTV</v>
      </c>
      <c r="E1434" s="159" t="str">
        <f>VLOOKUP(C1434,DMSP!$A$1:$C$39,3,0)</f>
        <v>BIOROSAMIL</v>
      </c>
      <c r="F1434" s="160">
        <f t="shared" si="151"/>
        <v>0</v>
      </c>
      <c r="G1434" s="176"/>
      <c r="H1434" s="176"/>
      <c r="I1434" s="176"/>
      <c r="J1434" s="176"/>
      <c r="K1434" s="176"/>
      <c r="L1434" s="176"/>
      <c r="M1434" s="176"/>
      <c r="N1434" s="176"/>
      <c r="O1434" s="176"/>
      <c r="P1434" s="176"/>
      <c r="Q1434" s="176"/>
      <c r="R1434" s="176"/>
      <c r="S1434" s="162">
        <f t="shared" si="150"/>
        <v>0</v>
      </c>
      <c r="T1434" s="167"/>
    </row>
    <row r="1435" customHeight="1" spans="2:20">
      <c r="B1435" s="166"/>
      <c r="C1435" s="164">
        <f t="shared" si="149"/>
        <v>24</v>
      </c>
      <c r="D1435" s="158" t="str">
        <f>VLOOKUP(C1435,DMSP!$A$1:$C$39,2,0)</f>
        <v>6.BVTV</v>
      </c>
      <c r="E1435" s="159" t="str">
        <f>VLOOKUP(C1435,DMSP!$A$1:$C$39,3,0)</f>
        <v>COC 86</v>
      </c>
      <c r="F1435" s="160">
        <f t="shared" si="151"/>
        <v>0</v>
      </c>
      <c r="G1435" s="176"/>
      <c r="H1435" s="176"/>
      <c r="I1435" s="176"/>
      <c r="J1435" s="176"/>
      <c r="K1435" s="176"/>
      <c r="L1435" s="176"/>
      <c r="M1435" s="176"/>
      <c r="N1435" s="176"/>
      <c r="O1435" s="176"/>
      <c r="P1435" s="176"/>
      <c r="Q1435" s="176"/>
      <c r="R1435" s="176"/>
      <c r="S1435" s="162">
        <f t="shared" si="150"/>
        <v>0</v>
      </c>
      <c r="T1435" s="167"/>
    </row>
    <row r="1436" customHeight="1" spans="2:20">
      <c r="B1436" s="166"/>
      <c r="C1436" s="164">
        <f t="shared" si="149"/>
        <v>25</v>
      </c>
      <c r="D1436" s="158" t="str">
        <f>VLOOKUP(C1436,DMSP!$A$1:$C$39,2,0)</f>
        <v>6.BVTV</v>
      </c>
      <c r="E1436" s="159" t="str">
        <f>VLOOKUP(C1436,DMSP!$A$1:$C$39,3,0)</f>
        <v>HEXA 5</v>
      </c>
      <c r="F1436" s="160">
        <f t="shared" si="151"/>
        <v>0</v>
      </c>
      <c r="G1436" s="176"/>
      <c r="H1436" s="176"/>
      <c r="I1436" s="176"/>
      <c r="J1436" s="176"/>
      <c r="K1436" s="176"/>
      <c r="L1436" s="176"/>
      <c r="M1436" s="176"/>
      <c r="N1436" s="176"/>
      <c r="O1436" s="176"/>
      <c r="P1436" s="176"/>
      <c r="Q1436" s="176"/>
      <c r="R1436" s="176"/>
      <c r="S1436" s="162">
        <f t="shared" si="150"/>
        <v>0</v>
      </c>
      <c r="T1436" s="167"/>
    </row>
    <row r="1437" customHeight="1" spans="2:20">
      <c r="B1437" s="166"/>
      <c r="C1437" s="164">
        <f t="shared" si="149"/>
        <v>26</v>
      </c>
      <c r="D1437" s="158" t="str">
        <f>VLOOKUP(C1437,DMSP!$A$1:$C$39,2,0)</f>
        <v>6.BVTV</v>
      </c>
      <c r="E1437" s="159" t="str">
        <f>VLOOKUP(C1437,DMSP!$A$1:$C$39,3,0)</f>
        <v>TAMALA</v>
      </c>
      <c r="F1437" s="160">
        <f t="shared" si="151"/>
        <v>0</v>
      </c>
      <c r="G1437" s="176"/>
      <c r="H1437" s="176"/>
      <c r="I1437" s="176"/>
      <c r="J1437" s="176"/>
      <c r="K1437" s="176"/>
      <c r="L1437" s="176"/>
      <c r="M1437" s="176"/>
      <c r="N1437" s="176"/>
      <c r="O1437" s="176"/>
      <c r="P1437" s="176"/>
      <c r="Q1437" s="176"/>
      <c r="R1437" s="176"/>
      <c r="S1437" s="162">
        <f t="shared" si="150"/>
        <v>0</v>
      </c>
      <c r="T1437" s="167"/>
    </row>
    <row r="1438" customHeight="1" spans="2:20">
      <c r="B1438" s="166"/>
      <c r="C1438" s="164">
        <f t="shared" si="149"/>
        <v>27</v>
      </c>
      <c r="D1438" s="158" t="str">
        <f>VLOOKUP(C1438,DMSP!$A$1:$C$39,2,0)</f>
        <v>7.KHÁC</v>
      </c>
      <c r="E1438" s="159" t="str">
        <f>VLOOKUP(C1438,DMSP!$A$1:$C$39,3,0)</f>
        <v>KẼM VÀNG</v>
      </c>
      <c r="F1438" s="160">
        <f t="shared" si="151"/>
        <v>0</v>
      </c>
      <c r="G1438" s="176"/>
      <c r="H1438" s="176"/>
      <c r="I1438" s="176"/>
      <c r="J1438" s="176"/>
      <c r="K1438" s="176"/>
      <c r="L1438" s="176"/>
      <c r="M1438" s="176"/>
      <c r="N1438" s="176"/>
      <c r="O1438" s="176"/>
      <c r="P1438" s="176"/>
      <c r="Q1438" s="176"/>
      <c r="R1438" s="176"/>
      <c r="S1438" s="162">
        <f t="shared" si="150"/>
        <v>0</v>
      </c>
      <c r="T1438" s="167"/>
    </row>
    <row r="1439" customHeight="1" spans="2:20">
      <c r="B1439" s="166"/>
      <c r="C1439" s="164">
        <f t="shared" si="149"/>
        <v>28</v>
      </c>
      <c r="D1439" s="158" t="str">
        <f>VLOOKUP(C1439,DMSP!$A$1:$C$39,2,0)</f>
        <v>7.KHÁC</v>
      </c>
      <c r="E1439" s="159" t="str">
        <f>VLOOKUP(C1439,DMSP!$A$1:$C$39,3,0)</f>
        <v>KHÁC1</v>
      </c>
      <c r="F1439" s="160">
        <f t="shared" si="151"/>
        <v>0</v>
      </c>
      <c r="G1439" s="176"/>
      <c r="H1439" s="176"/>
      <c r="I1439" s="176"/>
      <c r="J1439" s="176"/>
      <c r="K1439" s="176"/>
      <c r="L1439" s="176"/>
      <c r="M1439" s="176"/>
      <c r="N1439" s="176"/>
      <c r="O1439" s="176"/>
      <c r="P1439" s="176"/>
      <c r="Q1439" s="176"/>
      <c r="R1439" s="176"/>
      <c r="S1439" s="162">
        <f t="shared" si="150"/>
        <v>0</v>
      </c>
      <c r="T1439" s="167"/>
    </row>
    <row r="1440" customHeight="1" spans="2:20">
      <c r="B1440" s="166"/>
      <c r="C1440" s="164">
        <f t="shared" si="149"/>
        <v>29</v>
      </c>
      <c r="D1440" s="158" t="str">
        <f>VLOOKUP(C1440,DMSP!$A$1:$C$39,2,0)</f>
        <v>7.KHÁC</v>
      </c>
      <c r="E1440" s="169" t="s">
        <v>13</v>
      </c>
      <c r="F1440" s="160">
        <f t="shared" si="151"/>
        <v>0</v>
      </c>
      <c r="G1440" s="176"/>
      <c r="H1440" s="176"/>
      <c r="I1440" s="176"/>
      <c r="J1440" s="176"/>
      <c r="K1440" s="176"/>
      <c r="L1440" s="176"/>
      <c r="M1440" s="176"/>
      <c r="N1440" s="176"/>
      <c r="O1440" s="176"/>
      <c r="P1440" s="176"/>
      <c r="Q1440" s="176"/>
      <c r="R1440" s="176"/>
      <c r="S1440" s="162">
        <f t="shared" si="150"/>
        <v>0</v>
      </c>
      <c r="T1440" s="167"/>
    </row>
    <row r="1441" customHeight="1" spans="2:20">
      <c r="B1441" s="166"/>
      <c r="C1441" s="164">
        <f t="shared" si="149"/>
        <v>30</v>
      </c>
      <c r="D1441" s="158" t="str">
        <f>VLOOKUP(C1441,DMSP!$A$1:$C$39,2,0)</f>
        <v>7.KHÁC</v>
      </c>
      <c r="E1441" s="159" t="str">
        <f>VLOOKUP(C1441,DMSP!$A$1:$C$39,3,0)</f>
        <v>RỬA RONG RÊU</v>
      </c>
      <c r="F1441" s="160">
        <f t="shared" si="151"/>
        <v>0</v>
      </c>
      <c r="G1441" s="176"/>
      <c r="H1441" s="176"/>
      <c r="I1441" s="176"/>
      <c r="J1441" s="176"/>
      <c r="K1441" s="176"/>
      <c r="L1441" s="176"/>
      <c r="M1441" s="176"/>
      <c r="N1441" s="176"/>
      <c r="O1441" s="176"/>
      <c r="P1441" s="176"/>
      <c r="Q1441" s="176"/>
      <c r="R1441" s="176"/>
      <c r="S1441" s="162">
        <f t="shared" si="150"/>
        <v>0</v>
      </c>
      <c r="T1441" s="167"/>
    </row>
    <row r="1442" customHeight="1" spans="2:20">
      <c r="B1442" s="166"/>
      <c r="C1442" s="164">
        <f t="shared" si="149"/>
        <v>31</v>
      </c>
      <c r="D1442" s="158" t="str">
        <f>VLOOKUP(C1442,DMSP!$A$1:$C$39,2,0)</f>
        <v>7.KHÁC</v>
      </c>
      <c r="E1442" s="159" t="str">
        <f>VLOOKUP(C1442,DMSP!$A$1:$C$39,3,0)</f>
        <v>TB BO</v>
      </c>
      <c r="F1442" s="160">
        <f t="shared" si="151"/>
        <v>0</v>
      </c>
      <c r="G1442" s="176"/>
      <c r="H1442" s="176"/>
      <c r="I1442" s="176"/>
      <c r="J1442" s="176"/>
      <c r="K1442" s="176"/>
      <c r="L1442" s="176"/>
      <c r="M1442" s="176"/>
      <c r="N1442" s="176"/>
      <c r="O1442" s="176"/>
      <c r="P1442" s="176"/>
      <c r="Q1442" s="176"/>
      <c r="R1442" s="176"/>
      <c r="S1442" s="162">
        <f t="shared" si="150"/>
        <v>0</v>
      </c>
      <c r="T1442" s="167"/>
    </row>
    <row r="1443" customHeight="1" spans="2:20">
      <c r="B1443" s="166"/>
      <c r="C1443" s="164">
        <f t="shared" si="149"/>
        <v>32</v>
      </c>
      <c r="D1443" s="158" t="str">
        <f>VLOOKUP(C1443,DMSP!$A$1:$C$39,2,0)</f>
        <v>7.KHÁC</v>
      </c>
      <c r="E1443" s="159" t="str">
        <f>VLOOKUP(C1443,DMSP!$A$1:$C$39,3,0)</f>
        <v>TB FRUIT</v>
      </c>
      <c r="F1443" s="160">
        <f t="shared" si="151"/>
        <v>0</v>
      </c>
      <c r="G1443" s="176"/>
      <c r="H1443" s="176"/>
      <c r="I1443" s="176"/>
      <c r="J1443" s="176"/>
      <c r="K1443" s="176"/>
      <c r="L1443" s="176"/>
      <c r="M1443" s="176"/>
      <c r="N1443" s="176"/>
      <c r="O1443" s="176"/>
      <c r="P1443" s="176"/>
      <c r="Q1443" s="176"/>
      <c r="R1443" s="176"/>
      <c r="S1443" s="162">
        <f t="shared" si="150"/>
        <v>0</v>
      </c>
      <c r="T1443" s="167"/>
    </row>
    <row r="1444" customHeight="1" spans="2:20">
      <c r="B1444" s="166"/>
      <c r="C1444" s="164">
        <f t="shared" si="149"/>
        <v>33</v>
      </c>
      <c r="D1444" s="158" t="str">
        <f>VLOOKUP(C1444,DMSP!$A$1:$C$39,2,0)</f>
        <v>7.KHÁC</v>
      </c>
      <c r="E1444" s="159" t="str">
        <f>VLOOKUP(C1444,DMSP!$A$1:$C$39,3,0)</f>
        <v>TB PHOS</v>
      </c>
      <c r="F1444" s="160">
        <f t="shared" si="151"/>
        <v>0</v>
      </c>
      <c r="G1444" s="176"/>
      <c r="H1444" s="176"/>
      <c r="I1444" s="176"/>
      <c r="J1444" s="176"/>
      <c r="K1444" s="176"/>
      <c r="L1444" s="176"/>
      <c r="M1444" s="176"/>
      <c r="N1444" s="176"/>
      <c r="O1444" s="176"/>
      <c r="P1444" s="176"/>
      <c r="Q1444" s="176"/>
      <c r="R1444" s="176"/>
      <c r="S1444" s="162">
        <f t="shared" si="150"/>
        <v>0</v>
      </c>
      <c r="T1444" s="167"/>
    </row>
    <row r="1445" customHeight="1" spans="2:20">
      <c r="B1445" s="166"/>
      <c r="C1445" s="164">
        <f t="shared" si="149"/>
        <v>34</v>
      </c>
      <c r="D1445" s="158" t="str">
        <f>VLOOKUP(C1445,DMSP!$A$1:$C$39,2,0)</f>
        <v>7.KHÁC</v>
      </c>
      <c r="E1445" s="159" t="str">
        <f>VLOOKUP(C1445,DMSP!$A$1:$C$39,3,0)</f>
        <v>TOBA BÁM DÍNH</v>
      </c>
      <c r="F1445" s="160">
        <f t="shared" si="151"/>
        <v>0</v>
      </c>
      <c r="G1445" s="176"/>
      <c r="H1445" s="176"/>
      <c r="I1445" s="176"/>
      <c r="J1445" s="176"/>
      <c r="K1445" s="176"/>
      <c r="L1445" s="176"/>
      <c r="M1445" s="176"/>
      <c r="N1445" s="176"/>
      <c r="O1445" s="176"/>
      <c r="P1445" s="176"/>
      <c r="Q1445" s="176"/>
      <c r="R1445" s="176"/>
      <c r="S1445" s="162">
        <f t="shared" si="150"/>
        <v>0</v>
      </c>
      <c r="T1445" s="167"/>
    </row>
    <row r="1446" customHeight="1" spans="2:20">
      <c r="B1446" s="166"/>
      <c r="C1446" s="164">
        <f t="shared" si="149"/>
        <v>35</v>
      </c>
      <c r="D1446" s="158" t="str">
        <f>VLOOKUP(C1446,DMSP!$A$1:$C$39,2,0)</f>
        <v>7.KHÁC</v>
      </c>
      <c r="E1446" s="159" t="str">
        <f>VLOOKUP(C1446,DMSP!$A$1:$C$39,3,0)</f>
        <v>VỌT HOA NHÃN</v>
      </c>
      <c r="F1446" s="160">
        <f t="shared" si="151"/>
        <v>0</v>
      </c>
      <c r="G1446" s="176"/>
      <c r="H1446" s="176"/>
      <c r="I1446" s="176"/>
      <c r="J1446" s="176"/>
      <c r="K1446" s="176"/>
      <c r="L1446" s="176"/>
      <c r="M1446" s="176"/>
      <c r="N1446" s="176"/>
      <c r="O1446" s="176"/>
      <c r="P1446" s="176"/>
      <c r="Q1446" s="176"/>
      <c r="R1446" s="176"/>
      <c r="S1446" s="162">
        <f t="shared" si="150"/>
        <v>0</v>
      </c>
      <c r="T1446" s="167"/>
    </row>
    <row r="1447" customHeight="1" spans="2:20">
      <c r="B1447" s="166"/>
      <c r="C1447" s="164">
        <f t="shared" si="149"/>
        <v>36</v>
      </c>
      <c r="D1447" s="158" t="str">
        <f>VLOOKUP(C1447,DMSP!$A$1:$C$39,2,0)</f>
        <v>7.KHÁC</v>
      </c>
      <c r="E1447" s="159" t="str">
        <f>VLOOKUP(C1447,DMSP!$A$1:$C$39,3,0)</f>
        <v>VỌT HOA XOÀI</v>
      </c>
      <c r="F1447" s="160">
        <f t="shared" si="151"/>
        <v>0</v>
      </c>
      <c r="G1447" s="176"/>
      <c r="H1447" s="176"/>
      <c r="I1447" s="176"/>
      <c r="J1447" s="176"/>
      <c r="K1447" s="176"/>
      <c r="L1447" s="176"/>
      <c r="M1447" s="176"/>
      <c r="N1447" s="176"/>
      <c r="O1447" s="176"/>
      <c r="P1447" s="176"/>
      <c r="Q1447" s="176"/>
      <c r="R1447" s="176"/>
      <c r="S1447" s="162">
        <f t="shared" si="150"/>
        <v>0</v>
      </c>
      <c r="T1447" s="167"/>
    </row>
    <row r="1448" customHeight="1" spans="2:20">
      <c r="B1448" s="166"/>
      <c r="C1448" s="164">
        <f t="shared" si="149"/>
        <v>37</v>
      </c>
      <c r="D1448" s="158" t="str">
        <f>VLOOKUP(C1448,DMSP!$A$1:$C$39,2,0)</f>
        <v>7.KHÁC</v>
      </c>
      <c r="E1448" s="159" t="str">
        <f>VLOOKUP(C1448,DMSP!$A$1:$C$39,3,0)</f>
        <v>VỌT HOA XOÀI</v>
      </c>
      <c r="F1448" s="160">
        <f t="shared" si="151"/>
        <v>0</v>
      </c>
      <c r="G1448" s="176"/>
      <c r="H1448" s="176"/>
      <c r="I1448" s="176"/>
      <c r="J1448" s="176"/>
      <c r="K1448" s="176"/>
      <c r="L1448" s="176"/>
      <c r="M1448" s="176"/>
      <c r="N1448" s="176"/>
      <c r="O1448" s="176"/>
      <c r="P1448" s="176"/>
      <c r="Q1448" s="176"/>
      <c r="R1448" s="176"/>
      <c r="S1448" s="162">
        <f t="shared" si="150"/>
        <v>0</v>
      </c>
      <c r="T1448" s="167"/>
    </row>
    <row r="1449" customHeight="1" spans="2:20">
      <c r="B1449" s="92"/>
      <c r="C1449" s="170">
        <f>B1412</f>
        <v>0</v>
      </c>
      <c r="D1449" s="171"/>
      <c r="E1449" s="172" t="str">
        <f>"TOTAL "&amp;B1412</f>
        <v>TOTAL </v>
      </c>
      <c r="F1449" s="173">
        <f t="shared" si="151"/>
        <v>0</v>
      </c>
      <c r="G1449" s="174">
        <f>SUM(G1412:G1448)</f>
        <v>0</v>
      </c>
      <c r="H1449" s="174">
        <f t="shared" ref="H1449:R1449" si="152">SUM(H1412:H1448)</f>
        <v>0</v>
      </c>
      <c r="I1449" s="174">
        <f t="shared" si="152"/>
        <v>0</v>
      </c>
      <c r="J1449" s="174">
        <f t="shared" si="152"/>
        <v>0</v>
      </c>
      <c r="K1449" s="174">
        <f t="shared" si="152"/>
        <v>0</v>
      </c>
      <c r="L1449" s="174">
        <f t="shared" si="152"/>
        <v>0</v>
      </c>
      <c r="M1449" s="174">
        <f t="shared" si="152"/>
        <v>0</v>
      </c>
      <c r="N1449" s="174">
        <f t="shared" si="152"/>
        <v>0</v>
      </c>
      <c r="O1449" s="174">
        <f t="shared" si="152"/>
        <v>0</v>
      </c>
      <c r="P1449" s="174">
        <f t="shared" si="152"/>
        <v>0</v>
      </c>
      <c r="Q1449" s="174">
        <f t="shared" si="152"/>
        <v>0</v>
      </c>
      <c r="R1449" s="174">
        <f t="shared" si="152"/>
        <v>0</v>
      </c>
      <c r="S1449" s="174">
        <f t="shared" si="150"/>
        <v>0</v>
      </c>
      <c r="T1449" s="175"/>
    </row>
    <row r="1450" customHeight="1" spans="2:20">
      <c r="B1450" s="156"/>
      <c r="C1450" s="157">
        <v>1</v>
      </c>
      <c r="D1450" s="158" t="str">
        <f>VLOOKUP(C1450,DMSP!$A$1:$C$39,2,0)</f>
        <v>1.TOBA XANH</v>
      </c>
      <c r="E1450" s="159" t="str">
        <f>VLOOKUP(C1450,DMSP!$A$1:$C$39,3,0)</f>
        <v>TOBA XANH</v>
      </c>
      <c r="F1450" s="160">
        <f t="shared" si="151"/>
        <v>0</v>
      </c>
      <c r="G1450" s="176"/>
      <c r="H1450" s="176"/>
      <c r="I1450" s="176"/>
      <c r="J1450" s="176"/>
      <c r="K1450" s="176"/>
      <c r="L1450" s="176"/>
      <c r="M1450" s="176"/>
      <c r="N1450" s="176"/>
      <c r="O1450" s="176"/>
      <c r="P1450" s="176"/>
      <c r="Q1450" s="176"/>
      <c r="R1450" s="176"/>
      <c r="S1450" s="162">
        <f t="shared" si="150"/>
        <v>0</v>
      </c>
      <c r="T1450" s="163">
        <f>S1487</f>
        <v>0</v>
      </c>
    </row>
    <row r="1451" customHeight="1" spans="2:20">
      <c r="B1451" s="166"/>
      <c r="C1451" s="164">
        <f t="shared" ref="C1451:C1486" si="153">C1450+1</f>
        <v>2</v>
      </c>
      <c r="D1451" s="158" t="str">
        <f>VLOOKUP(C1451,DMSP!$A$1:$C$39,2,0)</f>
        <v>2.HC</v>
      </c>
      <c r="E1451" s="159" t="str">
        <f>VLOOKUP(C1451,DMSP!$A$1:$C$39,3,0)</f>
        <v>HC BOOSTER</v>
      </c>
      <c r="F1451" s="160">
        <f t="shared" si="151"/>
        <v>0</v>
      </c>
      <c r="G1451" s="176"/>
      <c r="H1451" s="176"/>
      <c r="I1451" s="176"/>
      <c r="J1451" s="176"/>
      <c r="K1451" s="176"/>
      <c r="L1451" s="176"/>
      <c r="M1451" s="176"/>
      <c r="N1451" s="176"/>
      <c r="O1451" s="176"/>
      <c r="P1451" s="176"/>
      <c r="Q1451" s="176"/>
      <c r="R1451" s="176"/>
      <c r="S1451" s="162">
        <f t="shared" ref="S1451:S1488" si="154">SUM(G1451:R1451)</f>
        <v>0</v>
      </c>
      <c r="T1451" s="167"/>
    </row>
    <row r="1452" customHeight="1" spans="2:20">
      <c r="B1452" s="166"/>
      <c r="C1452" s="164">
        <f t="shared" si="153"/>
        <v>3</v>
      </c>
      <c r="D1452" s="158" t="str">
        <f>VLOOKUP(C1452,DMSP!$A$1:$C$39,2,0)</f>
        <v>2.HC</v>
      </c>
      <c r="E1452" s="159" t="str">
        <f>VLOOKUP(C1452,DMSP!$A$1:$C$39,3,0)</f>
        <v>HC KING-ROOT</v>
      </c>
      <c r="F1452" s="160">
        <f t="shared" si="151"/>
        <v>0</v>
      </c>
      <c r="G1452" s="176"/>
      <c r="H1452" s="176"/>
      <c r="I1452" s="176"/>
      <c r="J1452" s="176"/>
      <c r="K1452" s="176"/>
      <c r="L1452" s="176"/>
      <c r="M1452" s="176"/>
      <c r="N1452" s="176"/>
      <c r="O1452" s="176"/>
      <c r="P1452" s="176"/>
      <c r="Q1452" s="176"/>
      <c r="R1452" s="176"/>
      <c r="S1452" s="162">
        <f t="shared" si="154"/>
        <v>0</v>
      </c>
      <c r="T1452" s="167"/>
    </row>
    <row r="1453" customHeight="1" spans="2:20">
      <c r="B1453" s="166"/>
      <c r="C1453" s="164">
        <f t="shared" si="153"/>
        <v>4</v>
      </c>
      <c r="D1453" s="158" t="str">
        <f>VLOOKUP(C1453,DMSP!$A$1:$C$39,2,0)</f>
        <v>2.HC</v>
      </c>
      <c r="E1453" s="159" t="str">
        <f>VLOOKUP(C1453,DMSP!$A$1:$C$39,3,0)</f>
        <v>HAPPY FARM</v>
      </c>
      <c r="F1453" s="160">
        <f t="shared" si="151"/>
        <v>0</v>
      </c>
      <c r="G1453" s="176"/>
      <c r="H1453" s="176"/>
      <c r="I1453" s="176"/>
      <c r="J1453" s="176"/>
      <c r="K1453" s="176"/>
      <c r="L1453" s="176"/>
      <c r="M1453" s="176"/>
      <c r="N1453" s="176"/>
      <c r="O1453" s="176"/>
      <c r="P1453" s="176"/>
      <c r="Q1453" s="176"/>
      <c r="R1453" s="176"/>
      <c r="S1453" s="162">
        <f t="shared" si="154"/>
        <v>0</v>
      </c>
      <c r="T1453" s="167"/>
    </row>
    <row r="1454" customHeight="1" spans="2:20">
      <c r="B1454" s="166"/>
      <c r="C1454" s="164">
        <f t="shared" si="153"/>
        <v>5</v>
      </c>
      <c r="D1454" s="158" t="str">
        <f>VLOOKUP(C1454,DMSP!$A$1:$C$39,2,0)</f>
        <v>2.HC</v>
      </c>
      <c r="E1454" s="159" t="str">
        <f>VLOOKUP(C1454,DMSP!$A$1:$C$39,3,0)</f>
        <v>WOW</v>
      </c>
      <c r="F1454" s="160">
        <f t="shared" si="151"/>
        <v>0</v>
      </c>
      <c r="G1454" s="176"/>
      <c r="H1454" s="176"/>
      <c r="I1454" s="176"/>
      <c r="J1454" s="176"/>
      <c r="K1454" s="176"/>
      <c r="L1454" s="176"/>
      <c r="M1454" s="176"/>
      <c r="N1454" s="176"/>
      <c r="O1454" s="176"/>
      <c r="P1454" s="176"/>
      <c r="Q1454" s="176"/>
      <c r="R1454" s="176"/>
      <c r="S1454" s="162">
        <f t="shared" si="154"/>
        <v>0</v>
      </c>
      <c r="T1454" s="167"/>
    </row>
    <row r="1455" customHeight="1" spans="2:20">
      <c r="B1455" s="166"/>
      <c r="C1455" s="164">
        <f t="shared" si="153"/>
        <v>6</v>
      </c>
      <c r="D1455" s="158" t="str">
        <f>VLOOKUP(C1455,DMSP!$A$1:$C$39,2,0)</f>
        <v>3.SPRAY </v>
      </c>
      <c r="E1455" s="159" t="str">
        <f>VLOOKUP(C1455,DMSP!$A$1:$C$39,3,0)</f>
        <v>KELPIT</v>
      </c>
      <c r="F1455" s="160">
        <f t="shared" si="151"/>
        <v>0</v>
      </c>
      <c r="G1455" s="176"/>
      <c r="H1455" s="176"/>
      <c r="I1455" s="176"/>
      <c r="J1455" s="176"/>
      <c r="K1455" s="176"/>
      <c r="L1455" s="176"/>
      <c r="M1455" s="176"/>
      <c r="N1455" s="176"/>
      <c r="O1455" s="176"/>
      <c r="P1455" s="176"/>
      <c r="Q1455" s="176"/>
      <c r="R1455" s="176"/>
      <c r="S1455" s="162">
        <f t="shared" si="154"/>
        <v>0</v>
      </c>
      <c r="T1455" s="167"/>
    </row>
    <row r="1456" customHeight="1" spans="2:20">
      <c r="B1456" s="166"/>
      <c r="C1456" s="164">
        <f t="shared" si="153"/>
        <v>7</v>
      </c>
      <c r="D1456" s="158" t="str">
        <f>VLOOKUP(C1456,DMSP!$A$1:$C$39,2,0)</f>
        <v>3.SPRAY </v>
      </c>
      <c r="E1456" s="159" t="str">
        <f>VLOOKUP(C1456,DMSP!$A$1:$C$39,3,0)</f>
        <v>SI-K</v>
      </c>
      <c r="F1456" s="160">
        <f t="shared" si="151"/>
        <v>0</v>
      </c>
      <c r="G1456" s="176"/>
      <c r="H1456" s="176"/>
      <c r="I1456" s="176"/>
      <c r="J1456" s="176"/>
      <c r="K1456" s="176"/>
      <c r="L1456" s="176"/>
      <c r="M1456" s="176"/>
      <c r="N1456" s="176"/>
      <c r="O1456" s="176"/>
      <c r="P1456" s="176"/>
      <c r="Q1456" s="176"/>
      <c r="R1456" s="176"/>
      <c r="S1456" s="162">
        <f t="shared" si="154"/>
        <v>0</v>
      </c>
      <c r="T1456" s="167"/>
    </row>
    <row r="1457" customHeight="1" spans="2:20">
      <c r="B1457" s="166"/>
      <c r="C1457" s="164">
        <f t="shared" si="153"/>
        <v>8</v>
      </c>
      <c r="D1457" s="158" t="str">
        <f>VLOOKUP(C1457,DMSP!$A$1:$C$39,2,0)</f>
        <v>3.SPRAY </v>
      </c>
      <c r="E1457" s="159" t="str">
        <f>VLOOKUP(C1457,DMSP!$A$1:$C$39,3,0)</f>
        <v>SPRAY PHOS 620</v>
      </c>
      <c r="F1457" s="160">
        <f t="shared" si="151"/>
        <v>0</v>
      </c>
      <c r="G1457" s="176"/>
      <c r="H1457" s="176"/>
      <c r="I1457" s="176"/>
      <c r="J1457" s="176"/>
      <c r="K1457" s="176"/>
      <c r="L1457" s="176"/>
      <c r="M1457" s="176"/>
      <c r="N1457" s="176"/>
      <c r="O1457" s="176"/>
      <c r="P1457" s="176"/>
      <c r="Q1457" s="176"/>
      <c r="R1457" s="176"/>
      <c r="S1457" s="162">
        <f t="shared" si="154"/>
        <v>0</v>
      </c>
      <c r="T1457" s="167"/>
    </row>
    <row r="1458" customHeight="1" spans="2:20">
      <c r="B1458" s="166"/>
      <c r="C1458" s="164">
        <f t="shared" si="153"/>
        <v>9</v>
      </c>
      <c r="D1458" s="158" t="str">
        <f>VLOOKUP(C1458,DMSP!$A$1:$C$39,2,0)</f>
        <v>4.DƯỠNG RỄ</v>
      </c>
      <c r="E1458" s="159" t="str">
        <f>VLOOKUP(C1458,DMSP!$A$1:$C$39,3,0)</f>
        <v>CHITOSAN</v>
      </c>
      <c r="F1458" s="160">
        <f t="shared" si="151"/>
        <v>0</v>
      </c>
      <c r="G1458" s="176"/>
      <c r="H1458" s="176"/>
      <c r="I1458" s="176"/>
      <c r="J1458" s="176"/>
      <c r="K1458" s="176"/>
      <c r="L1458" s="176"/>
      <c r="M1458" s="176"/>
      <c r="N1458" s="176"/>
      <c r="O1458" s="176"/>
      <c r="P1458" s="176"/>
      <c r="Q1458" s="176"/>
      <c r="R1458" s="176"/>
      <c r="S1458" s="162">
        <f t="shared" si="154"/>
        <v>0</v>
      </c>
      <c r="T1458" s="167"/>
    </row>
    <row r="1459" customHeight="1" spans="2:20">
      <c r="B1459" s="166"/>
      <c r="C1459" s="164">
        <f t="shared" si="153"/>
        <v>10</v>
      </c>
      <c r="D1459" s="158" t="str">
        <f>VLOOKUP(C1459,DMSP!$A$1:$C$39,2,0)</f>
        <v>4.DƯỠNG RỄ</v>
      </c>
      <c r="E1459" s="159" t="str">
        <f>VLOOKUP(C1459,DMSP!$A$1:$C$39,3,0)</f>
        <v>ĐẠM CÁ</v>
      </c>
      <c r="F1459" s="160">
        <f t="shared" si="151"/>
        <v>0</v>
      </c>
      <c r="G1459" s="176"/>
      <c r="H1459" s="176"/>
      <c r="I1459" s="176"/>
      <c r="J1459" s="176"/>
      <c r="K1459" s="176"/>
      <c r="L1459" s="176"/>
      <c r="M1459" s="176"/>
      <c r="N1459" s="176"/>
      <c r="O1459" s="176"/>
      <c r="P1459" s="176"/>
      <c r="Q1459" s="176"/>
      <c r="R1459" s="176"/>
      <c r="S1459" s="162">
        <f t="shared" si="154"/>
        <v>0</v>
      </c>
      <c r="T1459" s="167"/>
    </row>
    <row r="1460" customHeight="1" spans="2:20">
      <c r="B1460" s="166"/>
      <c r="C1460" s="164">
        <f t="shared" si="153"/>
        <v>11</v>
      </c>
      <c r="D1460" s="158" t="str">
        <f>VLOOKUP(C1460,DMSP!$A$1:$C$39,2,0)</f>
        <v>4.DƯỠNG RỄ</v>
      </c>
      <c r="E1460" s="159" t="str">
        <f>VLOOKUP(C1460,DMSP!$A$1:$C$39,3,0)</f>
        <v>ĐẠM TÔM</v>
      </c>
      <c r="F1460" s="160">
        <f t="shared" si="151"/>
        <v>0</v>
      </c>
      <c r="G1460" s="176"/>
      <c r="H1460" s="176"/>
      <c r="I1460" s="176"/>
      <c r="J1460" s="176"/>
      <c r="K1460" s="176"/>
      <c r="L1460" s="176"/>
      <c r="M1460" s="176"/>
      <c r="N1460" s="176"/>
      <c r="O1460" s="176"/>
      <c r="P1460" s="176"/>
      <c r="Q1460" s="176"/>
      <c r="R1460" s="176"/>
      <c r="S1460" s="162">
        <f t="shared" si="154"/>
        <v>0</v>
      </c>
      <c r="T1460" s="167"/>
    </row>
    <row r="1461" customHeight="1" spans="2:20">
      <c r="B1461" s="166"/>
      <c r="C1461" s="164">
        <f t="shared" si="153"/>
        <v>12</v>
      </c>
      <c r="D1461" s="158" t="str">
        <f>VLOOKUP(C1461,DMSP!$A$1:$C$39,2,0)</f>
        <v>4.DƯỠNG RỄ</v>
      </c>
      <c r="E1461" s="159" t="str">
        <f>VLOOKUP(C1461,DMSP!$A$1:$C$39,3,0)</f>
        <v>SUPERMIC</v>
      </c>
      <c r="F1461" s="160">
        <f t="shared" si="151"/>
        <v>0</v>
      </c>
      <c r="G1461" s="176"/>
      <c r="H1461" s="176"/>
      <c r="I1461" s="176"/>
      <c r="J1461" s="176"/>
      <c r="K1461" s="176"/>
      <c r="L1461" s="176"/>
      <c r="M1461" s="176"/>
      <c r="N1461" s="176"/>
      <c r="O1461" s="176"/>
      <c r="P1461" s="176"/>
      <c r="Q1461" s="176"/>
      <c r="R1461" s="176"/>
      <c r="S1461" s="162">
        <f t="shared" si="154"/>
        <v>0</v>
      </c>
      <c r="T1461" s="167"/>
    </row>
    <row r="1462" customHeight="1" spans="2:20">
      <c r="B1462" s="166"/>
      <c r="C1462" s="164">
        <f t="shared" si="153"/>
        <v>13</v>
      </c>
      <c r="D1462" s="158" t="str">
        <f>VLOOKUP(C1462,DMSP!$A$1:$C$39,2,0)</f>
        <v>5.TRUYỀN THỐNG</v>
      </c>
      <c r="E1462" s="159" t="str">
        <f>VLOOKUP(C1462,DMSP!$A$1:$C$39,3,0)</f>
        <v>CABO</v>
      </c>
      <c r="F1462" s="160">
        <f t="shared" si="151"/>
        <v>0</v>
      </c>
      <c r="G1462" s="176"/>
      <c r="H1462" s="176"/>
      <c r="I1462" s="176"/>
      <c r="J1462" s="176"/>
      <c r="K1462" s="176"/>
      <c r="L1462" s="176"/>
      <c r="M1462" s="176"/>
      <c r="N1462" s="176"/>
      <c r="O1462" s="176"/>
      <c r="P1462" s="176"/>
      <c r="Q1462" s="176"/>
      <c r="R1462" s="176"/>
      <c r="S1462" s="162">
        <f t="shared" si="154"/>
        <v>0</v>
      </c>
      <c r="T1462" s="167"/>
    </row>
    <row r="1463" customHeight="1" spans="2:20">
      <c r="B1463" s="166"/>
      <c r="C1463" s="164">
        <f t="shared" si="153"/>
        <v>14</v>
      </c>
      <c r="D1463" s="158" t="str">
        <f>VLOOKUP(C1463,DMSP!$A$1:$C$39,2,0)</f>
        <v>5.TRUYỀN THỐNG</v>
      </c>
      <c r="E1463" s="159" t="str">
        <f>VLOOKUP(C1463,DMSP!$A$1:$C$39,3,0)</f>
        <v>F94</v>
      </c>
      <c r="F1463" s="160">
        <f t="shared" si="151"/>
        <v>0</v>
      </c>
      <c r="G1463" s="176"/>
      <c r="H1463" s="176"/>
      <c r="I1463" s="176"/>
      <c r="J1463" s="176"/>
      <c r="K1463" s="176"/>
      <c r="L1463" s="176"/>
      <c r="M1463" s="176"/>
      <c r="N1463" s="176"/>
      <c r="O1463" s="176"/>
      <c r="P1463" s="176"/>
      <c r="Q1463" s="176"/>
      <c r="R1463" s="176"/>
      <c r="S1463" s="162">
        <f t="shared" si="154"/>
        <v>0</v>
      </c>
      <c r="T1463" s="167"/>
    </row>
    <row r="1464" customHeight="1" spans="2:20">
      <c r="B1464" s="166"/>
      <c r="C1464" s="164">
        <f t="shared" si="153"/>
        <v>15</v>
      </c>
      <c r="D1464" s="158" t="str">
        <f>VLOOKUP(C1464,DMSP!$A$1:$C$39,2,0)</f>
        <v>5.TRUYỀN THỐNG</v>
      </c>
      <c r="E1464" s="159" t="str">
        <f>VLOOKUP(C1464,DMSP!$A$1:$C$39,3,0)</f>
        <v>F95</v>
      </c>
      <c r="F1464" s="160">
        <f t="shared" si="151"/>
        <v>0</v>
      </c>
      <c r="G1464" s="176"/>
      <c r="H1464" s="176"/>
      <c r="I1464" s="176"/>
      <c r="J1464" s="176"/>
      <c r="K1464" s="176"/>
      <c r="L1464" s="176"/>
      <c r="M1464" s="176"/>
      <c r="N1464" s="176"/>
      <c r="O1464" s="176"/>
      <c r="P1464" s="176"/>
      <c r="Q1464" s="176"/>
      <c r="R1464" s="176"/>
      <c r="S1464" s="162">
        <f t="shared" si="154"/>
        <v>0</v>
      </c>
      <c r="T1464" s="167"/>
    </row>
    <row r="1465" customHeight="1" spans="2:20">
      <c r="B1465" s="166"/>
      <c r="C1465" s="164">
        <f t="shared" si="153"/>
        <v>16</v>
      </c>
      <c r="D1465" s="158" t="str">
        <f>VLOOKUP(C1465,DMSP!$A$1:$C$39,2,0)</f>
        <v>5.TRUYỀN THỐNG</v>
      </c>
      <c r="E1465" s="159" t="str">
        <f>VLOOKUP(C1465,DMSP!$A$1:$C$39,3,0)</f>
        <v>THIOURE</v>
      </c>
      <c r="F1465" s="160">
        <f t="shared" si="151"/>
        <v>0</v>
      </c>
      <c r="G1465" s="176"/>
      <c r="H1465" s="176"/>
      <c r="I1465" s="176"/>
      <c r="J1465" s="176"/>
      <c r="K1465" s="176"/>
      <c r="L1465" s="176"/>
      <c r="M1465" s="176"/>
      <c r="N1465" s="176"/>
      <c r="O1465" s="176"/>
      <c r="P1465" s="176"/>
      <c r="Q1465" s="176"/>
      <c r="R1465" s="176"/>
      <c r="S1465" s="162">
        <f t="shared" si="154"/>
        <v>0</v>
      </c>
      <c r="T1465" s="167"/>
    </row>
    <row r="1466" customHeight="1" spans="2:20">
      <c r="B1466" s="166"/>
      <c r="C1466" s="164">
        <f t="shared" si="153"/>
        <v>17</v>
      </c>
      <c r="D1466" s="158" t="str">
        <f>VLOOKUP(C1466,DMSP!$A$1:$C$39,2,0)</f>
        <v>5.TRUYỀN THỐNG</v>
      </c>
      <c r="E1466" s="159" t="str">
        <f>VLOOKUP(C1466,DMSP!$A$1:$C$39,3,0)</f>
        <v>TOBA JUM</v>
      </c>
      <c r="F1466" s="160">
        <f t="shared" si="151"/>
        <v>0</v>
      </c>
      <c r="G1466" s="176"/>
      <c r="H1466" s="176"/>
      <c r="I1466" s="176"/>
      <c r="J1466" s="176"/>
      <c r="K1466" s="176"/>
      <c r="L1466" s="176"/>
      <c r="M1466" s="176"/>
      <c r="N1466" s="176"/>
      <c r="O1466" s="176"/>
      <c r="P1466" s="176"/>
      <c r="Q1466" s="176"/>
      <c r="R1466" s="176"/>
      <c r="S1466" s="162">
        <f t="shared" si="154"/>
        <v>0</v>
      </c>
      <c r="T1466" s="167"/>
    </row>
    <row r="1467" customHeight="1" spans="2:20">
      <c r="B1467" s="166"/>
      <c r="C1467" s="164">
        <f t="shared" si="153"/>
        <v>18</v>
      </c>
      <c r="D1467" s="158" t="str">
        <f>VLOOKUP(C1467,DMSP!$A$1:$C$39,2,0)</f>
        <v>5.TRUYỀN THỐNG</v>
      </c>
      <c r="E1467" s="159" t="str">
        <f>VLOOKUP(C1467,DMSP!$A$1:$C$39,3,0)</f>
        <v>TOBA NET</v>
      </c>
      <c r="F1467" s="160">
        <f t="shared" si="151"/>
        <v>0</v>
      </c>
      <c r="G1467" s="176"/>
      <c r="H1467" s="176"/>
      <c r="I1467" s="176"/>
      <c r="J1467" s="176"/>
      <c r="K1467" s="176"/>
      <c r="L1467" s="176"/>
      <c r="M1467" s="176"/>
      <c r="N1467" s="176"/>
      <c r="O1467" s="176"/>
      <c r="P1467" s="176"/>
      <c r="Q1467" s="176"/>
      <c r="R1467" s="176"/>
      <c r="S1467" s="162">
        <f t="shared" si="154"/>
        <v>0</v>
      </c>
      <c r="T1467" s="167"/>
    </row>
    <row r="1468" customHeight="1" spans="2:20">
      <c r="B1468" s="166"/>
      <c r="C1468" s="164">
        <f t="shared" si="153"/>
        <v>19</v>
      </c>
      <c r="D1468" s="158" t="str">
        <f>VLOOKUP(C1468,DMSP!$A$1:$C$39,2,0)</f>
        <v>6.BVTV</v>
      </c>
      <c r="E1468" s="159" t="str">
        <f>VLOOKUP(C1468,DMSP!$A$1:$C$39,3,0)</f>
        <v>ABAFAX 1.8</v>
      </c>
      <c r="F1468" s="160">
        <f t="shared" si="151"/>
        <v>0</v>
      </c>
      <c r="G1468" s="176"/>
      <c r="H1468" s="176"/>
      <c r="I1468" s="176"/>
      <c r="J1468" s="176"/>
      <c r="K1468" s="176"/>
      <c r="L1468" s="176"/>
      <c r="M1468" s="176"/>
      <c r="N1468" s="176"/>
      <c r="O1468" s="176"/>
      <c r="P1468" s="176"/>
      <c r="Q1468" s="176"/>
      <c r="R1468" s="176"/>
      <c r="S1468" s="162">
        <f t="shared" si="154"/>
        <v>0</v>
      </c>
      <c r="T1468" s="167"/>
    </row>
    <row r="1469" customHeight="1" spans="2:20">
      <c r="B1469" s="166"/>
      <c r="C1469" s="164">
        <f t="shared" si="153"/>
        <v>20</v>
      </c>
      <c r="D1469" s="158" t="str">
        <f>VLOOKUP(C1469,DMSP!$A$1:$C$39,2,0)</f>
        <v>6.BVTV</v>
      </c>
      <c r="E1469" s="159" t="str">
        <f>VLOOKUP(C1469,DMSP!$A$1:$C$39,3,0)</f>
        <v>ABAFAX 3.6</v>
      </c>
      <c r="F1469" s="160">
        <f t="shared" si="151"/>
        <v>0</v>
      </c>
      <c r="G1469" s="176"/>
      <c r="H1469" s="176"/>
      <c r="I1469" s="176"/>
      <c r="J1469" s="176"/>
      <c r="K1469" s="176"/>
      <c r="L1469" s="176"/>
      <c r="M1469" s="176"/>
      <c r="N1469" s="176"/>
      <c r="O1469" s="176"/>
      <c r="P1469" s="176"/>
      <c r="Q1469" s="176"/>
      <c r="R1469" s="176"/>
      <c r="S1469" s="162">
        <f t="shared" si="154"/>
        <v>0</v>
      </c>
      <c r="T1469" s="167"/>
    </row>
    <row r="1470" customHeight="1" spans="2:20">
      <c r="B1470" s="166"/>
      <c r="C1470" s="164">
        <f t="shared" si="153"/>
        <v>21</v>
      </c>
      <c r="D1470" s="158" t="str">
        <f>VLOOKUP(C1470,DMSP!$A$1:$C$39,2,0)</f>
        <v>6.BVTV</v>
      </c>
      <c r="E1470" s="159" t="str">
        <f>VLOOKUP(C1470,DMSP!$A$1:$C$39,3,0)</f>
        <v>AZET</v>
      </c>
      <c r="F1470" s="160">
        <f t="shared" si="151"/>
        <v>0</v>
      </c>
      <c r="G1470" s="176"/>
      <c r="H1470" s="176"/>
      <c r="I1470" s="176"/>
      <c r="J1470" s="176"/>
      <c r="K1470" s="176"/>
      <c r="L1470" s="176"/>
      <c r="M1470" s="176"/>
      <c r="N1470" s="176"/>
      <c r="O1470" s="176"/>
      <c r="P1470" s="176"/>
      <c r="Q1470" s="176"/>
      <c r="R1470" s="176"/>
      <c r="S1470" s="162">
        <f t="shared" si="154"/>
        <v>0</v>
      </c>
      <c r="T1470" s="167"/>
    </row>
    <row r="1471" customHeight="1" spans="2:20">
      <c r="B1471" s="166"/>
      <c r="C1471" s="164">
        <f t="shared" si="153"/>
        <v>22</v>
      </c>
      <c r="D1471" s="158" t="str">
        <f>VLOOKUP(C1471,DMSP!$A$1:$C$39,2,0)</f>
        <v>6.BVTV</v>
      </c>
      <c r="E1471" s="159" t="str">
        <f>VLOOKUP(C1471,DMSP!$A$1:$C$39,3,0)</f>
        <v>BACBA</v>
      </c>
      <c r="F1471" s="160">
        <f t="shared" si="151"/>
        <v>0</v>
      </c>
      <c r="G1471" s="176"/>
      <c r="H1471" s="176"/>
      <c r="I1471" s="176"/>
      <c r="J1471" s="176"/>
      <c r="K1471" s="176"/>
      <c r="L1471" s="176"/>
      <c r="M1471" s="176"/>
      <c r="N1471" s="176"/>
      <c r="O1471" s="176"/>
      <c r="P1471" s="176"/>
      <c r="Q1471" s="176"/>
      <c r="R1471" s="176"/>
      <c r="S1471" s="162">
        <f t="shared" si="154"/>
        <v>0</v>
      </c>
      <c r="T1471" s="167"/>
    </row>
    <row r="1472" customHeight="1" spans="2:20">
      <c r="B1472" s="166"/>
      <c r="C1472" s="164">
        <f t="shared" si="153"/>
        <v>23</v>
      </c>
      <c r="D1472" s="158" t="str">
        <f>VLOOKUP(C1472,DMSP!$A$1:$C$39,2,0)</f>
        <v>6.BVTV</v>
      </c>
      <c r="E1472" s="159" t="str">
        <f>VLOOKUP(C1472,DMSP!$A$1:$C$39,3,0)</f>
        <v>BIOROSAMIL</v>
      </c>
      <c r="F1472" s="160">
        <f t="shared" si="151"/>
        <v>0</v>
      </c>
      <c r="G1472" s="176"/>
      <c r="H1472" s="176"/>
      <c r="I1472" s="176"/>
      <c r="J1472" s="176"/>
      <c r="K1472" s="176"/>
      <c r="L1472" s="176"/>
      <c r="M1472" s="176"/>
      <c r="N1472" s="176"/>
      <c r="O1472" s="176"/>
      <c r="P1472" s="176"/>
      <c r="Q1472" s="176"/>
      <c r="R1472" s="176"/>
      <c r="S1472" s="162">
        <f t="shared" si="154"/>
        <v>0</v>
      </c>
      <c r="T1472" s="167"/>
    </row>
    <row r="1473" customHeight="1" spans="2:20">
      <c r="B1473" s="166"/>
      <c r="C1473" s="164">
        <f t="shared" si="153"/>
        <v>24</v>
      </c>
      <c r="D1473" s="158" t="str">
        <f>VLOOKUP(C1473,DMSP!$A$1:$C$39,2,0)</f>
        <v>6.BVTV</v>
      </c>
      <c r="E1473" s="159" t="str">
        <f>VLOOKUP(C1473,DMSP!$A$1:$C$39,3,0)</f>
        <v>COC 86</v>
      </c>
      <c r="F1473" s="160">
        <f t="shared" si="151"/>
        <v>0</v>
      </c>
      <c r="G1473" s="176"/>
      <c r="H1473" s="176"/>
      <c r="I1473" s="176"/>
      <c r="J1473" s="176"/>
      <c r="K1473" s="176"/>
      <c r="L1473" s="176"/>
      <c r="M1473" s="176"/>
      <c r="N1473" s="176"/>
      <c r="O1473" s="176"/>
      <c r="P1473" s="176"/>
      <c r="Q1473" s="176"/>
      <c r="R1473" s="176"/>
      <c r="S1473" s="162">
        <f t="shared" si="154"/>
        <v>0</v>
      </c>
      <c r="T1473" s="167"/>
    </row>
    <row r="1474" customHeight="1" spans="2:20">
      <c r="B1474" s="166"/>
      <c r="C1474" s="164">
        <f t="shared" si="153"/>
        <v>25</v>
      </c>
      <c r="D1474" s="158" t="str">
        <f>VLOOKUP(C1474,DMSP!$A$1:$C$39,2,0)</f>
        <v>6.BVTV</v>
      </c>
      <c r="E1474" s="159" t="str">
        <f>VLOOKUP(C1474,DMSP!$A$1:$C$39,3,0)</f>
        <v>HEXA 5</v>
      </c>
      <c r="F1474" s="160">
        <f t="shared" si="151"/>
        <v>0</v>
      </c>
      <c r="G1474" s="176"/>
      <c r="H1474" s="176"/>
      <c r="I1474" s="176"/>
      <c r="J1474" s="176"/>
      <c r="K1474" s="176"/>
      <c r="L1474" s="176"/>
      <c r="M1474" s="176"/>
      <c r="N1474" s="176"/>
      <c r="O1474" s="176"/>
      <c r="P1474" s="176"/>
      <c r="Q1474" s="176"/>
      <c r="R1474" s="176"/>
      <c r="S1474" s="162">
        <f t="shared" si="154"/>
        <v>0</v>
      </c>
      <c r="T1474" s="167"/>
    </row>
    <row r="1475" customHeight="1" spans="2:20">
      <c r="B1475" s="166"/>
      <c r="C1475" s="164">
        <f t="shared" si="153"/>
        <v>26</v>
      </c>
      <c r="D1475" s="158" t="str">
        <f>VLOOKUP(C1475,DMSP!$A$1:$C$39,2,0)</f>
        <v>6.BVTV</v>
      </c>
      <c r="E1475" s="159" t="str">
        <f>VLOOKUP(C1475,DMSP!$A$1:$C$39,3,0)</f>
        <v>TAMALA</v>
      </c>
      <c r="F1475" s="160">
        <f t="shared" si="151"/>
        <v>0</v>
      </c>
      <c r="G1475" s="176"/>
      <c r="H1475" s="176"/>
      <c r="I1475" s="176"/>
      <c r="J1475" s="176"/>
      <c r="K1475" s="176"/>
      <c r="L1475" s="176"/>
      <c r="M1475" s="176"/>
      <c r="N1475" s="176"/>
      <c r="O1475" s="176"/>
      <c r="P1475" s="176"/>
      <c r="Q1475" s="176"/>
      <c r="R1475" s="176"/>
      <c r="S1475" s="162">
        <f t="shared" si="154"/>
        <v>0</v>
      </c>
      <c r="T1475" s="167"/>
    </row>
    <row r="1476" customHeight="1" spans="2:20">
      <c r="B1476" s="166"/>
      <c r="C1476" s="164">
        <f t="shared" si="153"/>
        <v>27</v>
      </c>
      <c r="D1476" s="158" t="str">
        <f>VLOOKUP(C1476,DMSP!$A$1:$C$39,2,0)</f>
        <v>7.KHÁC</v>
      </c>
      <c r="E1476" s="159" t="str">
        <f>VLOOKUP(C1476,DMSP!$A$1:$C$39,3,0)</f>
        <v>KẼM VÀNG</v>
      </c>
      <c r="F1476" s="160">
        <f t="shared" si="151"/>
        <v>0</v>
      </c>
      <c r="G1476" s="176"/>
      <c r="H1476" s="176"/>
      <c r="I1476" s="176"/>
      <c r="J1476" s="176"/>
      <c r="K1476" s="176"/>
      <c r="L1476" s="176"/>
      <c r="M1476" s="176"/>
      <c r="N1476" s="176"/>
      <c r="O1476" s="176"/>
      <c r="P1476" s="176"/>
      <c r="Q1476" s="176"/>
      <c r="R1476" s="176"/>
      <c r="S1476" s="162">
        <f t="shared" si="154"/>
        <v>0</v>
      </c>
      <c r="T1476" s="167"/>
    </row>
    <row r="1477" customHeight="1" spans="2:20">
      <c r="B1477" s="166"/>
      <c r="C1477" s="164">
        <f t="shared" si="153"/>
        <v>28</v>
      </c>
      <c r="D1477" s="158" t="str">
        <f>VLOOKUP(C1477,DMSP!$A$1:$C$39,2,0)</f>
        <v>7.KHÁC</v>
      </c>
      <c r="E1477" s="159" t="str">
        <f>VLOOKUP(C1477,DMSP!$A$1:$C$39,3,0)</f>
        <v>KHÁC1</v>
      </c>
      <c r="F1477" s="160">
        <f t="shared" si="151"/>
        <v>0</v>
      </c>
      <c r="G1477" s="176"/>
      <c r="H1477" s="176"/>
      <c r="I1477" s="176"/>
      <c r="J1477" s="176"/>
      <c r="K1477" s="176"/>
      <c r="L1477" s="176"/>
      <c r="M1477" s="176"/>
      <c r="N1477" s="176"/>
      <c r="O1477" s="176"/>
      <c r="P1477" s="176"/>
      <c r="Q1477" s="176"/>
      <c r="R1477" s="176"/>
      <c r="S1477" s="162">
        <f t="shared" si="154"/>
        <v>0</v>
      </c>
      <c r="T1477" s="167"/>
    </row>
    <row r="1478" customHeight="1" spans="2:20">
      <c r="B1478" s="166"/>
      <c r="C1478" s="164">
        <f t="shared" si="153"/>
        <v>29</v>
      </c>
      <c r="D1478" s="158" t="str">
        <f>VLOOKUP(C1478,DMSP!$A$1:$C$39,2,0)</f>
        <v>7.KHÁC</v>
      </c>
      <c r="E1478" s="169" t="s">
        <v>13</v>
      </c>
      <c r="F1478" s="160">
        <f t="shared" si="151"/>
        <v>0</v>
      </c>
      <c r="G1478" s="176"/>
      <c r="H1478" s="176"/>
      <c r="I1478" s="176"/>
      <c r="J1478" s="176"/>
      <c r="K1478" s="176"/>
      <c r="L1478" s="176"/>
      <c r="M1478" s="176"/>
      <c r="N1478" s="176"/>
      <c r="O1478" s="176"/>
      <c r="P1478" s="176"/>
      <c r="Q1478" s="176"/>
      <c r="R1478" s="176"/>
      <c r="S1478" s="162">
        <f t="shared" si="154"/>
        <v>0</v>
      </c>
      <c r="T1478" s="167"/>
    </row>
    <row r="1479" customHeight="1" spans="2:20">
      <c r="B1479" s="166"/>
      <c r="C1479" s="164">
        <f t="shared" si="153"/>
        <v>30</v>
      </c>
      <c r="D1479" s="158" t="str">
        <f>VLOOKUP(C1479,DMSP!$A$1:$C$39,2,0)</f>
        <v>7.KHÁC</v>
      </c>
      <c r="E1479" s="159" t="str">
        <f>VLOOKUP(C1479,DMSP!$A$1:$C$39,3,0)</f>
        <v>RỬA RONG RÊU</v>
      </c>
      <c r="F1479" s="160">
        <f t="shared" ref="F1479:F1542" si="155">S1479</f>
        <v>0</v>
      </c>
      <c r="G1479" s="176"/>
      <c r="H1479" s="176"/>
      <c r="I1479" s="176"/>
      <c r="J1479" s="176"/>
      <c r="K1479" s="176"/>
      <c r="L1479" s="176"/>
      <c r="M1479" s="176"/>
      <c r="N1479" s="176"/>
      <c r="O1479" s="176"/>
      <c r="P1479" s="176"/>
      <c r="Q1479" s="176"/>
      <c r="R1479" s="176"/>
      <c r="S1479" s="162">
        <f t="shared" si="154"/>
        <v>0</v>
      </c>
      <c r="T1479" s="167"/>
    </row>
    <row r="1480" customHeight="1" spans="2:20">
      <c r="B1480" s="166"/>
      <c r="C1480" s="164">
        <f t="shared" si="153"/>
        <v>31</v>
      </c>
      <c r="D1480" s="158" t="str">
        <f>VLOOKUP(C1480,DMSP!$A$1:$C$39,2,0)</f>
        <v>7.KHÁC</v>
      </c>
      <c r="E1480" s="159" t="str">
        <f>VLOOKUP(C1480,DMSP!$A$1:$C$39,3,0)</f>
        <v>TB BO</v>
      </c>
      <c r="F1480" s="160">
        <f t="shared" si="155"/>
        <v>0</v>
      </c>
      <c r="G1480" s="176"/>
      <c r="H1480" s="176"/>
      <c r="I1480" s="176"/>
      <c r="J1480" s="176"/>
      <c r="K1480" s="176"/>
      <c r="L1480" s="176"/>
      <c r="M1480" s="176"/>
      <c r="N1480" s="176"/>
      <c r="O1480" s="176"/>
      <c r="P1480" s="176"/>
      <c r="Q1480" s="176"/>
      <c r="R1480" s="176"/>
      <c r="S1480" s="162">
        <f t="shared" si="154"/>
        <v>0</v>
      </c>
      <c r="T1480" s="167"/>
    </row>
    <row r="1481" customHeight="1" spans="2:20">
      <c r="B1481" s="166"/>
      <c r="C1481" s="164">
        <f t="shared" si="153"/>
        <v>32</v>
      </c>
      <c r="D1481" s="158" t="str">
        <f>VLOOKUP(C1481,DMSP!$A$1:$C$39,2,0)</f>
        <v>7.KHÁC</v>
      </c>
      <c r="E1481" s="159" t="str">
        <f>VLOOKUP(C1481,DMSP!$A$1:$C$39,3,0)</f>
        <v>TB FRUIT</v>
      </c>
      <c r="F1481" s="160">
        <f t="shared" si="155"/>
        <v>0</v>
      </c>
      <c r="G1481" s="176"/>
      <c r="H1481" s="176"/>
      <c r="I1481" s="176"/>
      <c r="J1481" s="176"/>
      <c r="K1481" s="176"/>
      <c r="L1481" s="176"/>
      <c r="M1481" s="176"/>
      <c r="N1481" s="176"/>
      <c r="O1481" s="176"/>
      <c r="P1481" s="176"/>
      <c r="Q1481" s="176"/>
      <c r="R1481" s="176"/>
      <c r="S1481" s="162">
        <f t="shared" si="154"/>
        <v>0</v>
      </c>
      <c r="T1481" s="167"/>
    </row>
    <row r="1482" customHeight="1" spans="2:20">
      <c r="B1482" s="166"/>
      <c r="C1482" s="164">
        <f t="shared" si="153"/>
        <v>33</v>
      </c>
      <c r="D1482" s="158" t="str">
        <f>VLOOKUP(C1482,DMSP!$A$1:$C$39,2,0)</f>
        <v>7.KHÁC</v>
      </c>
      <c r="E1482" s="159" t="str">
        <f>VLOOKUP(C1482,DMSP!$A$1:$C$39,3,0)</f>
        <v>TB PHOS</v>
      </c>
      <c r="F1482" s="160">
        <f t="shared" si="155"/>
        <v>0</v>
      </c>
      <c r="G1482" s="176"/>
      <c r="H1482" s="176"/>
      <c r="I1482" s="176"/>
      <c r="J1482" s="176"/>
      <c r="K1482" s="176"/>
      <c r="L1482" s="176"/>
      <c r="M1482" s="176"/>
      <c r="N1482" s="176"/>
      <c r="O1482" s="176"/>
      <c r="P1482" s="176"/>
      <c r="Q1482" s="176"/>
      <c r="R1482" s="176"/>
      <c r="S1482" s="162">
        <f t="shared" si="154"/>
        <v>0</v>
      </c>
      <c r="T1482" s="167"/>
    </row>
    <row r="1483" customHeight="1" spans="2:20">
      <c r="B1483" s="166"/>
      <c r="C1483" s="164">
        <f t="shared" si="153"/>
        <v>34</v>
      </c>
      <c r="D1483" s="158" t="str">
        <f>VLOOKUP(C1483,DMSP!$A$1:$C$39,2,0)</f>
        <v>7.KHÁC</v>
      </c>
      <c r="E1483" s="159" t="str">
        <f>VLOOKUP(C1483,DMSP!$A$1:$C$39,3,0)</f>
        <v>TOBA BÁM DÍNH</v>
      </c>
      <c r="F1483" s="160">
        <f t="shared" si="155"/>
        <v>0</v>
      </c>
      <c r="G1483" s="176"/>
      <c r="H1483" s="176"/>
      <c r="I1483" s="176"/>
      <c r="J1483" s="176"/>
      <c r="K1483" s="176"/>
      <c r="L1483" s="176"/>
      <c r="M1483" s="176"/>
      <c r="N1483" s="176"/>
      <c r="O1483" s="176"/>
      <c r="P1483" s="176"/>
      <c r="Q1483" s="176"/>
      <c r="R1483" s="176"/>
      <c r="S1483" s="162">
        <f t="shared" si="154"/>
        <v>0</v>
      </c>
      <c r="T1483" s="167"/>
    </row>
    <row r="1484" customHeight="1" spans="2:20">
      <c r="B1484" s="166"/>
      <c r="C1484" s="164">
        <f t="shared" si="153"/>
        <v>35</v>
      </c>
      <c r="D1484" s="158" t="str">
        <f>VLOOKUP(C1484,DMSP!$A$1:$C$39,2,0)</f>
        <v>7.KHÁC</v>
      </c>
      <c r="E1484" s="159" t="str">
        <f>VLOOKUP(C1484,DMSP!$A$1:$C$39,3,0)</f>
        <v>VỌT HOA NHÃN</v>
      </c>
      <c r="F1484" s="160">
        <f t="shared" si="155"/>
        <v>0</v>
      </c>
      <c r="G1484" s="176"/>
      <c r="H1484" s="176"/>
      <c r="I1484" s="176"/>
      <c r="J1484" s="176"/>
      <c r="K1484" s="176"/>
      <c r="L1484" s="176"/>
      <c r="M1484" s="176"/>
      <c r="N1484" s="176"/>
      <c r="O1484" s="176"/>
      <c r="P1484" s="176"/>
      <c r="Q1484" s="176"/>
      <c r="R1484" s="176"/>
      <c r="S1484" s="162">
        <f t="shared" si="154"/>
        <v>0</v>
      </c>
      <c r="T1484" s="167"/>
    </row>
    <row r="1485" customHeight="1" spans="2:20">
      <c r="B1485" s="166"/>
      <c r="C1485" s="164">
        <f t="shared" si="153"/>
        <v>36</v>
      </c>
      <c r="D1485" s="158" t="str">
        <f>VLOOKUP(C1485,DMSP!$A$1:$C$39,2,0)</f>
        <v>7.KHÁC</v>
      </c>
      <c r="E1485" s="159" t="str">
        <f>VLOOKUP(C1485,DMSP!$A$1:$C$39,3,0)</f>
        <v>VỌT HOA XOÀI</v>
      </c>
      <c r="F1485" s="160">
        <f t="shared" si="155"/>
        <v>0</v>
      </c>
      <c r="G1485" s="176"/>
      <c r="H1485" s="176"/>
      <c r="I1485" s="176"/>
      <c r="J1485" s="176"/>
      <c r="K1485" s="176"/>
      <c r="L1485" s="176"/>
      <c r="M1485" s="176"/>
      <c r="N1485" s="176"/>
      <c r="O1485" s="176"/>
      <c r="P1485" s="176"/>
      <c r="Q1485" s="176"/>
      <c r="R1485" s="176"/>
      <c r="S1485" s="162">
        <f t="shared" si="154"/>
        <v>0</v>
      </c>
      <c r="T1485" s="167"/>
    </row>
    <row r="1486" customHeight="1" spans="2:20">
      <c r="B1486" s="166"/>
      <c r="C1486" s="164">
        <f t="shared" si="153"/>
        <v>37</v>
      </c>
      <c r="D1486" s="158" t="str">
        <f>VLOOKUP(C1486,DMSP!$A$1:$C$39,2,0)</f>
        <v>7.KHÁC</v>
      </c>
      <c r="E1486" s="159" t="str">
        <f>VLOOKUP(C1486,DMSP!$A$1:$C$39,3,0)</f>
        <v>VỌT HOA XOÀI</v>
      </c>
      <c r="F1486" s="160">
        <f t="shared" si="155"/>
        <v>0</v>
      </c>
      <c r="G1486" s="176"/>
      <c r="H1486" s="176"/>
      <c r="I1486" s="176"/>
      <c r="J1486" s="176"/>
      <c r="K1486" s="176"/>
      <c r="L1486" s="176"/>
      <c r="M1486" s="176"/>
      <c r="N1486" s="176"/>
      <c r="O1486" s="176"/>
      <c r="P1486" s="176"/>
      <c r="Q1486" s="176"/>
      <c r="R1486" s="176"/>
      <c r="S1486" s="162">
        <f t="shared" si="154"/>
        <v>0</v>
      </c>
      <c r="T1486" s="167"/>
    </row>
    <row r="1487" customHeight="1" spans="2:20">
      <c r="B1487" s="92"/>
      <c r="C1487" s="170">
        <f>B1450</f>
        <v>0</v>
      </c>
      <c r="D1487" s="171"/>
      <c r="E1487" s="172" t="str">
        <f>"TOTAL "&amp;B1450</f>
        <v>TOTAL </v>
      </c>
      <c r="F1487" s="173">
        <f t="shared" si="155"/>
        <v>0</v>
      </c>
      <c r="G1487" s="174">
        <f>SUM(G1450:G1486)</f>
        <v>0</v>
      </c>
      <c r="H1487" s="174">
        <f t="shared" ref="H1487:R1487" si="156">SUM(H1450:H1486)</f>
        <v>0</v>
      </c>
      <c r="I1487" s="174">
        <f t="shared" si="156"/>
        <v>0</v>
      </c>
      <c r="J1487" s="174">
        <f t="shared" si="156"/>
        <v>0</v>
      </c>
      <c r="K1487" s="174">
        <f t="shared" si="156"/>
        <v>0</v>
      </c>
      <c r="L1487" s="174">
        <f t="shared" si="156"/>
        <v>0</v>
      </c>
      <c r="M1487" s="174">
        <f t="shared" si="156"/>
        <v>0</v>
      </c>
      <c r="N1487" s="174">
        <f t="shared" si="156"/>
        <v>0</v>
      </c>
      <c r="O1487" s="174">
        <f t="shared" si="156"/>
        <v>0</v>
      </c>
      <c r="P1487" s="174">
        <f t="shared" si="156"/>
        <v>0</v>
      </c>
      <c r="Q1487" s="174">
        <f t="shared" si="156"/>
        <v>0</v>
      </c>
      <c r="R1487" s="174">
        <f t="shared" si="156"/>
        <v>0</v>
      </c>
      <c r="S1487" s="174">
        <f t="shared" si="154"/>
        <v>0</v>
      </c>
      <c r="T1487" s="175"/>
    </row>
    <row r="1488" customHeight="1" spans="2:20">
      <c r="B1488" s="156"/>
      <c r="C1488" s="157">
        <v>1</v>
      </c>
      <c r="D1488" s="158" t="str">
        <f>VLOOKUP(C1488,DMSP!$A$1:$C$39,2,0)</f>
        <v>1.TOBA XANH</v>
      </c>
      <c r="E1488" s="159" t="str">
        <f>VLOOKUP(C1488,DMSP!$A$1:$C$39,3,0)</f>
        <v>TOBA XANH</v>
      </c>
      <c r="F1488" s="160">
        <f t="shared" si="155"/>
        <v>0</v>
      </c>
      <c r="G1488" s="176"/>
      <c r="H1488" s="176"/>
      <c r="I1488" s="176"/>
      <c r="J1488" s="176"/>
      <c r="K1488" s="176"/>
      <c r="L1488" s="176"/>
      <c r="M1488" s="176"/>
      <c r="N1488" s="176"/>
      <c r="O1488" s="176"/>
      <c r="P1488" s="176"/>
      <c r="Q1488" s="176"/>
      <c r="R1488" s="176"/>
      <c r="S1488" s="162">
        <f t="shared" si="154"/>
        <v>0</v>
      </c>
      <c r="T1488" s="163">
        <f>S1525</f>
        <v>0</v>
      </c>
    </row>
    <row r="1489" customHeight="1" spans="2:20">
      <c r="B1489" s="166"/>
      <c r="C1489" s="164">
        <f t="shared" ref="C1489:C1524" si="157">C1488+1</f>
        <v>2</v>
      </c>
      <c r="D1489" s="158" t="str">
        <f>VLOOKUP(C1489,DMSP!$A$1:$C$39,2,0)</f>
        <v>2.HC</v>
      </c>
      <c r="E1489" s="159" t="str">
        <f>VLOOKUP(C1489,DMSP!$A$1:$C$39,3,0)</f>
        <v>HC BOOSTER</v>
      </c>
      <c r="F1489" s="160">
        <f t="shared" si="155"/>
        <v>0</v>
      </c>
      <c r="G1489" s="176"/>
      <c r="H1489" s="176"/>
      <c r="I1489" s="176"/>
      <c r="J1489" s="176"/>
      <c r="K1489" s="176"/>
      <c r="L1489" s="176"/>
      <c r="M1489" s="176"/>
      <c r="N1489" s="176"/>
      <c r="O1489" s="176"/>
      <c r="P1489" s="176"/>
      <c r="Q1489" s="176"/>
      <c r="R1489" s="176"/>
      <c r="S1489" s="162">
        <f t="shared" ref="S1489:S1526" si="158">SUM(G1489:R1489)</f>
        <v>0</v>
      </c>
      <c r="T1489" s="167"/>
    </row>
    <row r="1490" customHeight="1" spans="2:20">
      <c r="B1490" s="166"/>
      <c r="C1490" s="164">
        <f t="shared" si="157"/>
        <v>3</v>
      </c>
      <c r="D1490" s="158" t="str">
        <f>VLOOKUP(C1490,DMSP!$A$1:$C$39,2,0)</f>
        <v>2.HC</v>
      </c>
      <c r="E1490" s="159" t="str">
        <f>VLOOKUP(C1490,DMSP!$A$1:$C$39,3,0)</f>
        <v>HC KING-ROOT</v>
      </c>
      <c r="F1490" s="160">
        <f t="shared" si="155"/>
        <v>0</v>
      </c>
      <c r="G1490" s="176"/>
      <c r="H1490" s="176"/>
      <c r="I1490" s="176"/>
      <c r="J1490" s="176"/>
      <c r="K1490" s="176"/>
      <c r="L1490" s="176"/>
      <c r="M1490" s="176"/>
      <c r="N1490" s="176"/>
      <c r="O1490" s="176"/>
      <c r="P1490" s="176"/>
      <c r="Q1490" s="176"/>
      <c r="R1490" s="176"/>
      <c r="S1490" s="162">
        <f t="shared" si="158"/>
        <v>0</v>
      </c>
      <c r="T1490" s="167"/>
    </row>
    <row r="1491" customHeight="1" spans="2:20">
      <c r="B1491" s="166"/>
      <c r="C1491" s="164">
        <f t="shared" si="157"/>
        <v>4</v>
      </c>
      <c r="D1491" s="158" t="str">
        <f>VLOOKUP(C1491,DMSP!$A$1:$C$39,2,0)</f>
        <v>2.HC</v>
      </c>
      <c r="E1491" s="159" t="str">
        <f>VLOOKUP(C1491,DMSP!$A$1:$C$39,3,0)</f>
        <v>HAPPY FARM</v>
      </c>
      <c r="F1491" s="160">
        <f t="shared" si="155"/>
        <v>0</v>
      </c>
      <c r="G1491" s="176"/>
      <c r="H1491" s="176"/>
      <c r="I1491" s="176"/>
      <c r="J1491" s="176"/>
      <c r="K1491" s="176"/>
      <c r="L1491" s="176"/>
      <c r="M1491" s="176"/>
      <c r="N1491" s="176"/>
      <c r="O1491" s="176"/>
      <c r="P1491" s="176"/>
      <c r="Q1491" s="176"/>
      <c r="R1491" s="176"/>
      <c r="S1491" s="162">
        <f t="shared" si="158"/>
        <v>0</v>
      </c>
      <c r="T1491" s="167"/>
    </row>
    <row r="1492" customHeight="1" spans="2:20">
      <c r="B1492" s="166"/>
      <c r="C1492" s="164">
        <f t="shared" si="157"/>
        <v>5</v>
      </c>
      <c r="D1492" s="158" t="str">
        <f>VLOOKUP(C1492,DMSP!$A$1:$C$39,2,0)</f>
        <v>2.HC</v>
      </c>
      <c r="E1492" s="159" t="str">
        <f>VLOOKUP(C1492,DMSP!$A$1:$C$39,3,0)</f>
        <v>WOW</v>
      </c>
      <c r="F1492" s="160">
        <f t="shared" si="155"/>
        <v>0</v>
      </c>
      <c r="G1492" s="176"/>
      <c r="H1492" s="176"/>
      <c r="I1492" s="176"/>
      <c r="J1492" s="176"/>
      <c r="K1492" s="176"/>
      <c r="L1492" s="176"/>
      <c r="M1492" s="176"/>
      <c r="N1492" s="176"/>
      <c r="O1492" s="176"/>
      <c r="P1492" s="176"/>
      <c r="Q1492" s="176"/>
      <c r="R1492" s="176"/>
      <c r="S1492" s="162">
        <f t="shared" si="158"/>
        <v>0</v>
      </c>
      <c r="T1492" s="167"/>
    </row>
    <row r="1493" customHeight="1" spans="2:20">
      <c r="B1493" s="166"/>
      <c r="C1493" s="164">
        <f t="shared" si="157"/>
        <v>6</v>
      </c>
      <c r="D1493" s="158" t="str">
        <f>VLOOKUP(C1493,DMSP!$A$1:$C$39,2,0)</f>
        <v>3.SPRAY </v>
      </c>
      <c r="E1493" s="159" t="str">
        <f>VLOOKUP(C1493,DMSP!$A$1:$C$39,3,0)</f>
        <v>KELPIT</v>
      </c>
      <c r="F1493" s="160">
        <f t="shared" si="155"/>
        <v>0</v>
      </c>
      <c r="G1493" s="176"/>
      <c r="H1493" s="176"/>
      <c r="I1493" s="176"/>
      <c r="J1493" s="176"/>
      <c r="K1493" s="176"/>
      <c r="L1493" s="176"/>
      <c r="M1493" s="176"/>
      <c r="N1493" s="176"/>
      <c r="O1493" s="176"/>
      <c r="P1493" s="176"/>
      <c r="Q1493" s="176"/>
      <c r="R1493" s="176"/>
      <c r="S1493" s="162">
        <f t="shared" si="158"/>
        <v>0</v>
      </c>
      <c r="T1493" s="167"/>
    </row>
    <row r="1494" customHeight="1" spans="2:20">
      <c r="B1494" s="166"/>
      <c r="C1494" s="164">
        <f t="shared" si="157"/>
        <v>7</v>
      </c>
      <c r="D1494" s="158" t="str">
        <f>VLOOKUP(C1494,DMSP!$A$1:$C$39,2,0)</f>
        <v>3.SPRAY </v>
      </c>
      <c r="E1494" s="159" t="str">
        <f>VLOOKUP(C1494,DMSP!$A$1:$C$39,3,0)</f>
        <v>SI-K</v>
      </c>
      <c r="F1494" s="160">
        <f t="shared" si="155"/>
        <v>0</v>
      </c>
      <c r="G1494" s="176"/>
      <c r="H1494" s="176"/>
      <c r="I1494" s="176"/>
      <c r="J1494" s="176"/>
      <c r="K1494" s="176"/>
      <c r="L1494" s="176"/>
      <c r="M1494" s="176"/>
      <c r="N1494" s="176"/>
      <c r="O1494" s="176"/>
      <c r="P1494" s="176"/>
      <c r="Q1494" s="176"/>
      <c r="R1494" s="176"/>
      <c r="S1494" s="162">
        <f t="shared" si="158"/>
        <v>0</v>
      </c>
      <c r="T1494" s="167"/>
    </row>
    <row r="1495" customHeight="1" spans="2:20">
      <c r="B1495" s="166"/>
      <c r="C1495" s="164">
        <f t="shared" si="157"/>
        <v>8</v>
      </c>
      <c r="D1495" s="158" t="str">
        <f>VLOOKUP(C1495,DMSP!$A$1:$C$39,2,0)</f>
        <v>3.SPRAY </v>
      </c>
      <c r="E1495" s="159" t="str">
        <f>VLOOKUP(C1495,DMSP!$A$1:$C$39,3,0)</f>
        <v>SPRAY PHOS 620</v>
      </c>
      <c r="F1495" s="160">
        <f t="shared" si="155"/>
        <v>0</v>
      </c>
      <c r="G1495" s="176"/>
      <c r="H1495" s="176"/>
      <c r="I1495" s="176"/>
      <c r="J1495" s="176"/>
      <c r="K1495" s="176"/>
      <c r="L1495" s="176"/>
      <c r="M1495" s="176"/>
      <c r="N1495" s="176"/>
      <c r="O1495" s="176"/>
      <c r="P1495" s="176"/>
      <c r="Q1495" s="176"/>
      <c r="R1495" s="176"/>
      <c r="S1495" s="162">
        <f t="shared" si="158"/>
        <v>0</v>
      </c>
      <c r="T1495" s="167"/>
    </row>
    <row r="1496" customHeight="1" spans="2:20">
      <c r="B1496" s="166"/>
      <c r="C1496" s="164">
        <f t="shared" si="157"/>
        <v>9</v>
      </c>
      <c r="D1496" s="158" t="str">
        <f>VLOOKUP(C1496,DMSP!$A$1:$C$39,2,0)</f>
        <v>4.DƯỠNG RỄ</v>
      </c>
      <c r="E1496" s="159" t="str">
        <f>VLOOKUP(C1496,DMSP!$A$1:$C$39,3,0)</f>
        <v>CHITOSAN</v>
      </c>
      <c r="F1496" s="160">
        <f t="shared" si="155"/>
        <v>0</v>
      </c>
      <c r="G1496" s="176"/>
      <c r="H1496" s="176"/>
      <c r="I1496" s="176"/>
      <c r="J1496" s="176"/>
      <c r="K1496" s="176"/>
      <c r="L1496" s="176"/>
      <c r="M1496" s="176"/>
      <c r="N1496" s="176"/>
      <c r="O1496" s="176"/>
      <c r="P1496" s="176"/>
      <c r="Q1496" s="176"/>
      <c r="R1496" s="176"/>
      <c r="S1496" s="162">
        <f t="shared" si="158"/>
        <v>0</v>
      </c>
      <c r="T1496" s="167"/>
    </row>
    <row r="1497" customHeight="1" spans="2:20">
      <c r="B1497" s="166"/>
      <c r="C1497" s="164">
        <f t="shared" si="157"/>
        <v>10</v>
      </c>
      <c r="D1497" s="158" t="str">
        <f>VLOOKUP(C1497,DMSP!$A$1:$C$39,2,0)</f>
        <v>4.DƯỠNG RỄ</v>
      </c>
      <c r="E1497" s="159" t="str">
        <f>VLOOKUP(C1497,DMSP!$A$1:$C$39,3,0)</f>
        <v>ĐẠM CÁ</v>
      </c>
      <c r="F1497" s="160">
        <f t="shared" si="155"/>
        <v>0</v>
      </c>
      <c r="G1497" s="176"/>
      <c r="H1497" s="176"/>
      <c r="I1497" s="176"/>
      <c r="J1497" s="176"/>
      <c r="K1497" s="176"/>
      <c r="L1497" s="176"/>
      <c r="M1497" s="176"/>
      <c r="N1497" s="176"/>
      <c r="O1497" s="176"/>
      <c r="P1497" s="176"/>
      <c r="Q1497" s="176"/>
      <c r="R1497" s="176"/>
      <c r="S1497" s="162">
        <f t="shared" si="158"/>
        <v>0</v>
      </c>
      <c r="T1497" s="167"/>
    </row>
    <row r="1498" customHeight="1" spans="2:20">
      <c r="B1498" s="166"/>
      <c r="C1498" s="164">
        <f t="shared" si="157"/>
        <v>11</v>
      </c>
      <c r="D1498" s="158" t="str">
        <f>VLOOKUP(C1498,DMSP!$A$1:$C$39,2,0)</f>
        <v>4.DƯỠNG RỄ</v>
      </c>
      <c r="E1498" s="159" t="str">
        <f>VLOOKUP(C1498,DMSP!$A$1:$C$39,3,0)</f>
        <v>ĐẠM TÔM</v>
      </c>
      <c r="F1498" s="160">
        <f t="shared" si="155"/>
        <v>0</v>
      </c>
      <c r="G1498" s="176"/>
      <c r="H1498" s="176"/>
      <c r="I1498" s="176"/>
      <c r="J1498" s="176"/>
      <c r="K1498" s="176"/>
      <c r="L1498" s="176"/>
      <c r="M1498" s="176"/>
      <c r="N1498" s="176"/>
      <c r="O1498" s="176"/>
      <c r="P1498" s="176"/>
      <c r="Q1498" s="176"/>
      <c r="R1498" s="176"/>
      <c r="S1498" s="162">
        <f t="shared" si="158"/>
        <v>0</v>
      </c>
      <c r="T1498" s="167"/>
    </row>
    <row r="1499" customHeight="1" spans="2:20">
      <c r="B1499" s="166"/>
      <c r="C1499" s="164">
        <f t="shared" si="157"/>
        <v>12</v>
      </c>
      <c r="D1499" s="158" t="str">
        <f>VLOOKUP(C1499,DMSP!$A$1:$C$39,2,0)</f>
        <v>4.DƯỠNG RỄ</v>
      </c>
      <c r="E1499" s="159" t="str">
        <f>VLOOKUP(C1499,DMSP!$A$1:$C$39,3,0)</f>
        <v>SUPERMIC</v>
      </c>
      <c r="F1499" s="160">
        <f t="shared" si="155"/>
        <v>0</v>
      </c>
      <c r="G1499" s="176"/>
      <c r="H1499" s="176"/>
      <c r="I1499" s="176"/>
      <c r="J1499" s="176"/>
      <c r="K1499" s="176"/>
      <c r="L1499" s="176"/>
      <c r="M1499" s="176"/>
      <c r="N1499" s="176"/>
      <c r="O1499" s="176"/>
      <c r="P1499" s="176"/>
      <c r="Q1499" s="176"/>
      <c r="R1499" s="176"/>
      <c r="S1499" s="162">
        <f t="shared" si="158"/>
        <v>0</v>
      </c>
      <c r="T1499" s="167"/>
    </row>
    <row r="1500" customHeight="1" spans="2:20">
      <c r="B1500" s="166"/>
      <c r="C1500" s="164">
        <f t="shared" si="157"/>
        <v>13</v>
      </c>
      <c r="D1500" s="158" t="str">
        <f>VLOOKUP(C1500,DMSP!$A$1:$C$39,2,0)</f>
        <v>5.TRUYỀN THỐNG</v>
      </c>
      <c r="E1500" s="159" t="str">
        <f>VLOOKUP(C1500,DMSP!$A$1:$C$39,3,0)</f>
        <v>CABO</v>
      </c>
      <c r="F1500" s="160">
        <f t="shared" si="155"/>
        <v>0</v>
      </c>
      <c r="G1500" s="176"/>
      <c r="H1500" s="176"/>
      <c r="I1500" s="176"/>
      <c r="J1500" s="176"/>
      <c r="K1500" s="176"/>
      <c r="L1500" s="176"/>
      <c r="M1500" s="176"/>
      <c r="N1500" s="176"/>
      <c r="O1500" s="176"/>
      <c r="P1500" s="176"/>
      <c r="Q1500" s="176"/>
      <c r="R1500" s="176"/>
      <c r="S1500" s="162">
        <f t="shared" si="158"/>
        <v>0</v>
      </c>
      <c r="T1500" s="167"/>
    </row>
    <row r="1501" customHeight="1" spans="2:20">
      <c r="B1501" s="166"/>
      <c r="C1501" s="164">
        <f t="shared" si="157"/>
        <v>14</v>
      </c>
      <c r="D1501" s="158" t="str">
        <f>VLOOKUP(C1501,DMSP!$A$1:$C$39,2,0)</f>
        <v>5.TRUYỀN THỐNG</v>
      </c>
      <c r="E1501" s="159" t="str">
        <f>VLOOKUP(C1501,DMSP!$A$1:$C$39,3,0)</f>
        <v>F94</v>
      </c>
      <c r="F1501" s="160">
        <f t="shared" si="155"/>
        <v>0</v>
      </c>
      <c r="G1501" s="176"/>
      <c r="H1501" s="176"/>
      <c r="I1501" s="176"/>
      <c r="J1501" s="176"/>
      <c r="K1501" s="176"/>
      <c r="L1501" s="176"/>
      <c r="M1501" s="176"/>
      <c r="N1501" s="176"/>
      <c r="O1501" s="176"/>
      <c r="P1501" s="176"/>
      <c r="Q1501" s="176"/>
      <c r="R1501" s="176"/>
      <c r="S1501" s="162">
        <f t="shared" si="158"/>
        <v>0</v>
      </c>
      <c r="T1501" s="167"/>
    </row>
    <row r="1502" customHeight="1" spans="2:20">
      <c r="B1502" s="166"/>
      <c r="C1502" s="164">
        <f t="shared" si="157"/>
        <v>15</v>
      </c>
      <c r="D1502" s="158" t="str">
        <f>VLOOKUP(C1502,DMSP!$A$1:$C$39,2,0)</f>
        <v>5.TRUYỀN THỐNG</v>
      </c>
      <c r="E1502" s="159" t="str">
        <f>VLOOKUP(C1502,DMSP!$A$1:$C$39,3,0)</f>
        <v>F95</v>
      </c>
      <c r="F1502" s="160">
        <f t="shared" si="155"/>
        <v>0</v>
      </c>
      <c r="G1502" s="176"/>
      <c r="H1502" s="176"/>
      <c r="I1502" s="176"/>
      <c r="J1502" s="176"/>
      <c r="K1502" s="176"/>
      <c r="L1502" s="176"/>
      <c r="M1502" s="176"/>
      <c r="N1502" s="176"/>
      <c r="O1502" s="176"/>
      <c r="P1502" s="176"/>
      <c r="Q1502" s="176"/>
      <c r="R1502" s="176"/>
      <c r="S1502" s="162">
        <f t="shared" si="158"/>
        <v>0</v>
      </c>
      <c r="T1502" s="167"/>
    </row>
    <row r="1503" customHeight="1" spans="2:20">
      <c r="B1503" s="166"/>
      <c r="C1503" s="164">
        <f t="shared" si="157"/>
        <v>16</v>
      </c>
      <c r="D1503" s="158" t="str">
        <f>VLOOKUP(C1503,DMSP!$A$1:$C$39,2,0)</f>
        <v>5.TRUYỀN THỐNG</v>
      </c>
      <c r="E1503" s="159" t="str">
        <f>VLOOKUP(C1503,DMSP!$A$1:$C$39,3,0)</f>
        <v>THIOURE</v>
      </c>
      <c r="F1503" s="160">
        <f t="shared" si="155"/>
        <v>0</v>
      </c>
      <c r="G1503" s="176"/>
      <c r="H1503" s="176"/>
      <c r="I1503" s="176"/>
      <c r="J1503" s="176"/>
      <c r="K1503" s="176"/>
      <c r="L1503" s="176"/>
      <c r="M1503" s="176"/>
      <c r="N1503" s="176"/>
      <c r="O1503" s="176"/>
      <c r="P1503" s="176"/>
      <c r="Q1503" s="176"/>
      <c r="R1503" s="176"/>
      <c r="S1503" s="162">
        <f t="shared" si="158"/>
        <v>0</v>
      </c>
      <c r="T1503" s="167"/>
    </row>
    <row r="1504" customHeight="1" spans="2:20">
      <c r="B1504" s="166"/>
      <c r="C1504" s="164">
        <f t="shared" si="157"/>
        <v>17</v>
      </c>
      <c r="D1504" s="158" t="str">
        <f>VLOOKUP(C1504,DMSP!$A$1:$C$39,2,0)</f>
        <v>5.TRUYỀN THỐNG</v>
      </c>
      <c r="E1504" s="159" t="str">
        <f>VLOOKUP(C1504,DMSP!$A$1:$C$39,3,0)</f>
        <v>TOBA JUM</v>
      </c>
      <c r="F1504" s="160">
        <f t="shared" si="155"/>
        <v>0</v>
      </c>
      <c r="G1504" s="176"/>
      <c r="H1504" s="176"/>
      <c r="I1504" s="176"/>
      <c r="J1504" s="176"/>
      <c r="K1504" s="176"/>
      <c r="L1504" s="176"/>
      <c r="M1504" s="176"/>
      <c r="N1504" s="176"/>
      <c r="O1504" s="176"/>
      <c r="P1504" s="176"/>
      <c r="Q1504" s="176"/>
      <c r="R1504" s="176"/>
      <c r="S1504" s="162">
        <f t="shared" si="158"/>
        <v>0</v>
      </c>
      <c r="T1504" s="167"/>
    </row>
    <row r="1505" customHeight="1" spans="2:20">
      <c r="B1505" s="166"/>
      <c r="C1505" s="164">
        <f t="shared" si="157"/>
        <v>18</v>
      </c>
      <c r="D1505" s="158" t="str">
        <f>VLOOKUP(C1505,DMSP!$A$1:$C$39,2,0)</f>
        <v>5.TRUYỀN THỐNG</v>
      </c>
      <c r="E1505" s="159" t="str">
        <f>VLOOKUP(C1505,DMSP!$A$1:$C$39,3,0)</f>
        <v>TOBA NET</v>
      </c>
      <c r="F1505" s="160">
        <f t="shared" si="155"/>
        <v>0</v>
      </c>
      <c r="G1505" s="176"/>
      <c r="H1505" s="176"/>
      <c r="I1505" s="176"/>
      <c r="J1505" s="176"/>
      <c r="K1505" s="176"/>
      <c r="L1505" s="176"/>
      <c r="M1505" s="176"/>
      <c r="N1505" s="176"/>
      <c r="O1505" s="176"/>
      <c r="P1505" s="176"/>
      <c r="Q1505" s="176"/>
      <c r="R1505" s="176"/>
      <c r="S1505" s="162">
        <f t="shared" si="158"/>
        <v>0</v>
      </c>
      <c r="T1505" s="167"/>
    </row>
    <row r="1506" customHeight="1" spans="2:20">
      <c r="B1506" s="166"/>
      <c r="C1506" s="164">
        <f t="shared" si="157"/>
        <v>19</v>
      </c>
      <c r="D1506" s="158" t="str">
        <f>VLOOKUP(C1506,DMSP!$A$1:$C$39,2,0)</f>
        <v>6.BVTV</v>
      </c>
      <c r="E1506" s="159" t="str">
        <f>VLOOKUP(C1506,DMSP!$A$1:$C$39,3,0)</f>
        <v>ABAFAX 1.8</v>
      </c>
      <c r="F1506" s="160">
        <f t="shared" si="155"/>
        <v>0</v>
      </c>
      <c r="G1506" s="176"/>
      <c r="H1506" s="176"/>
      <c r="I1506" s="176"/>
      <c r="J1506" s="176"/>
      <c r="K1506" s="176"/>
      <c r="L1506" s="176"/>
      <c r="M1506" s="176"/>
      <c r="N1506" s="176"/>
      <c r="O1506" s="176"/>
      <c r="P1506" s="176"/>
      <c r="Q1506" s="176"/>
      <c r="R1506" s="176"/>
      <c r="S1506" s="162">
        <f t="shared" si="158"/>
        <v>0</v>
      </c>
      <c r="T1506" s="167"/>
    </row>
    <row r="1507" customHeight="1" spans="2:20">
      <c r="B1507" s="166"/>
      <c r="C1507" s="164">
        <f t="shared" si="157"/>
        <v>20</v>
      </c>
      <c r="D1507" s="158" t="str">
        <f>VLOOKUP(C1507,DMSP!$A$1:$C$39,2,0)</f>
        <v>6.BVTV</v>
      </c>
      <c r="E1507" s="159" t="str">
        <f>VLOOKUP(C1507,DMSP!$A$1:$C$39,3,0)</f>
        <v>ABAFAX 3.6</v>
      </c>
      <c r="F1507" s="160">
        <f t="shared" si="155"/>
        <v>0</v>
      </c>
      <c r="G1507" s="176"/>
      <c r="H1507" s="176"/>
      <c r="I1507" s="176"/>
      <c r="J1507" s="176"/>
      <c r="K1507" s="176"/>
      <c r="L1507" s="176"/>
      <c r="M1507" s="176"/>
      <c r="N1507" s="176"/>
      <c r="O1507" s="176"/>
      <c r="P1507" s="176"/>
      <c r="Q1507" s="176"/>
      <c r="R1507" s="176"/>
      <c r="S1507" s="162">
        <f t="shared" si="158"/>
        <v>0</v>
      </c>
      <c r="T1507" s="167"/>
    </row>
    <row r="1508" customHeight="1" spans="2:20">
      <c r="B1508" s="166"/>
      <c r="C1508" s="164">
        <f t="shared" si="157"/>
        <v>21</v>
      </c>
      <c r="D1508" s="158" t="str">
        <f>VLOOKUP(C1508,DMSP!$A$1:$C$39,2,0)</f>
        <v>6.BVTV</v>
      </c>
      <c r="E1508" s="159" t="str">
        <f>VLOOKUP(C1508,DMSP!$A$1:$C$39,3,0)</f>
        <v>AZET</v>
      </c>
      <c r="F1508" s="160">
        <f t="shared" si="155"/>
        <v>0</v>
      </c>
      <c r="G1508" s="176"/>
      <c r="H1508" s="176"/>
      <c r="I1508" s="176"/>
      <c r="J1508" s="176"/>
      <c r="K1508" s="176"/>
      <c r="L1508" s="176"/>
      <c r="M1508" s="176"/>
      <c r="N1508" s="176"/>
      <c r="O1508" s="176"/>
      <c r="P1508" s="176"/>
      <c r="Q1508" s="176"/>
      <c r="R1508" s="176"/>
      <c r="S1508" s="162">
        <f t="shared" si="158"/>
        <v>0</v>
      </c>
      <c r="T1508" s="167"/>
    </row>
    <row r="1509" customHeight="1" spans="2:20">
      <c r="B1509" s="166"/>
      <c r="C1509" s="164">
        <f t="shared" si="157"/>
        <v>22</v>
      </c>
      <c r="D1509" s="158" t="str">
        <f>VLOOKUP(C1509,DMSP!$A$1:$C$39,2,0)</f>
        <v>6.BVTV</v>
      </c>
      <c r="E1509" s="159" t="str">
        <f>VLOOKUP(C1509,DMSP!$A$1:$C$39,3,0)</f>
        <v>BACBA</v>
      </c>
      <c r="F1509" s="160">
        <f t="shared" si="155"/>
        <v>0</v>
      </c>
      <c r="G1509" s="176"/>
      <c r="H1509" s="176"/>
      <c r="I1509" s="176"/>
      <c r="J1509" s="176"/>
      <c r="K1509" s="176"/>
      <c r="L1509" s="176"/>
      <c r="M1509" s="176"/>
      <c r="N1509" s="176"/>
      <c r="O1509" s="176"/>
      <c r="P1509" s="176"/>
      <c r="Q1509" s="176"/>
      <c r="R1509" s="176"/>
      <c r="S1509" s="162">
        <f t="shared" si="158"/>
        <v>0</v>
      </c>
      <c r="T1509" s="167"/>
    </row>
    <row r="1510" customHeight="1" spans="2:20">
      <c r="B1510" s="166"/>
      <c r="C1510" s="164">
        <f t="shared" si="157"/>
        <v>23</v>
      </c>
      <c r="D1510" s="158" t="str">
        <f>VLOOKUP(C1510,DMSP!$A$1:$C$39,2,0)</f>
        <v>6.BVTV</v>
      </c>
      <c r="E1510" s="159" t="str">
        <f>VLOOKUP(C1510,DMSP!$A$1:$C$39,3,0)</f>
        <v>BIOROSAMIL</v>
      </c>
      <c r="F1510" s="160">
        <f t="shared" si="155"/>
        <v>0</v>
      </c>
      <c r="G1510" s="176"/>
      <c r="H1510" s="176"/>
      <c r="I1510" s="176"/>
      <c r="J1510" s="176"/>
      <c r="K1510" s="176"/>
      <c r="L1510" s="176"/>
      <c r="M1510" s="176"/>
      <c r="N1510" s="176"/>
      <c r="O1510" s="176"/>
      <c r="P1510" s="176"/>
      <c r="Q1510" s="176"/>
      <c r="R1510" s="176"/>
      <c r="S1510" s="162">
        <f t="shared" si="158"/>
        <v>0</v>
      </c>
      <c r="T1510" s="167"/>
    </row>
    <row r="1511" customHeight="1" spans="2:20">
      <c r="B1511" s="166"/>
      <c r="C1511" s="164">
        <f t="shared" si="157"/>
        <v>24</v>
      </c>
      <c r="D1511" s="158" t="str">
        <f>VLOOKUP(C1511,DMSP!$A$1:$C$39,2,0)</f>
        <v>6.BVTV</v>
      </c>
      <c r="E1511" s="159" t="str">
        <f>VLOOKUP(C1511,DMSP!$A$1:$C$39,3,0)</f>
        <v>COC 86</v>
      </c>
      <c r="F1511" s="160">
        <f t="shared" si="155"/>
        <v>0</v>
      </c>
      <c r="G1511" s="176"/>
      <c r="H1511" s="176"/>
      <c r="I1511" s="176"/>
      <c r="J1511" s="176"/>
      <c r="K1511" s="176"/>
      <c r="L1511" s="176"/>
      <c r="M1511" s="176"/>
      <c r="N1511" s="176"/>
      <c r="O1511" s="176"/>
      <c r="P1511" s="176"/>
      <c r="Q1511" s="176"/>
      <c r="R1511" s="176"/>
      <c r="S1511" s="162">
        <f t="shared" si="158"/>
        <v>0</v>
      </c>
      <c r="T1511" s="167"/>
    </row>
    <row r="1512" customHeight="1" spans="2:20">
      <c r="B1512" s="166"/>
      <c r="C1512" s="164">
        <f t="shared" si="157"/>
        <v>25</v>
      </c>
      <c r="D1512" s="158" t="str">
        <f>VLOOKUP(C1512,DMSP!$A$1:$C$39,2,0)</f>
        <v>6.BVTV</v>
      </c>
      <c r="E1512" s="159" t="str">
        <f>VLOOKUP(C1512,DMSP!$A$1:$C$39,3,0)</f>
        <v>HEXA 5</v>
      </c>
      <c r="F1512" s="160">
        <f t="shared" si="155"/>
        <v>0</v>
      </c>
      <c r="G1512" s="176"/>
      <c r="H1512" s="176"/>
      <c r="I1512" s="176"/>
      <c r="J1512" s="176"/>
      <c r="K1512" s="176"/>
      <c r="L1512" s="176"/>
      <c r="M1512" s="176"/>
      <c r="N1512" s="176"/>
      <c r="O1512" s="176"/>
      <c r="P1512" s="176"/>
      <c r="Q1512" s="176"/>
      <c r="R1512" s="176"/>
      <c r="S1512" s="162">
        <f t="shared" si="158"/>
        <v>0</v>
      </c>
      <c r="T1512" s="167"/>
    </row>
    <row r="1513" customHeight="1" spans="2:20">
      <c r="B1513" s="166"/>
      <c r="C1513" s="164">
        <f t="shared" si="157"/>
        <v>26</v>
      </c>
      <c r="D1513" s="158" t="str">
        <f>VLOOKUP(C1513,DMSP!$A$1:$C$39,2,0)</f>
        <v>6.BVTV</v>
      </c>
      <c r="E1513" s="159" t="str">
        <f>VLOOKUP(C1513,DMSP!$A$1:$C$39,3,0)</f>
        <v>TAMALA</v>
      </c>
      <c r="F1513" s="160">
        <f t="shared" si="155"/>
        <v>0</v>
      </c>
      <c r="G1513" s="176"/>
      <c r="H1513" s="176"/>
      <c r="I1513" s="176"/>
      <c r="J1513" s="176"/>
      <c r="K1513" s="176"/>
      <c r="L1513" s="176"/>
      <c r="M1513" s="176"/>
      <c r="N1513" s="176"/>
      <c r="O1513" s="176"/>
      <c r="P1513" s="176"/>
      <c r="Q1513" s="176"/>
      <c r="R1513" s="176"/>
      <c r="S1513" s="162">
        <f t="shared" si="158"/>
        <v>0</v>
      </c>
      <c r="T1513" s="167"/>
    </row>
    <row r="1514" customHeight="1" spans="2:20">
      <c r="B1514" s="166"/>
      <c r="C1514" s="164">
        <f t="shared" si="157"/>
        <v>27</v>
      </c>
      <c r="D1514" s="158" t="str">
        <f>VLOOKUP(C1514,DMSP!$A$1:$C$39,2,0)</f>
        <v>7.KHÁC</v>
      </c>
      <c r="E1514" s="159" t="str">
        <f>VLOOKUP(C1514,DMSP!$A$1:$C$39,3,0)</f>
        <v>KẼM VÀNG</v>
      </c>
      <c r="F1514" s="160">
        <f t="shared" si="155"/>
        <v>0</v>
      </c>
      <c r="G1514" s="176"/>
      <c r="H1514" s="176"/>
      <c r="I1514" s="176"/>
      <c r="J1514" s="176"/>
      <c r="K1514" s="176"/>
      <c r="L1514" s="176"/>
      <c r="M1514" s="176"/>
      <c r="N1514" s="176"/>
      <c r="O1514" s="176"/>
      <c r="P1514" s="176"/>
      <c r="Q1514" s="176"/>
      <c r="R1514" s="176"/>
      <c r="S1514" s="162">
        <f t="shared" si="158"/>
        <v>0</v>
      </c>
      <c r="T1514" s="167"/>
    </row>
    <row r="1515" customHeight="1" spans="2:20">
      <c r="B1515" s="166"/>
      <c r="C1515" s="164">
        <f t="shared" si="157"/>
        <v>28</v>
      </c>
      <c r="D1515" s="158" t="str">
        <f>VLOOKUP(C1515,DMSP!$A$1:$C$39,2,0)</f>
        <v>7.KHÁC</v>
      </c>
      <c r="E1515" s="159" t="str">
        <f>VLOOKUP(C1515,DMSP!$A$1:$C$39,3,0)</f>
        <v>KHÁC1</v>
      </c>
      <c r="F1515" s="160">
        <f t="shared" si="155"/>
        <v>0</v>
      </c>
      <c r="G1515" s="176"/>
      <c r="H1515" s="176"/>
      <c r="I1515" s="176"/>
      <c r="J1515" s="176"/>
      <c r="K1515" s="176"/>
      <c r="L1515" s="176"/>
      <c r="M1515" s="176"/>
      <c r="N1515" s="176"/>
      <c r="O1515" s="176"/>
      <c r="P1515" s="176"/>
      <c r="Q1515" s="176"/>
      <c r="R1515" s="176"/>
      <c r="S1515" s="162">
        <f t="shared" si="158"/>
        <v>0</v>
      </c>
      <c r="T1515" s="167"/>
    </row>
    <row r="1516" customHeight="1" spans="2:20">
      <c r="B1516" s="166"/>
      <c r="C1516" s="164">
        <f t="shared" si="157"/>
        <v>29</v>
      </c>
      <c r="D1516" s="158" t="str">
        <f>VLOOKUP(C1516,DMSP!$A$1:$C$39,2,0)</f>
        <v>7.KHÁC</v>
      </c>
      <c r="E1516" s="169" t="s">
        <v>13</v>
      </c>
      <c r="F1516" s="160">
        <f t="shared" si="155"/>
        <v>0</v>
      </c>
      <c r="G1516" s="176"/>
      <c r="H1516" s="176"/>
      <c r="I1516" s="176"/>
      <c r="J1516" s="176"/>
      <c r="K1516" s="176"/>
      <c r="L1516" s="176"/>
      <c r="M1516" s="176"/>
      <c r="N1516" s="176"/>
      <c r="O1516" s="176"/>
      <c r="P1516" s="176"/>
      <c r="Q1516" s="176"/>
      <c r="R1516" s="176"/>
      <c r="S1516" s="162">
        <f t="shared" si="158"/>
        <v>0</v>
      </c>
      <c r="T1516" s="167"/>
    </row>
    <row r="1517" customHeight="1" spans="2:20">
      <c r="B1517" s="166"/>
      <c r="C1517" s="164">
        <f t="shared" si="157"/>
        <v>30</v>
      </c>
      <c r="D1517" s="158" t="str">
        <f>VLOOKUP(C1517,DMSP!$A$1:$C$39,2,0)</f>
        <v>7.KHÁC</v>
      </c>
      <c r="E1517" s="159" t="str">
        <f>VLOOKUP(C1517,DMSP!$A$1:$C$39,3,0)</f>
        <v>RỬA RONG RÊU</v>
      </c>
      <c r="F1517" s="160">
        <f t="shared" si="155"/>
        <v>0</v>
      </c>
      <c r="G1517" s="176"/>
      <c r="H1517" s="176"/>
      <c r="I1517" s="176"/>
      <c r="J1517" s="176"/>
      <c r="K1517" s="176"/>
      <c r="L1517" s="176"/>
      <c r="M1517" s="176"/>
      <c r="N1517" s="176"/>
      <c r="O1517" s="176"/>
      <c r="P1517" s="176"/>
      <c r="Q1517" s="176"/>
      <c r="R1517" s="176"/>
      <c r="S1517" s="162">
        <f t="shared" si="158"/>
        <v>0</v>
      </c>
      <c r="T1517" s="167"/>
    </row>
    <row r="1518" customHeight="1" spans="2:20">
      <c r="B1518" s="166"/>
      <c r="C1518" s="164">
        <f t="shared" si="157"/>
        <v>31</v>
      </c>
      <c r="D1518" s="158" t="str">
        <f>VLOOKUP(C1518,DMSP!$A$1:$C$39,2,0)</f>
        <v>7.KHÁC</v>
      </c>
      <c r="E1518" s="159" t="str">
        <f>VLOOKUP(C1518,DMSP!$A$1:$C$39,3,0)</f>
        <v>TB BO</v>
      </c>
      <c r="F1518" s="160">
        <f t="shared" si="155"/>
        <v>0</v>
      </c>
      <c r="G1518" s="176"/>
      <c r="H1518" s="176"/>
      <c r="I1518" s="176"/>
      <c r="J1518" s="176"/>
      <c r="K1518" s="176"/>
      <c r="L1518" s="176"/>
      <c r="M1518" s="176"/>
      <c r="N1518" s="176"/>
      <c r="O1518" s="176"/>
      <c r="P1518" s="176"/>
      <c r="Q1518" s="176"/>
      <c r="R1518" s="176"/>
      <c r="S1518" s="162">
        <f t="shared" si="158"/>
        <v>0</v>
      </c>
      <c r="T1518" s="167"/>
    </row>
    <row r="1519" customHeight="1" spans="2:20">
      <c r="B1519" s="166"/>
      <c r="C1519" s="164">
        <f t="shared" si="157"/>
        <v>32</v>
      </c>
      <c r="D1519" s="158" t="str">
        <f>VLOOKUP(C1519,DMSP!$A$1:$C$39,2,0)</f>
        <v>7.KHÁC</v>
      </c>
      <c r="E1519" s="159" t="str">
        <f>VLOOKUP(C1519,DMSP!$A$1:$C$39,3,0)</f>
        <v>TB FRUIT</v>
      </c>
      <c r="F1519" s="160">
        <f t="shared" si="155"/>
        <v>0</v>
      </c>
      <c r="G1519" s="176"/>
      <c r="H1519" s="176"/>
      <c r="I1519" s="176"/>
      <c r="J1519" s="176"/>
      <c r="K1519" s="176"/>
      <c r="L1519" s="176"/>
      <c r="M1519" s="176"/>
      <c r="N1519" s="176"/>
      <c r="O1519" s="176"/>
      <c r="P1519" s="176"/>
      <c r="Q1519" s="176"/>
      <c r="R1519" s="176"/>
      <c r="S1519" s="162">
        <f t="shared" si="158"/>
        <v>0</v>
      </c>
      <c r="T1519" s="167"/>
    </row>
    <row r="1520" customHeight="1" spans="2:20">
      <c r="B1520" s="166"/>
      <c r="C1520" s="164">
        <f t="shared" si="157"/>
        <v>33</v>
      </c>
      <c r="D1520" s="158" t="str">
        <f>VLOOKUP(C1520,DMSP!$A$1:$C$39,2,0)</f>
        <v>7.KHÁC</v>
      </c>
      <c r="E1520" s="159" t="str">
        <f>VLOOKUP(C1520,DMSP!$A$1:$C$39,3,0)</f>
        <v>TB PHOS</v>
      </c>
      <c r="F1520" s="160">
        <f t="shared" si="155"/>
        <v>0</v>
      </c>
      <c r="G1520" s="176"/>
      <c r="H1520" s="176"/>
      <c r="I1520" s="176"/>
      <c r="J1520" s="176"/>
      <c r="K1520" s="176"/>
      <c r="L1520" s="176"/>
      <c r="M1520" s="176"/>
      <c r="N1520" s="176"/>
      <c r="O1520" s="176"/>
      <c r="P1520" s="176"/>
      <c r="Q1520" s="176"/>
      <c r="R1520" s="176"/>
      <c r="S1520" s="162">
        <f t="shared" si="158"/>
        <v>0</v>
      </c>
      <c r="T1520" s="167"/>
    </row>
    <row r="1521" customHeight="1" spans="2:20">
      <c r="B1521" s="166"/>
      <c r="C1521" s="164">
        <f t="shared" si="157"/>
        <v>34</v>
      </c>
      <c r="D1521" s="158" t="str">
        <f>VLOOKUP(C1521,DMSP!$A$1:$C$39,2,0)</f>
        <v>7.KHÁC</v>
      </c>
      <c r="E1521" s="159" t="str">
        <f>VLOOKUP(C1521,DMSP!$A$1:$C$39,3,0)</f>
        <v>TOBA BÁM DÍNH</v>
      </c>
      <c r="F1521" s="160">
        <f t="shared" si="155"/>
        <v>0</v>
      </c>
      <c r="G1521" s="176"/>
      <c r="H1521" s="176"/>
      <c r="I1521" s="176"/>
      <c r="J1521" s="176"/>
      <c r="K1521" s="176"/>
      <c r="L1521" s="176"/>
      <c r="M1521" s="176"/>
      <c r="N1521" s="176"/>
      <c r="O1521" s="176"/>
      <c r="P1521" s="176"/>
      <c r="Q1521" s="176"/>
      <c r="R1521" s="176"/>
      <c r="S1521" s="162">
        <f t="shared" si="158"/>
        <v>0</v>
      </c>
      <c r="T1521" s="167"/>
    </row>
    <row r="1522" customHeight="1" spans="2:20">
      <c r="B1522" s="166"/>
      <c r="C1522" s="164">
        <f t="shared" si="157"/>
        <v>35</v>
      </c>
      <c r="D1522" s="158" t="str">
        <f>VLOOKUP(C1522,DMSP!$A$1:$C$39,2,0)</f>
        <v>7.KHÁC</v>
      </c>
      <c r="E1522" s="159" t="str">
        <f>VLOOKUP(C1522,DMSP!$A$1:$C$39,3,0)</f>
        <v>VỌT HOA NHÃN</v>
      </c>
      <c r="F1522" s="160">
        <f t="shared" si="155"/>
        <v>0</v>
      </c>
      <c r="G1522" s="176"/>
      <c r="H1522" s="176"/>
      <c r="I1522" s="176"/>
      <c r="J1522" s="176"/>
      <c r="K1522" s="176"/>
      <c r="L1522" s="176"/>
      <c r="M1522" s="176"/>
      <c r="N1522" s="176"/>
      <c r="O1522" s="176"/>
      <c r="P1522" s="176"/>
      <c r="Q1522" s="176"/>
      <c r="R1522" s="176"/>
      <c r="S1522" s="162">
        <f t="shared" si="158"/>
        <v>0</v>
      </c>
      <c r="T1522" s="167"/>
    </row>
    <row r="1523" customHeight="1" spans="2:20">
      <c r="B1523" s="166"/>
      <c r="C1523" s="164">
        <f t="shared" si="157"/>
        <v>36</v>
      </c>
      <c r="D1523" s="158" t="str">
        <f>VLOOKUP(C1523,DMSP!$A$1:$C$39,2,0)</f>
        <v>7.KHÁC</v>
      </c>
      <c r="E1523" s="159" t="str">
        <f>VLOOKUP(C1523,DMSP!$A$1:$C$39,3,0)</f>
        <v>VỌT HOA XOÀI</v>
      </c>
      <c r="F1523" s="160">
        <f t="shared" si="155"/>
        <v>0</v>
      </c>
      <c r="G1523" s="176"/>
      <c r="H1523" s="176"/>
      <c r="I1523" s="176"/>
      <c r="J1523" s="176"/>
      <c r="K1523" s="176"/>
      <c r="L1523" s="176"/>
      <c r="M1523" s="176"/>
      <c r="N1523" s="176"/>
      <c r="O1523" s="176"/>
      <c r="P1523" s="176"/>
      <c r="Q1523" s="176"/>
      <c r="R1523" s="176"/>
      <c r="S1523" s="162">
        <f t="shared" si="158"/>
        <v>0</v>
      </c>
      <c r="T1523" s="167"/>
    </row>
    <row r="1524" customHeight="1" spans="2:20">
      <c r="B1524" s="166"/>
      <c r="C1524" s="164">
        <f t="shared" si="157"/>
        <v>37</v>
      </c>
      <c r="D1524" s="158" t="str">
        <f>VLOOKUP(C1524,DMSP!$A$1:$C$39,2,0)</f>
        <v>7.KHÁC</v>
      </c>
      <c r="E1524" s="159" t="str">
        <f>VLOOKUP(C1524,DMSP!$A$1:$C$39,3,0)</f>
        <v>VỌT HOA XOÀI</v>
      </c>
      <c r="F1524" s="160">
        <f t="shared" si="155"/>
        <v>0</v>
      </c>
      <c r="G1524" s="176"/>
      <c r="H1524" s="176"/>
      <c r="I1524" s="176"/>
      <c r="J1524" s="176"/>
      <c r="K1524" s="176"/>
      <c r="L1524" s="176"/>
      <c r="M1524" s="176"/>
      <c r="N1524" s="176"/>
      <c r="O1524" s="176"/>
      <c r="P1524" s="176"/>
      <c r="Q1524" s="176"/>
      <c r="R1524" s="176"/>
      <c r="S1524" s="162">
        <f t="shared" si="158"/>
        <v>0</v>
      </c>
      <c r="T1524" s="167"/>
    </row>
    <row r="1525" customHeight="1" spans="2:20">
      <c r="B1525" s="92"/>
      <c r="C1525" s="170">
        <f>B1488</f>
        <v>0</v>
      </c>
      <c r="D1525" s="171"/>
      <c r="E1525" s="172" t="str">
        <f>"TOTAL "&amp;B1488</f>
        <v>TOTAL </v>
      </c>
      <c r="F1525" s="173">
        <f t="shared" si="155"/>
        <v>0</v>
      </c>
      <c r="G1525" s="174">
        <f>SUM(G1488:G1524)</f>
        <v>0</v>
      </c>
      <c r="H1525" s="174">
        <f t="shared" ref="H1525:R1525" si="159">SUM(H1488:H1524)</f>
        <v>0</v>
      </c>
      <c r="I1525" s="174">
        <f t="shared" si="159"/>
        <v>0</v>
      </c>
      <c r="J1525" s="174">
        <f t="shared" si="159"/>
        <v>0</v>
      </c>
      <c r="K1525" s="174">
        <f t="shared" si="159"/>
        <v>0</v>
      </c>
      <c r="L1525" s="174">
        <f t="shared" si="159"/>
        <v>0</v>
      </c>
      <c r="M1525" s="174">
        <f t="shared" si="159"/>
        <v>0</v>
      </c>
      <c r="N1525" s="174">
        <f t="shared" si="159"/>
        <v>0</v>
      </c>
      <c r="O1525" s="174">
        <f t="shared" si="159"/>
        <v>0</v>
      </c>
      <c r="P1525" s="174">
        <f t="shared" si="159"/>
        <v>0</v>
      </c>
      <c r="Q1525" s="174">
        <f t="shared" si="159"/>
        <v>0</v>
      </c>
      <c r="R1525" s="174">
        <f t="shared" si="159"/>
        <v>0</v>
      </c>
      <c r="S1525" s="174">
        <f t="shared" si="158"/>
        <v>0</v>
      </c>
      <c r="T1525" s="175"/>
    </row>
    <row r="1526" customHeight="1" spans="2:20">
      <c r="B1526" s="156"/>
      <c r="C1526" s="157">
        <v>1</v>
      </c>
      <c r="D1526" s="158" t="str">
        <f>VLOOKUP(C1526,DMSP!$A$1:$C$39,2,0)</f>
        <v>1.TOBA XANH</v>
      </c>
      <c r="E1526" s="159" t="str">
        <f>VLOOKUP(C1526,DMSP!$A$1:$C$39,3,0)</f>
        <v>TOBA XANH</v>
      </c>
      <c r="F1526" s="160">
        <f t="shared" si="155"/>
        <v>0</v>
      </c>
      <c r="G1526" s="176"/>
      <c r="H1526" s="176"/>
      <c r="I1526" s="176"/>
      <c r="J1526" s="176"/>
      <c r="K1526" s="176"/>
      <c r="L1526" s="176"/>
      <c r="M1526" s="176"/>
      <c r="N1526" s="176"/>
      <c r="O1526" s="176"/>
      <c r="P1526" s="176"/>
      <c r="Q1526" s="176"/>
      <c r="R1526" s="176"/>
      <c r="S1526" s="162">
        <f t="shared" si="158"/>
        <v>0</v>
      </c>
      <c r="T1526" s="163">
        <f>S1563</f>
        <v>0</v>
      </c>
    </row>
    <row r="1527" customHeight="1" spans="2:20">
      <c r="B1527" s="166"/>
      <c r="C1527" s="164">
        <f t="shared" ref="C1527:C1590" si="160">C1526+1</f>
        <v>2</v>
      </c>
      <c r="D1527" s="158" t="str">
        <f>VLOOKUP(C1527,DMSP!$A$1:$C$39,2,0)</f>
        <v>2.HC</v>
      </c>
      <c r="E1527" s="159" t="str">
        <f>VLOOKUP(C1527,DMSP!$A$1:$C$39,3,0)</f>
        <v>HC BOOSTER</v>
      </c>
      <c r="F1527" s="160">
        <f t="shared" si="155"/>
        <v>0</v>
      </c>
      <c r="G1527" s="176"/>
      <c r="H1527" s="176"/>
      <c r="I1527" s="176"/>
      <c r="J1527" s="176"/>
      <c r="K1527" s="176"/>
      <c r="L1527" s="176"/>
      <c r="M1527" s="176"/>
      <c r="N1527" s="176"/>
      <c r="O1527" s="176"/>
      <c r="P1527" s="176"/>
      <c r="Q1527" s="176"/>
      <c r="R1527" s="176"/>
      <c r="S1527" s="162">
        <f t="shared" ref="S1527:S1564" si="161">SUM(G1527:R1527)</f>
        <v>0</v>
      </c>
      <c r="T1527" s="167"/>
    </row>
    <row r="1528" customHeight="1" spans="2:20">
      <c r="B1528" s="166"/>
      <c r="C1528" s="164">
        <f t="shared" si="160"/>
        <v>3</v>
      </c>
      <c r="D1528" s="158" t="str">
        <f>VLOOKUP(C1528,DMSP!$A$1:$C$39,2,0)</f>
        <v>2.HC</v>
      </c>
      <c r="E1528" s="159" t="str">
        <f>VLOOKUP(C1528,DMSP!$A$1:$C$39,3,0)</f>
        <v>HC KING-ROOT</v>
      </c>
      <c r="F1528" s="160">
        <f t="shared" si="155"/>
        <v>0</v>
      </c>
      <c r="G1528" s="176"/>
      <c r="H1528" s="176"/>
      <c r="I1528" s="176"/>
      <c r="J1528" s="176"/>
      <c r="K1528" s="176"/>
      <c r="L1528" s="176"/>
      <c r="M1528" s="176"/>
      <c r="N1528" s="176"/>
      <c r="O1528" s="176"/>
      <c r="P1528" s="176"/>
      <c r="Q1528" s="176"/>
      <c r="R1528" s="176"/>
      <c r="S1528" s="162">
        <f t="shared" si="161"/>
        <v>0</v>
      </c>
      <c r="T1528" s="167"/>
    </row>
    <row r="1529" customHeight="1" spans="2:20">
      <c r="B1529" s="166"/>
      <c r="C1529" s="164">
        <f t="shared" si="160"/>
        <v>4</v>
      </c>
      <c r="D1529" s="158" t="str">
        <f>VLOOKUP(C1529,DMSP!$A$1:$C$39,2,0)</f>
        <v>2.HC</v>
      </c>
      <c r="E1529" s="159" t="str">
        <f>VLOOKUP(C1529,DMSP!$A$1:$C$39,3,0)</f>
        <v>HAPPY FARM</v>
      </c>
      <c r="F1529" s="160">
        <f t="shared" si="155"/>
        <v>0</v>
      </c>
      <c r="G1529" s="176"/>
      <c r="H1529" s="176"/>
      <c r="I1529" s="176"/>
      <c r="J1529" s="176"/>
      <c r="K1529" s="176"/>
      <c r="L1529" s="176"/>
      <c r="M1529" s="176"/>
      <c r="N1529" s="176"/>
      <c r="O1529" s="176"/>
      <c r="P1529" s="176"/>
      <c r="Q1529" s="176"/>
      <c r="R1529" s="176"/>
      <c r="S1529" s="162">
        <f t="shared" si="161"/>
        <v>0</v>
      </c>
      <c r="T1529" s="167"/>
    </row>
    <row r="1530" customHeight="1" spans="2:20">
      <c r="B1530" s="166"/>
      <c r="C1530" s="164">
        <f t="shared" si="160"/>
        <v>5</v>
      </c>
      <c r="D1530" s="158" t="str">
        <f>VLOOKUP(C1530,DMSP!$A$1:$C$39,2,0)</f>
        <v>2.HC</v>
      </c>
      <c r="E1530" s="159" t="str">
        <f>VLOOKUP(C1530,DMSP!$A$1:$C$39,3,0)</f>
        <v>WOW</v>
      </c>
      <c r="F1530" s="160">
        <f t="shared" si="155"/>
        <v>0</v>
      </c>
      <c r="G1530" s="176"/>
      <c r="H1530" s="176"/>
      <c r="I1530" s="176"/>
      <c r="J1530" s="176"/>
      <c r="K1530" s="176"/>
      <c r="L1530" s="176"/>
      <c r="M1530" s="176"/>
      <c r="N1530" s="176"/>
      <c r="O1530" s="176"/>
      <c r="P1530" s="176"/>
      <c r="Q1530" s="176"/>
      <c r="R1530" s="176"/>
      <c r="S1530" s="162">
        <f t="shared" si="161"/>
        <v>0</v>
      </c>
      <c r="T1530" s="167"/>
    </row>
    <row r="1531" customHeight="1" spans="2:20">
      <c r="B1531" s="166"/>
      <c r="C1531" s="164">
        <f t="shared" si="160"/>
        <v>6</v>
      </c>
      <c r="D1531" s="158" t="str">
        <f>VLOOKUP(C1531,DMSP!$A$1:$C$39,2,0)</f>
        <v>3.SPRAY </v>
      </c>
      <c r="E1531" s="159" t="str">
        <f>VLOOKUP(C1531,DMSP!$A$1:$C$39,3,0)</f>
        <v>KELPIT</v>
      </c>
      <c r="F1531" s="160">
        <f t="shared" si="155"/>
        <v>0</v>
      </c>
      <c r="G1531" s="176"/>
      <c r="H1531" s="176"/>
      <c r="I1531" s="176"/>
      <c r="J1531" s="176"/>
      <c r="K1531" s="176"/>
      <c r="L1531" s="176"/>
      <c r="M1531" s="176"/>
      <c r="N1531" s="176"/>
      <c r="O1531" s="176"/>
      <c r="P1531" s="176"/>
      <c r="Q1531" s="176"/>
      <c r="R1531" s="176"/>
      <c r="S1531" s="162">
        <f t="shared" si="161"/>
        <v>0</v>
      </c>
      <c r="T1531" s="167"/>
    </row>
    <row r="1532" customHeight="1" spans="2:20">
      <c r="B1532" s="166"/>
      <c r="C1532" s="164">
        <f t="shared" si="160"/>
        <v>7</v>
      </c>
      <c r="D1532" s="158" t="str">
        <f>VLOOKUP(C1532,DMSP!$A$1:$C$39,2,0)</f>
        <v>3.SPRAY </v>
      </c>
      <c r="E1532" s="159" t="str">
        <f>VLOOKUP(C1532,DMSP!$A$1:$C$39,3,0)</f>
        <v>SI-K</v>
      </c>
      <c r="F1532" s="160">
        <f t="shared" si="155"/>
        <v>0</v>
      </c>
      <c r="G1532" s="176"/>
      <c r="H1532" s="176"/>
      <c r="I1532" s="176"/>
      <c r="J1532" s="176"/>
      <c r="K1532" s="176"/>
      <c r="L1532" s="176"/>
      <c r="M1532" s="176"/>
      <c r="N1532" s="176"/>
      <c r="O1532" s="176"/>
      <c r="P1532" s="176"/>
      <c r="Q1532" s="176"/>
      <c r="R1532" s="176"/>
      <c r="S1532" s="162">
        <f t="shared" si="161"/>
        <v>0</v>
      </c>
      <c r="T1532" s="167"/>
    </row>
    <row r="1533" customHeight="1" spans="2:20">
      <c r="B1533" s="166"/>
      <c r="C1533" s="164">
        <f t="shared" si="160"/>
        <v>8</v>
      </c>
      <c r="D1533" s="158" t="str">
        <f>VLOOKUP(C1533,DMSP!$A$1:$C$39,2,0)</f>
        <v>3.SPRAY </v>
      </c>
      <c r="E1533" s="159" t="str">
        <f>VLOOKUP(C1533,DMSP!$A$1:$C$39,3,0)</f>
        <v>SPRAY PHOS 620</v>
      </c>
      <c r="F1533" s="160">
        <f t="shared" si="155"/>
        <v>0</v>
      </c>
      <c r="G1533" s="176"/>
      <c r="H1533" s="176"/>
      <c r="I1533" s="176"/>
      <c r="J1533" s="176"/>
      <c r="K1533" s="176"/>
      <c r="L1533" s="176"/>
      <c r="M1533" s="176"/>
      <c r="N1533" s="176"/>
      <c r="O1533" s="176"/>
      <c r="P1533" s="176"/>
      <c r="Q1533" s="176"/>
      <c r="R1533" s="176"/>
      <c r="S1533" s="162">
        <f t="shared" si="161"/>
        <v>0</v>
      </c>
      <c r="T1533" s="167"/>
    </row>
    <row r="1534" customHeight="1" spans="2:20">
      <c r="B1534" s="166"/>
      <c r="C1534" s="164">
        <f t="shared" si="160"/>
        <v>9</v>
      </c>
      <c r="D1534" s="158" t="str">
        <f>VLOOKUP(C1534,DMSP!$A$1:$C$39,2,0)</f>
        <v>4.DƯỠNG RỄ</v>
      </c>
      <c r="E1534" s="159" t="str">
        <f>VLOOKUP(C1534,DMSP!$A$1:$C$39,3,0)</f>
        <v>CHITOSAN</v>
      </c>
      <c r="F1534" s="160">
        <f t="shared" si="155"/>
        <v>0</v>
      </c>
      <c r="G1534" s="176"/>
      <c r="H1534" s="176"/>
      <c r="I1534" s="176"/>
      <c r="J1534" s="176"/>
      <c r="K1534" s="176"/>
      <c r="L1534" s="176"/>
      <c r="M1534" s="176"/>
      <c r="N1534" s="176"/>
      <c r="O1534" s="176"/>
      <c r="P1534" s="176"/>
      <c r="Q1534" s="176"/>
      <c r="R1534" s="176"/>
      <c r="S1534" s="162">
        <f t="shared" si="161"/>
        <v>0</v>
      </c>
      <c r="T1534" s="167"/>
    </row>
    <row r="1535" customHeight="1" spans="2:20">
      <c r="B1535" s="166"/>
      <c r="C1535" s="164">
        <f t="shared" si="160"/>
        <v>10</v>
      </c>
      <c r="D1535" s="158" t="str">
        <f>VLOOKUP(C1535,DMSP!$A$1:$C$39,2,0)</f>
        <v>4.DƯỠNG RỄ</v>
      </c>
      <c r="E1535" s="159" t="str">
        <f>VLOOKUP(C1535,DMSP!$A$1:$C$39,3,0)</f>
        <v>ĐẠM CÁ</v>
      </c>
      <c r="F1535" s="160">
        <f t="shared" si="155"/>
        <v>0</v>
      </c>
      <c r="G1535" s="176"/>
      <c r="H1535" s="176"/>
      <c r="I1535" s="176"/>
      <c r="J1535" s="176"/>
      <c r="K1535" s="176"/>
      <c r="L1535" s="176"/>
      <c r="M1535" s="176"/>
      <c r="N1535" s="176"/>
      <c r="O1535" s="176"/>
      <c r="P1535" s="176"/>
      <c r="Q1535" s="176"/>
      <c r="R1535" s="176"/>
      <c r="S1535" s="162">
        <f t="shared" si="161"/>
        <v>0</v>
      </c>
      <c r="T1535" s="167"/>
    </row>
    <row r="1536" customHeight="1" spans="2:20">
      <c r="B1536" s="166"/>
      <c r="C1536" s="164">
        <f t="shared" si="160"/>
        <v>11</v>
      </c>
      <c r="D1536" s="158" t="str">
        <f>VLOOKUP(C1536,DMSP!$A$1:$C$39,2,0)</f>
        <v>4.DƯỠNG RỄ</v>
      </c>
      <c r="E1536" s="159" t="str">
        <f>VLOOKUP(C1536,DMSP!$A$1:$C$39,3,0)</f>
        <v>ĐẠM TÔM</v>
      </c>
      <c r="F1536" s="160">
        <f t="shared" si="155"/>
        <v>0</v>
      </c>
      <c r="G1536" s="176"/>
      <c r="H1536" s="176"/>
      <c r="I1536" s="176"/>
      <c r="J1536" s="176"/>
      <c r="K1536" s="176"/>
      <c r="L1536" s="176"/>
      <c r="M1536" s="176"/>
      <c r="N1536" s="176"/>
      <c r="O1536" s="176"/>
      <c r="P1536" s="176"/>
      <c r="Q1536" s="176"/>
      <c r="R1536" s="176"/>
      <c r="S1536" s="162">
        <f t="shared" si="161"/>
        <v>0</v>
      </c>
      <c r="T1536" s="167"/>
    </row>
    <row r="1537" customHeight="1" spans="2:20">
      <c r="B1537" s="166"/>
      <c r="C1537" s="164">
        <f t="shared" si="160"/>
        <v>12</v>
      </c>
      <c r="D1537" s="158" t="str">
        <f>VLOOKUP(C1537,DMSP!$A$1:$C$39,2,0)</f>
        <v>4.DƯỠNG RỄ</v>
      </c>
      <c r="E1537" s="159" t="str">
        <f>VLOOKUP(C1537,DMSP!$A$1:$C$39,3,0)</f>
        <v>SUPERMIC</v>
      </c>
      <c r="F1537" s="160">
        <f t="shared" si="155"/>
        <v>0</v>
      </c>
      <c r="G1537" s="176"/>
      <c r="H1537" s="176"/>
      <c r="I1537" s="176"/>
      <c r="J1537" s="176"/>
      <c r="K1537" s="176"/>
      <c r="L1537" s="176"/>
      <c r="M1537" s="176"/>
      <c r="N1537" s="176"/>
      <c r="O1537" s="176"/>
      <c r="P1537" s="176"/>
      <c r="Q1537" s="176"/>
      <c r="R1537" s="176"/>
      <c r="S1537" s="162">
        <f t="shared" si="161"/>
        <v>0</v>
      </c>
      <c r="T1537" s="167"/>
    </row>
    <row r="1538" customHeight="1" spans="2:20">
      <c r="B1538" s="166"/>
      <c r="C1538" s="164">
        <f t="shared" si="160"/>
        <v>13</v>
      </c>
      <c r="D1538" s="158" t="str">
        <f>VLOOKUP(C1538,DMSP!$A$1:$C$39,2,0)</f>
        <v>5.TRUYỀN THỐNG</v>
      </c>
      <c r="E1538" s="159" t="str">
        <f>VLOOKUP(C1538,DMSP!$A$1:$C$39,3,0)</f>
        <v>CABO</v>
      </c>
      <c r="F1538" s="160">
        <f t="shared" si="155"/>
        <v>0</v>
      </c>
      <c r="G1538" s="176"/>
      <c r="H1538" s="176"/>
      <c r="I1538" s="176"/>
      <c r="J1538" s="176"/>
      <c r="K1538" s="176"/>
      <c r="L1538" s="176"/>
      <c r="M1538" s="176"/>
      <c r="N1538" s="176"/>
      <c r="O1538" s="176"/>
      <c r="P1538" s="176"/>
      <c r="Q1538" s="176"/>
      <c r="R1538" s="176"/>
      <c r="S1538" s="162">
        <f t="shared" si="161"/>
        <v>0</v>
      </c>
      <c r="T1538" s="167"/>
    </row>
    <row r="1539" customHeight="1" spans="2:20">
      <c r="B1539" s="166"/>
      <c r="C1539" s="164">
        <f t="shared" si="160"/>
        <v>14</v>
      </c>
      <c r="D1539" s="158" t="str">
        <f>VLOOKUP(C1539,DMSP!$A$1:$C$39,2,0)</f>
        <v>5.TRUYỀN THỐNG</v>
      </c>
      <c r="E1539" s="159" t="str">
        <f>VLOOKUP(C1539,DMSP!$A$1:$C$39,3,0)</f>
        <v>F94</v>
      </c>
      <c r="F1539" s="160">
        <f t="shared" si="155"/>
        <v>0</v>
      </c>
      <c r="G1539" s="176"/>
      <c r="H1539" s="176"/>
      <c r="I1539" s="176"/>
      <c r="J1539" s="176"/>
      <c r="K1539" s="176"/>
      <c r="L1539" s="176"/>
      <c r="M1539" s="176"/>
      <c r="N1539" s="176"/>
      <c r="O1539" s="176"/>
      <c r="P1539" s="176"/>
      <c r="Q1539" s="176"/>
      <c r="R1539" s="176"/>
      <c r="S1539" s="162">
        <f t="shared" si="161"/>
        <v>0</v>
      </c>
      <c r="T1539" s="167"/>
    </row>
    <row r="1540" customHeight="1" spans="2:20">
      <c r="B1540" s="166"/>
      <c r="C1540" s="164">
        <f t="shared" si="160"/>
        <v>15</v>
      </c>
      <c r="D1540" s="158" t="str">
        <f>VLOOKUP(C1540,DMSP!$A$1:$C$39,2,0)</f>
        <v>5.TRUYỀN THỐNG</v>
      </c>
      <c r="E1540" s="159" t="str">
        <f>VLOOKUP(C1540,DMSP!$A$1:$C$39,3,0)</f>
        <v>F95</v>
      </c>
      <c r="F1540" s="160">
        <f t="shared" si="155"/>
        <v>0</v>
      </c>
      <c r="G1540" s="176"/>
      <c r="H1540" s="176"/>
      <c r="I1540" s="176"/>
      <c r="J1540" s="176"/>
      <c r="K1540" s="176"/>
      <c r="L1540" s="176"/>
      <c r="M1540" s="176"/>
      <c r="N1540" s="176"/>
      <c r="O1540" s="176"/>
      <c r="P1540" s="176"/>
      <c r="Q1540" s="176"/>
      <c r="R1540" s="176"/>
      <c r="S1540" s="162">
        <f t="shared" si="161"/>
        <v>0</v>
      </c>
      <c r="T1540" s="167"/>
    </row>
    <row r="1541" customHeight="1" spans="2:20">
      <c r="B1541" s="166"/>
      <c r="C1541" s="164">
        <f t="shared" si="160"/>
        <v>16</v>
      </c>
      <c r="D1541" s="158" t="str">
        <f>VLOOKUP(C1541,DMSP!$A$1:$C$39,2,0)</f>
        <v>5.TRUYỀN THỐNG</v>
      </c>
      <c r="E1541" s="159" t="str">
        <f>VLOOKUP(C1541,DMSP!$A$1:$C$39,3,0)</f>
        <v>THIOURE</v>
      </c>
      <c r="F1541" s="160">
        <f t="shared" si="155"/>
        <v>0</v>
      </c>
      <c r="G1541" s="176"/>
      <c r="H1541" s="176"/>
      <c r="I1541" s="176"/>
      <c r="J1541" s="176"/>
      <c r="K1541" s="176"/>
      <c r="L1541" s="176"/>
      <c r="M1541" s="176"/>
      <c r="N1541" s="176"/>
      <c r="O1541" s="176"/>
      <c r="P1541" s="176"/>
      <c r="Q1541" s="176"/>
      <c r="R1541" s="176"/>
      <c r="S1541" s="162">
        <f t="shared" si="161"/>
        <v>0</v>
      </c>
      <c r="T1541" s="167"/>
    </row>
    <row r="1542" customHeight="1" spans="2:20">
      <c r="B1542" s="166"/>
      <c r="C1542" s="164">
        <f t="shared" si="160"/>
        <v>17</v>
      </c>
      <c r="D1542" s="158" t="str">
        <f>VLOOKUP(C1542,DMSP!$A$1:$C$39,2,0)</f>
        <v>5.TRUYỀN THỐNG</v>
      </c>
      <c r="E1542" s="159" t="str">
        <f>VLOOKUP(C1542,DMSP!$A$1:$C$39,3,0)</f>
        <v>TOBA JUM</v>
      </c>
      <c r="F1542" s="160">
        <f t="shared" si="155"/>
        <v>0</v>
      </c>
      <c r="G1542" s="176"/>
      <c r="H1542" s="176"/>
      <c r="I1542" s="176"/>
      <c r="J1542" s="176"/>
      <c r="K1542" s="176"/>
      <c r="L1542" s="176"/>
      <c r="M1542" s="176"/>
      <c r="N1542" s="176"/>
      <c r="O1542" s="176"/>
      <c r="P1542" s="176"/>
      <c r="Q1542" s="176"/>
      <c r="R1542" s="176"/>
      <c r="S1542" s="162">
        <f t="shared" si="161"/>
        <v>0</v>
      </c>
      <c r="T1542" s="167"/>
    </row>
    <row r="1543" customHeight="1" spans="2:20">
      <c r="B1543" s="166"/>
      <c r="C1543" s="164">
        <f t="shared" si="160"/>
        <v>18</v>
      </c>
      <c r="D1543" s="158" t="str">
        <f>VLOOKUP(C1543,DMSP!$A$1:$C$39,2,0)</f>
        <v>5.TRUYỀN THỐNG</v>
      </c>
      <c r="E1543" s="159" t="str">
        <f>VLOOKUP(C1543,DMSP!$A$1:$C$39,3,0)</f>
        <v>TOBA NET</v>
      </c>
      <c r="F1543" s="160">
        <f t="shared" ref="F1543:F1606" si="162">S1543</f>
        <v>0</v>
      </c>
      <c r="G1543" s="176"/>
      <c r="H1543" s="176"/>
      <c r="I1543" s="176"/>
      <c r="J1543" s="176"/>
      <c r="K1543" s="176"/>
      <c r="L1543" s="176"/>
      <c r="M1543" s="176"/>
      <c r="N1543" s="176"/>
      <c r="O1543" s="176"/>
      <c r="P1543" s="176"/>
      <c r="Q1543" s="176"/>
      <c r="R1543" s="176"/>
      <c r="S1543" s="162">
        <f t="shared" si="161"/>
        <v>0</v>
      </c>
      <c r="T1543" s="167"/>
    </row>
    <row r="1544" customHeight="1" spans="2:20">
      <c r="B1544" s="166"/>
      <c r="C1544" s="164">
        <f t="shared" si="160"/>
        <v>19</v>
      </c>
      <c r="D1544" s="158" t="str">
        <f>VLOOKUP(C1544,DMSP!$A$1:$C$39,2,0)</f>
        <v>6.BVTV</v>
      </c>
      <c r="E1544" s="159" t="str">
        <f>VLOOKUP(C1544,DMSP!$A$1:$C$39,3,0)</f>
        <v>ABAFAX 1.8</v>
      </c>
      <c r="F1544" s="160">
        <f t="shared" si="162"/>
        <v>0</v>
      </c>
      <c r="G1544" s="176"/>
      <c r="H1544" s="176"/>
      <c r="I1544" s="176"/>
      <c r="J1544" s="176"/>
      <c r="K1544" s="176"/>
      <c r="L1544" s="176"/>
      <c r="M1544" s="176"/>
      <c r="N1544" s="176"/>
      <c r="O1544" s="176"/>
      <c r="P1544" s="176"/>
      <c r="Q1544" s="176"/>
      <c r="R1544" s="176"/>
      <c r="S1544" s="162">
        <f t="shared" si="161"/>
        <v>0</v>
      </c>
      <c r="T1544" s="167"/>
    </row>
    <row r="1545" customHeight="1" spans="2:20">
      <c r="B1545" s="166"/>
      <c r="C1545" s="164">
        <f t="shared" si="160"/>
        <v>20</v>
      </c>
      <c r="D1545" s="158" t="str">
        <f>VLOOKUP(C1545,DMSP!$A$1:$C$39,2,0)</f>
        <v>6.BVTV</v>
      </c>
      <c r="E1545" s="159" t="str">
        <f>VLOOKUP(C1545,DMSP!$A$1:$C$39,3,0)</f>
        <v>ABAFAX 3.6</v>
      </c>
      <c r="F1545" s="160">
        <f t="shared" si="162"/>
        <v>0</v>
      </c>
      <c r="G1545" s="176"/>
      <c r="H1545" s="176"/>
      <c r="I1545" s="176"/>
      <c r="J1545" s="176"/>
      <c r="K1545" s="176"/>
      <c r="L1545" s="176"/>
      <c r="M1545" s="176"/>
      <c r="N1545" s="176"/>
      <c r="O1545" s="176"/>
      <c r="P1545" s="176"/>
      <c r="Q1545" s="176"/>
      <c r="R1545" s="176"/>
      <c r="S1545" s="162">
        <f t="shared" si="161"/>
        <v>0</v>
      </c>
      <c r="T1545" s="167"/>
    </row>
    <row r="1546" customHeight="1" spans="2:20">
      <c r="B1546" s="166"/>
      <c r="C1546" s="164">
        <f t="shared" si="160"/>
        <v>21</v>
      </c>
      <c r="D1546" s="158" t="str">
        <f>VLOOKUP(C1546,DMSP!$A$1:$C$39,2,0)</f>
        <v>6.BVTV</v>
      </c>
      <c r="E1546" s="159" t="str">
        <f>VLOOKUP(C1546,DMSP!$A$1:$C$39,3,0)</f>
        <v>AZET</v>
      </c>
      <c r="F1546" s="160">
        <f t="shared" si="162"/>
        <v>0</v>
      </c>
      <c r="G1546" s="176"/>
      <c r="H1546" s="176"/>
      <c r="I1546" s="176"/>
      <c r="J1546" s="176"/>
      <c r="K1546" s="176"/>
      <c r="L1546" s="176"/>
      <c r="M1546" s="176"/>
      <c r="N1546" s="176"/>
      <c r="O1546" s="176"/>
      <c r="P1546" s="176"/>
      <c r="Q1546" s="176"/>
      <c r="R1546" s="176"/>
      <c r="S1546" s="162">
        <f t="shared" si="161"/>
        <v>0</v>
      </c>
      <c r="T1546" s="167"/>
    </row>
    <row r="1547" customHeight="1" spans="2:20">
      <c r="B1547" s="166"/>
      <c r="C1547" s="164">
        <f t="shared" si="160"/>
        <v>22</v>
      </c>
      <c r="D1547" s="158" t="str">
        <f>VLOOKUP(C1547,DMSP!$A$1:$C$39,2,0)</f>
        <v>6.BVTV</v>
      </c>
      <c r="E1547" s="159" t="str">
        <f>VLOOKUP(C1547,DMSP!$A$1:$C$39,3,0)</f>
        <v>BACBA</v>
      </c>
      <c r="F1547" s="160">
        <f t="shared" si="162"/>
        <v>0</v>
      </c>
      <c r="G1547" s="176"/>
      <c r="H1547" s="176"/>
      <c r="I1547" s="176"/>
      <c r="J1547" s="176"/>
      <c r="K1547" s="176"/>
      <c r="L1547" s="176"/>
      <c r="M1547" s="176"/>
      <c r="N1547" s="176"/>
      <c r="O1547" s="176"/>
      <c r="P1547" s="176"/>
      <c r="Q1547" s="176"/>
      <c r="R1547" s="176"/>
      <c r="S1547" s="162">
        <f t="shared" si="161"/>
        <v>0</v>
      </c>
      <c r="T1547" s="167"/>
    </row>
    <row r="1548" customHeight="1" spans="2:20">
      <c r="B1548" s="166"/>
      <c r="C1548" s="164">
        <f t="shared" si="160"/>
        <v>23</v>
      </c>
      <c r="D1548" s="158" t="str">
        <f>VLOOKUP(C1548,DMSP!$A$1:$C$39,2,0)</f>
        <v>6.BVTV</v>
      </c>
      <c r="E1548" s="159" t="str">
        <f>VLOOKUP(C1548,DMSP!$A$1:$C$39,3,0)</f>
        <v>BIOROSAMIL</v>
      </c>
      <c r="F1548" s="160">
        <f t="shared" si="162"/>
        <v>0</v>
      </c>
      <c r="G1548" s="176"/>
      <c r="H1548" s="176"/>
      <c r="I1548" s="176"/>
      <c r="J1548" s="176"/>
      <c r="K1548" s="176"/>
      <c r="L1548" s="176"/>
      <c r="M1548" s="176"/>
      <c r="N1548" s="176"/>
      <c r="O1548" s="176"/>
      <c r="P1548" s="176"/>
      <c r="Q1548" s="176"/>
      <c r="R1548" s="176"/>
      <c r="S1548" s="162">
        <f t="shared" si="161"/>
        <v>0</v>
      </c>
      <c r="T1548" s="167"/>
    </row>
    <row r="1549" customHeight="1" spans="2:20">
      <c r="B1549" s="166"/>
      <c r="C1549" s="164">
        <f t="shared" si="160"/>
        <v>24</v>
      </c>
      <c r="D1549" s="158" t="str">
        <f>VLOOKUP(C1549,DMSP!$A$1:$C$39,2,0)</f>
        <v>6.BVTV</v>
      </c>
      <c r="E1549" s="159" t="str">
        <f>VLOOKUP(C1549,DMSP!$A$1:$C$39,3,0)</f>
        <v>COC 86</v>
      </c>
      <c r="F1549" s="160">
        <f t="shared" si="162"/>
        <v>0</v>
      </c>
      <c r="G1549" s="176"/>
      <c r="H1549" s="176"/>
      <c r="I1549" s="176"/>
      <c r="J1549" s="176"/>
      <c r="K1549" s="176"/>
      <c r="L1549" s="176"/>
      <c r="M1549" s="176"/>
      <c r="N1549" s="176"/>
      <c r="O1549" s="176"/>
      <c r="P1549" s="176"/>
      <c r="Q1549" s="176"/>
      <c r="R1549" s="176"/>
      <c r="S1549" s="162">
        <f t="shared" si="161"/>
        <v>0</v>
      </c>
      <c r="T1549" s="167"/>
    </row>
    <row r="1550" customHeight="1" spans="2:20">
      <c r="B1550" s="166"/>
      <c r="C1550" s="164">
        <f t="shared" si="160"/>
        <v>25</v>
      </c>
      <c r="D1550" s="158" t="str">
        <f>VLOOKUP(C1550,DMSP!$A$1:$C$39,2,0)</f>
        <v>6.BVTV</v>
      </c>
      <c r="E1550" s="159" t="str">
        <f>VLOOKUP(C1550,DMSP!$A$1:$C$39,3,0)</f>
        <v>HEXA 5</v>
      </c>
      <c r="F1550" s="160">
        <f t="shared" si="162"/>
        <v>0</v>
      </c>
      <c r="G1550" s="176"/>
      <c r="H1550" s="176"/>
      <c r="I1550" s="176"/>
      <c r="J1550" s="176"/>
      <c r="K1550" s="176"/>
      <c r="L1550" s="176"/>
      <c r="M1550" s="176"/>
      <c r="N1550" s="176"/>
      <c r="O1550" s="176"/>
      <c r="P1550" s="176"/>
      <c r="Q1550" s="176"/>
      <c r="R1550" s="176"/>
      <c r="S1550" s="162">
        <f t="shared" si="161"/>
        <v>0</v>
      </c>
      <c r="T1550" s="167"/>
    </row>
    <row r="1551" customHeight="1" spans="2:20">
      <c r="B1551" s="166"/>
      <c r="C1551" s="164">
        <f t="shared" si="160"/>
        <v>26</v>
      </c>
      <c r="D1551" s="158" t="str">
        <f>VLOOKUP(C1551,DMSP!$A$1:$C$39,2,0)</f>
        <v>6.BVTV</v>
      </c>
      <c r="E1551" s="159" t="str">
        <f>VLOOKUP(C1551,DMSP!$A$1:$C$39,3,0)</f>
        <v>TAMALA</v>
      </c>
      <c r="F1551" s="160">
        <f t="shared" si="162"/>
        <v>0</v>
      </c>
      <c r="G1551" s="176"/>
      <c r="H1551" s="176"/>
      <c r="I1551" s="176"/>
      <c r="J1551" s="176"/>
      <c r="K1551" s="176"/>
      <c r="L1551" s="176"/>
      <c r="M1551" s="176"/>
      <c r="N1551" s="176"/>
      <c r="O1551" s="176"/>
      <c r="P1551" s="176"/>
      <c r="Q1551" s="176"/>
      <c r="R1551" s="176"/>
      <c r="S1551" s="162">
        <f t="shared" si="161"/>
        <v>0</v>
      </c>
      <c r="T1551" s="167"/>
    </row>
    <row r="1552" customHeight="1" spans="2:20">
      <c r="B1552" s="166"/>
      <c r="C1552" s="164">
        <f t="shared" si="160"/>
        <v>27</v>
      </c>
      <c r="D1552" s="158" t="str">
        <f>VLOOKUP(C1552,DMSP!$A$1:$C$39,2,0)</f>
        <v>7.KHÁC</v>
      </c>
      <c r="E1552" s="159" t="str">
        <f>VLOOKUP(C1552,DMSP!$A$1:$C$39,3,0)</f>
        <v>KẼM VÀNG</v>
      </c>
      <c r="F1552" s="160">
        <f t="shared" si="162"/>
        <v>0</v>
      </c>
      <c r="G1552" s="176"/>
      <c r="H1552" s="176"/>
      <c r="I1552" s="176"/>
      <c r="J1552" s="176"/>
      <c r="K1552" s="176"/>
      <c r="L1552" s="176"/>
      <c r="M1552" s="176"/>
      <c r="N1552" s="176"/>
      <c r="O1552" s="176"/>
      <c r="P1552" s="176"/>
      <c r="Q1552" s="176"/>
      <c r="R1552" s="176"/>
      <c r="S1552" s="162">
        <f t="shared" si="161"/>
        <v>0</v>
      </c>
      <c r="T1552" s="167"/>
    </row>
    <row r="1553" customHeight="1" spans="2:20">
      <c r="B1553" s="166"/>
      <c r="C1553" s="164">
        <f t="shared" si="160"/>
        <v>28</v>
      </c>
      <c r="D1553" s="158" t="str">
        <f>VLOOKUP(C1553,DMSP!$A$1:$C$39,2,0)</f>
        <v>7.KHÁC</v>
      </c>
      <c r="E1553" s="159" t="str">
        <f>VLOOKUP(C1553,DMSP!$A$1:$C$39,3,0)</f>
        <v>KHÁC1</v>
      </c>
      <c r="F1553" s="160">
        <f t="shared" si="162"/>
        <v>0</v>
      </c>
      <c r="G1553" s="176"/>
      <c r="H1553" s="176"/>
      <c r="I1553" s="176"/>
      <c r="J1553" s="176"/>
      <c r="K1553" s="176"/>
      <c r="L1553" s="176"/>
      <c r="M1553" s="176"/>
      <c r="N1553" s="176"/>
      <c r="O1553" s="176"/>
      <c r="P1553" s="176"/>
      <c r="Q1553" s="176"/>
      <c r="R1553" s="176"/>
      <c r="S1553" s="162">
        <f t="shared" si="161"/>
        <v>0</v>
      </c>
      <c r="T1553" s="167"/>
    </row>
    <row r="1554" customHeight="1" spans="2:20">
      <c r="B1554" s="166"/>
      <c r="C1554" s="164">
        <f t="shared" si="160"/>
        <v>29</v>
      </c>
      <c r="D1554" s="158" t="str">
        <f>VLOOKUP(C1554,DMSP!$A$1:$C$39,2,0)</f>
        <v>7.KHÁC</v>
      </c>
      <c r="E1554" s="169" t="s">
        <v>13</v>
      </c>
      <c r="F1554" s="160">
        <f t="shared" si="162"/>
        <v>0</v>
      </c>
      <c r="G1554" s="176"/>
      <c r="H1554" s="176"/>
      <c r="I1554" s="176"/>
      <c r="J1554" s="176"/>
      <c r="K1554" s="176"/>
      <c r="L1554" s="176"/>
      <c r="M1554" s="176"/>
      <c r="N1554" s="176"/>
      <c r="O1554" s="176"/>
      <c r="P1554" s="176"/>
      <c r="Q1554" s="176"/>
      <c r="R1554" s="176"/>
      <c r="S1554" s="162">
        <f t="shared" si="161"/>
        <v>0</v>
      </c>
      <c r="T1554" s="167"/>
    </row>
    <row r="1555" customHeight="1" spans="2:20">
      <c r="B1555" s="166"/>
      <c r="C1555" s="164">
        <f t="shared" si="160"/>
        <v>30</v>
      </c>
      <c r="D1555" s="158" t="str">
        <f>VLOOKUP(C1555,DMSP!$A$1:$C$39,2,0)</f>
        <v>7.KHÁC</v>
      </c>
      <c r="E1555" s="159" t="str">
        <f>VLOOKUP(C1555,DMSP!$A$1:$C$39,3,0)</f>
        <v>RỬA RONG RÊU</v>
      </c>
      <c r="F1555" s="160">
        <f t="shared" si="162"/>
        <v>0</v>
      </c>
      <c r="G1555" s="176"/>
      <c r="H1555" s="176"/>
      <c r="I1555" s="176"/>
      <c r="J1555" s="176"/>
      <c r="K1555" s="176"/>
      <c r="L1555" s="176"/>
      <c r="M1555" s="176"/>
      <c r="N1555" s="176"/>
      <c r="O1555" s="176"/>
      <c r="P1555" s="176"/>
      <c r="Q1555" s="176"/>
      <c r="R1555" s="176"/>
      <c r="S1555" s="162">
        <f t="shared" si="161"/>
        <v>0</v>
      </c>
      <c r="T1555" s="167"/>
    </row>
    <row r="1556" customHeight="1" spans="2:20">
      <c r="B1556" s="166"/>
      <c r="C1556" s="164">
        <f t="shared" si="160"/>
        <v>31</v>
      </c>
      <c r="D1556" s="158" t="str">
        <f>VLOOKUP(C1556,DMSP!$A$1:$C$39,2,0)</f>
        <v>7.KHÁC</v>
      </c>
      <c r="E1556" s="159" t="str">
        <f>VLOOKUP(C1556,DMSP!$A$1:$C$39,3,0)</f>
        <v>TB BO</v>
      </c>
      <c r="F1556" s="160">
        <f t="shared" si="162"/>
        <v>0</v>
      </c>
      <c r="G1556" s="176"/>
      <c r="H1556" s="176"/>
      <c r="I1556" s="176"/>
      <c r="J1556" s="176"/>
      <c r="K1556" s="176"/>
      <c r="L1556" s="176"/>
      <c r="M1556" s="176"/>
      <c r="N1556" s="176"/>
      <c r="O1556" s="176"/>
      <c r="P1556" s="176"/>
      <c r="Q1556" s="176"/>
      <c r="R1556" s="176"/>
      <c r="S1556" s="162">
        <f t="shared" si="161"/>
        <v>0</v>
      </c>
      <c r="T1556" s="167"/>
    </row>
    <row r="1557" customHeight="1" spans="2:20">
      <c r="B1557" s="166"/>
      <c r="C1557" s="164">
        <f t="shared" si="160"/>
        <v>32</v>
      </c>
      <c r="D1557" s="158" t="str">
        <f>VLOOKUP(C1557,DMSP!$A$1:$C$39,2,0)</f>
        <v>7.KHÁC</v>
      </c>
      <c r="E1557" s="159" t="str">
        <f>VLOOKUP(C1557,DMSP!$A$1:$C$39,3,0)</f>
        <v>TB FRUIT</v>
      </c>
      <c r="F1557" s="160">
        <f t="shared" si="162"/>
        <v>0</v>
      </c>
      <c r="G1557" s="176"/>
      <c r="H1557" s="176"/>
      <c r="I1557" s="176"/>
      <c r="J1557" s="176"/>
      <c r="K1557" s="176"/>
      <c r="L1557" s="176"/>
      <c r="M1557" s="176"/>
      <c r="N1557" s="176"/>
      <c r="O1557" s="176"/>
      <c r="P1557" s="176"/>
      <c r="Q1557" s="176"/>
      <c r="R1557" s="176"/>
      <c r="S1557" s="162">
        <f t="shared" si="161"/>
        <v>0</v>
      </c>
      <c r="T1557" s="167"/>
    </row>
    <row r="1558" customHeight="1" spans="2:20">
      <c r="B1558" s="166"/>
      <c r="C1558" s="164">
        <f t="shared" si="160"/>
        <v>33</v>
      </c>
      <c r="D1558" s="158" t="str">
        <f>VLOOKUP(C1558,DMSP!$A$1:$C$39,2,0)</f>
        <v>7.KHÁC</v>
      </c>
      <c r="E1558" s="159" t="str">
        <f>VLOOKUP(C1558,DMSP!$A$1:$C$39,3,0)</f>
        <v>TB PHOS</v>
      </c>
      <c r="F1558" s="160">
        <f t="shared" si="162"/>
        <v>0</v>
      </c>
      <c r="G1558" s="176"/>
      <c r="H1558" s="176"/>
      <c r="I1558" s="176"/>
      <c r="J1558" s="176"/>
      <c r="K1558" s="176"/>
      <c r="L1558" s="176"/>
      <c r="M1558" s="176"/>
      <c r="N1558" s="176"/>
      <c r="O1558" s="176"/>
      <c r="P1558" s="176"/>
      <c r="Q1558" s="176"/>
      <c r="R1558" s="176"/>
      <c r="S1558" s="162">
        <f t="shared" si="161"/>
        <v>0</v>
      </c>
      <c r="T1558" s="167"/>
    </row>
    <row r="1559" customHeight="1" spans="2:20">
      <c r="B1559" s="166"/>
      <c r="C1559" s="164">
        <f t="shared" si="160"/>
        <v>34</v>
      </c>
      <c r="D1559" s="158" t="str">
        <f>VLOOKUP(C1559,DMSP!$A$1:$C$39,2,0)</f>
        <v>7.KHÁC</v>
      </c>
      <c r="E1559" s="159" t="str">
        <f>VLOOKUP(C1559,DMSP!$A$1:$C$39,3,0)</f>
        <v>TOBA BÁM DÍNH</v>
      </c>
      <c r="F1559" s="160">
        <f t="shared" si="162"/>
        <v>0</v>
      </c>
      <c r="G1559" s="176"/>
      <c r="H1559" s="176"/>
      <c r="I1559" s="176"/>
      <c r="J1559" s="176"/>
      <c r="K1559" s="176"/>
      <c r="L1559" s="176"/>
      <c r="M1559" s="176"/>
      <c r="N1559" s="176"/>
      <c r="O1559" s="176"/>
      <c r="P1559" s="176"/>
      <c r="Q1559" s="176"/>
      <c r="R1559" s="176"/>
      <c r="S1559" s="162">
        <f t="shared" si="161"/>
        <v>0</v>
      </c>
      <c r="T1559" s="167"/>
    </row>
    <row r="1560" customHeight="1" spans="2:20">
      <c r="B1560" s="166"/>
      <c r="C1560" s="164">
        <f t="shared" si="160"/>
        <v>35</v>
      </c>
      <c r="D1560" s="158" t="str">
        <f>VLOOKUP(C1560,DMSP!$A$1:$C$39,2,0)</f>
        <v>7.KHÁC</v>
      </c>
      <c r="E1560" s="159" t="str">
        <f>VLOOKUP(C1560,DMSP!$A$1:$C$39,3,0)</f>
        <v>VỌT HOA NHÃN</v>
      </c>
      <c r="F1560" s="160">
        <f t="shared" si="162"/>
        <v>0</v>
      </c>
      <c r="G1560" s="176"/>
      <c r="H1560" s="176"/>
      <c r="I1560" s="176"/>
      <c r="J1560" s="176"/>
      <c r="K1560" s="176"/>
      <c r="L1560" s="176"/>
      <c r="M1560" s="176"/>
      <c r="N1560" s="176"/>
      <c r="O1560" s="176"/>
      <c r="P1560" s="176"/>
      <c r="Q1560" s="176"/>
      <c r="R1560" s="176"/>
      <c r="S1560" s="162">
        <f t="shared" si="161"/>
        <v>0</v>
      </c>
      <c r="T1560" s="167"/>
    </row>
    <row r="1561" customHeight="1" spans="2:20">
      <c r="B1561" s="166"/>
      <c r="C1561" s="164">
        <f t="shared" si="160"/>
        <v>36</v>
      </c>
      <c r="D1561" s="158" t="str">
        <f>VLOOKUP(C1561,DMSP!$A$1:$C$39,2,0)</f>
        <v>7.KHÁC</v>
      </c>
      <c r="E1561" s="159" t="str">
        <f>VLOOKUP(C1561,DMSP!$A$1:$C$39,3,0)</f>
        <v>VỌT HOA XOÀI</v>
      </c>
      <c r="F1561" s="160">
        <f t="shared" si="162"/>
        <v>0</v>
      </c>
      <c r="G1561" s="176"/>
      <c r="H1561" s="176"/>
      <c r="I1561" s="176"/>
      <c r="J1561" s="176"/>
      <c r="K1561" s="176"/>
      <c r="L1561" s="176"/>
      <c r="M1561" s="176"/>
      <c r="N1561" s="176"/>
      <c r="O1561" s="176"/>
      <c r="P1561" s="176"/>
      <c r="Q1561" s="176"/>
      <c r="R1561" s="176"/>
      <c r="S1561" s="162">
        <f t="shared" si="161"/>
        <v>0</v>
      </c>
      <c r="T1561" s="167"/>
    </row>
    <row r="1562" customHeight="1" spans="2:20">
      <c r="B1562" s="166"/>
      <c r="C1562" s="164">
        <f t="shared" si="160"/>
        <v>37</v>
      </c>
      <c r="D1562" s="158" t="str">
        <f>VLOOKUP(C1562,DMSP!$A$1:$C$39,2,0)</f>
        <v>7.KHÁC</v>
      </c>
      <c r="E1562" s="159" t="str">
        <f>VLOOKUP(C1562,DMSP!$A$1:$C$39,3,0)</f>
        <v>VỌT HOA XOÀI</v>
      </c>
      <c r="F1562" s="160">
        <f t="shared" si="162"/>
        <v>0</v>
      </c>
      <c r="G1562" s="176"/>
      <c r="H1562" s="176"/>
      <c r="I1562" s="176"/>
      <c r="J1562" s="176"/>
      <c r="K1562" s="176"/>
      <c r="L1562" s="176"/>
      <c r="M1562" s="176"/>
      <c r="N1562" s="176"/>
      <c r="O1562" s="176"/>
      <c r="P1562" s="176"/>
      <c r="Q1562" s="176"/>
      <c r="R1562" s="176"/>
      <c r="S1562" s="162">
        <f t="shared" si="161"/>
        <v>0</v>
      </c>
      <c r="T1562" s="167"/>
    </row>
    <row r="1563" customHeight="1" spans="2:20">
      <c r="B1563" s="92"/>
      <c r="C1563" s="170">
        <f t="shared" ref="C1563" si="163">B1526</f>
        <v>0</v>
      </c>
      <c r="D1563" s="171"/>
      <c r="E1563" s="172" t="str">
        <f>"TOTAL "&amp;B1526</f>
        <v>TOTAL </v>
      </c>
      <c r="F1563" s="173">
        <f t="shared" si="162"/>
        <v>0</v>
      </c>
      <c r="G1563" s="174">
        <f>SUM(G1526:G1562)</f>
        <v>0</v>
      </c>
      <c r="H1563" s="174">
        <f t="shared" ref="H1563:R1563" si="164">SUM(H1526:H1562)</f>
        <v>0</v>
      </c>
      <c r="I1563" s="174">
        <f t="shared" si="164"/>
        <v>0</v>
      </c>
      <c r="J1563" s="174">
        <f t="shared" si="164"/>
        <v>0</v>
      </c>
      <c r="K1563" s="174">
        <f t="shared" si="164"/>
        <v>0</v>
      </c>
      <c r="L1563" s="174">
        <f t="shared" si="164"/>
        <v>0</v>
      </c>
      <c r="M1563" s="174">
        <f t="shared" si="164"/>
        <v>0</v>
      </c>
      <c r="N1563" s="174">
        <f t="shared" si="164"/>
        <v>0</v>
      </c>
      <c r="O1563" s="174">
        <f t="shared" si="164"/>
        <v>0</v>
      </c>
      <c r="P1563" s="174">
        <f t="shared" si="164"/>
        <v>0</v>
      </c>
      <c r="Q1563" s="174">
        <f t="shared" si="164"/>
        <v>0</v>
      </c>
      <c r="R1563" s="174">
        <f t="shared" si="164"/>
        <v>0</v>
      </c>
      <c r="S1563" s="174">
        <f t="shared" si="161"/>
        <v>0</v>
      </c>
      <c r="T1563" s="175"/>
    </row>
    <row r="1564" customHeight="1" spans="2:20">
      <c r="B1564" s="156"/>
      <c r="C1564" s="157">
        <v>1</v>
      </c>
      <c r="D1564" s="158" t="str">
        <f>VLOOKUP(C1564,DMSP!$A$1:$C$39,2,0)</f>
        <v>1.TOBA XANH</v>
      </c>
      <c r="E1564" s="159" t="str">
        <f>VLOOKUP(C1564,DMSP!$A$1:$C$39,3,0)</f>
        <v>TOBA XANH</v>
      </c>
      <c r="F1564" s="160">
        <f t="shared" si="162"/>
        <v>0</v>
      </c>
      <c r="G1564" s="176"/>
      <c r="H1564" s="176"/>
      <c r="I1564" s="176"/>
      <c r="J1564" s="176"/>
      <c r="K1564" s="176"/>
      <c r="L1564" s="176"/>
      <c r="M1564" s="176"/>
      <c r="N1564" s="176"/>
      <c r="O1564" s="176"/>
      <c r="P1564" s="176"/>
      <c r="Q1564" s="176"/>
      <c r="R1564" s="176"/>
      <c r="S1564" s="162">
        <f t="shared" si="161"/>
        <v>0</v>
      </c>
      <c r="T1564" s="163">
        <f>S1601</f>
        <v>0</v>
      </c>
    </row>
    <row r="1565" customHeight="1" spans="2:20">
      <c r="B1565" s="166"/>
      <c r="C1565" s="164">
        <f t="shared" si="160"/>
        <v>2</v>
      </c>
      <c r="D1565" s="158" t="str">
        <f>VLOOKUP(C1565,DMSP!$A$1:$C$39,2,0)</f>
        <v>2.HC</v>
      </c>
      <c r="E1565" s="159" t="str">
        <f>VLOOKUP(C1565,DMSP!$A$1:$C$39,3,0)</f>
        <v>HC BOOSTER</v>
      </c>
      <c r="F1565" s="160">
        <f t="shared" si="162"/>
        <v>0</v>
      </c>
      <c r="G1565" s="176"/>
      <c r="H1565" s="176"/>
      <c r="I1565" s="176"/>
      <c r="J1565" s="176"/>
      <c r="K1565" s="176"/>
      <c r="L1565" s="176"/>
      <c r="M1565" s="176"/>
      <c r="N1565" s="176"/>
      <c r="O1565" s="176"/>
      <c r="P1565" s="176"/>
      <c r="Q1565" s="176"/>
      <c r="R1565" s="176"/>
      <c r="S1565" s="162">
        <f t="shared" ref="S1565:S1602" si="165">SUM(G1565:R1565)</f>
        <v>0</v>
      </c>
      <c r="T1565" s="167"/>
    </row>
    <row r="1566" customHeight="1" spans="2:20">
      <c r="B1566" s="166"/>
      <c r="C1566" s="164">
        <f t="shared" si="160"/>
        <v>3</v>
      </c>
      <c r="D1566" s="158" t="str">
        <f>VLOOKUP(C1566,DMSP!$A$1:$C$39,2,0)</f>
        <v>2.HC</v>
      </c>
      <c r="E1566" s="159" t="str">
        <f>VLOOKUP(C1566,DMSP!$A$1:$C$39,3,0)</f>
        <v>HC KING-ROOT</v>
      </c>
      <c r="F1566" s="160">
        <f t="shared" si="162"/>
        <v>0</v>
      </c>
      <c r="G1566" s="176"/>
      <c r="H1566" s="176"/>
      <c r="I1566" s="176"/>
      <c r="J1566" s="176"/>
      <c r="K1566" s="176"/>
      <c r="L1566" s="176"/>
      <c r="M1566" s="176"/>
      <c r="N1566" s="176"/>
      <c r="O1566" s="176"/>
      <c r="P1566" s="176"/>
      <c r="Q1566" s="176"/>
      <c r="R1566" s="176"/>
      <c r="S1566" s="162">
        <f t="shared" si="165"/>
        <v>0</v>
      </c>
      <c r="T1566" s="167"/>
    </row>
    <row r="1567" customHeight="1" spans="2:20">
      <c r="B1567" s="166"/>
      <c r="C1567" s="164">
        <f t="shared" si="160"/>
        <v>4</v>
      </c>
      <c r="D1567" s="158" t="str">
        <f>VLOOKUP(C1567,DMSP!$A$1:$C$39,2,0)</f>
        <v>2.HC</v>
      </c>
      <c r="E1567" s="159" t="str">
        <f>VLOOKUP(C1567,DMSP!$A$1:$C$39,3,0)</f>
        <v>HAPPY FARM</v>
      </c>
      <c r="F1567" s="160">
        <f t="shared" si="162"/>
        <v>0</v>
      </c>
      <c r="G1567" s="176"/>
      <c r="H1567" s="176"/>
      <c r="I1567" s="176"/>
      <c r="J1567" s="176"/>
      <c r="K1567" s="176"/>
      <c r="L1567" s="176"/>
      <c r="M1567" s="176"/>
      <c r="N1567" s="176"/>
      <c r="O1567" s="176"/>
      <c r="P1567" s="176"/>
      <c r="Q1567" s="176"/>
      <c r="R1567" s="176"/>
      <c r="S1567" s="162">
        <f t="shared" si="165"/>
        <v>0</v>
      </c>
      <c r="T1567" s="167"/>
    </row>
    <row r="1568" customHeight="1" spans="2:20">
      <c r="B1568" s="166"/>
      <c r="C1568" s="164">
        <f t="shared" si="160"/>
        <v>5</v>
      </c>
      <c r="D1568" s="158" t="str">
        <f>VLOOKUP(C1568,DMSP!$A$1:$C$39,2,0)</f>
        <v>2.HC</v>
      </c>
      <c r="E1568" s="159" t="str">
        <f>VLOOKUP(C1568,DMSP!$A$1:$C$39,3,0)</f>
        <v>WOW</v>
      </c>
      <c r="F1568" s="160">
        <f t="shared" si="162"/>
        <v>0</v>
      </c>
      <c r="G1568" s="176"/>
      <c r="H1568" s="176"/>
      <c r="I1568" s="176"/>
      <c r="J1568" s="176"/>
      <c r="K1568" s="176"/>
      <c r="L1568" s="176"/>
      <c r="M1568" s="176"/>
      <c r="N1568" s="176"/>
      <c r="O1568" s="176"/>
      <c r="P1568" s="176"/>
      <c r="Q1568" s="176"/>
      <c r="R1568" s="176"/>
      <c r="S1568" s="162">
        <f t="shared" si="165"/>
        <v>0</v>
      </c>
      <c r="T1568" s="167"/>
    </row>
    <row r="1569" customHeight="1" spans="2:20">
      <c r="B1569" s="166"/>
      <c r="C1569" s="164">
        <f t="shared" si="160"/>
        <v>6</v>
      </c>
      <c r="D1569" s="158" t="str">
        <f>VLOOKUP(C1569,DMSP!$A$1:$C$39,2,0)</f>
        <v>3.SPRAY </v>
      </c>
      <c r="E1569" s="159" t="str">
        <f>VLOOKUP(C1569,DMSP!$A$1:$C$39,3,0)</f>
        <v>KELPIT</v>
      </c>
      <c r="F1569" s="160">
        <f t="shared" si="162"/>
        <v>0</v>
      </c>
      <c r="G1569" s="176"/>
      <c r="H1569" s="176"/>
      <c r="I1569" s="176"/>
      <c r="J1569" s="176"/>
      <c r="K1569" s="176"/>
      <c r="L1569" s="176"/>
      <c r="M1569" s="176"/>
      <c r="N1569" s="176"/>
      <c r="O1569" s="176"/>
      <c r="P1569" s="176"/>
      <c r="Q1569" s="176"/>
      <c r="R1569" s="176"/>
      <c r="S1569" s="162">
        <f t="shared" si="165"/>
        <v>0</v>
      </c>
      <c r="T1569" s="167"/>
    </row>
    <row r="1570" customHeight="1" spans="2:20">
      <c r="B1570" s="166"/>
      <c r="C1570" s="164">
        <f t="shared" si="160"/>
        <v>7</v>
      </c>
      <c r="D1570" s="158" t="str">
        <f>VLOOKUP(C1570,DMSP!$A$1:$C$39,2,0)</f>
        <v>3.SPRAY </v>
      </c>
      <c r="E1570" s="159" t="str">
        <f>VLOOKUP(C1570,DMSP!$A$1:$C$39,3,0)</f>
        <v>SI-K</v>
      </c>
      <c r="F1570" s="160">
        <f t="shared" si="162"/>
        <v>0</v>
      </c>
      <c r="G1570" s="176"/>
      <c r="H1570" s="176"/>
      <c r="I1570" s="176"/>
      <c r="J1570" s="176"/>
      <c r="K1570" s="176"/>
      <c r="L1570" s="176"/>
      <c r="M1570" s="176"/>
      <c r="N1570" s="176"/>
      <c r="O1570" s="176"/>
      <c r="P1570" s="176"/>
      <c r="Q1570" s="176"/>
      <c r="R1570" s="176"/>
      <c r="S1570" s="162">
        <f t="shared" si="165"/>
        <v>0</v>
      </c>
      <c r="T1570" s="167"/>
    </row>
    <row r="1571" customHeight="1" spans="2:20">
      <c r="B1571" s="166"/>
      <c r="C1571" s="164">
        <f t="shared" si="160"/>
        <v>8</v>
      </c>
      <c r="D1571" s="158" t="str">
        <f>VLOOKUP(C1571,DMSP!$A$1:$C$39,2,0)</f>
        <v>3.SPRAY </v>
      </c>
      <c r="E1571" s="159" t="str">
        <f>VLOOKUP(C1571,DMSP!$A$1:$C$39,3,0)</f>
        <v>SPRAY PHOS 620</v>
      </c>
      <c r="F1571" s="160">
        <f t="shared" si="162"/>
        <v>0</v>
      </c>
      <c r="G1571" s="176"/>
      <c r="H1571" s="176"/>
      <c r="I1571" s="176"/>
      <c r="J1571" s="176"/>
      <c r="K1571" s="176"/>
      <c r="L1571" s="176"/>
      <c r="M1571" s="176"/>
      <c r="N1571" s="176"/>
      <c r="O1571" s="176"/>
      <c r="P1571" s="176"/>
      <c r="Q1571" s="176"/>
      <c r="R1571" s="176"/>
      <c r="S1571" s="162">
        <f t="shared" si="165"/>
        <v>0</v>
      </c>
      <c r="T1571" s="167"/>
    </row>
    <row r="1572" customHeight="1" spans="2:20">
      <c r="B1572" s="166"/>
      <c r="C1572" s="164">
        <f t="shared" si="160"/>
        <v>9</v>
      </c>
      <c r="D1572" s="158" t="str">
        <f>VLOOKUP(C1572,DMSP!$A$1:$C$39,2,0)</f>
        <v>4.DƯỠNG RỄ</v>
      </c>
      <c r="E1572" s="159" t="str">
        <f>VLOOKUP(C1572,DMSP!$A$1:$C$39,3,0)</f>
        <v>CHITOSAN</v>
      </c>
      <c r="F1572" s="160">
        <f t="shared" si="162"/>
        <v>0</v>
      </c>
      <c r="G1572" s="176"/>
      <c r="H1572" s="176"/>
      <c r="I1572" s="176"/>
      <c r="J1572" s="176"/>
      <c r="K1572" s="176"/>
      <c r="L1572" s="176"/>
      <c r="M1572" s="176"/>
      <c r="N1572" s="176"/>
      <c r="O1572" s="176"/>
      <c r="P1572" s="176"/>
      <c r="Q1572" s="176"/>
      <c r="R1572" s="176"/>
      <c r="S1572" s="162">
        <f t="shared" si="165"/>
        <v>0</v>
      </c>
      <c r="T1572" s="167"/>
    </row>
    <row r="1573" customHeight="1" spans="2:20">
      <c r="B1573" s="166"/>
      <c r="C1573" s="164">
        <f t="shared" si="160"/>
        <v>10</v>
      </c>
      <c r="D1573" s="158" t="str">
        <f>VLOOKUP(C1573,DMSP!$A$1:$C$39,2,0)</f>
        <v>4.DƯỠNG RỄ</v>
      </c>
      <c r="E1573" s="159" t="str">
        <f>VLOOKUP(C1573,DMSP!$A$1:$C$39,3,0)</f>
        <v>ĐẠM CÁ</v>
      </c>
      <c r="F1573" s="160">
        <f t="shared" si="162"/>
        <v>0</v>
      </c>
      <c r="G1573" s="176"/>
      <c r="H1573" s="176"/>
      <c r="I1573" s="176"/>
      <c r="J1573" s="176"/>
      <c r="K1573" s="176"/>
      <c r="L1573" s="176"/>
      <c r="M1573" s="176"/>
      <c r="N1573" s="176"/>
      <c r="O1573" s="176"/>
      <c r="P1573" s="176"/>
      <c r="Q1573" s="176"/>
      <c r="R1573" s="176"/>
      <c r="S1573" s="162">
        <f t="shared" si="165"/>
        <v>0</v>
      </c>
      <c r="T1573" s="167"/>
    </row>
    <row r="1574" customHeight="1" spans="2:20">
      <c r="B1574" s="166"/>
      <c r="C1574" s="164">
        <f t="shared" si="160"/>
        <v>11</v>
      </c>
      <c r="D1574" s="158" t="str">
        <f>VLOOKUP(C1574,DMSP!$A$1:$C$39,2,0)</f>
        <v>4.DƯỠNG RỄ</v>
      </c>
      <c r="E1574" s="159" t="str">
        <f>VLOOKUP(C1574,DMSP!$A$1:$C$39,3,0)</f>
        <v>ĐẠM TÔM</v>
      </c>
      <c r="F1574" s="160">
        <f t="shared" si="162"/>
        <v>0</v>
      </c>
      <c r="G1574" s="176"/>
      <c r="H1574" s="176"/>
      <c r="I1574" s="176"/>
      <c r="J1574" s="176"/>
      <c r="K1574" s="176"/>
      <c r="L1574" s="176"/>
      <c r="M1574" s="176"/>
      <c r="N1574" s="176"/>
      <c r="O1574" s="176"/>
      <c r="P1574" s="176"/>
      <c r="Q1574" s="176"/>
      <c r="R1574" s="176"/>
      <c r="S1574" s="162">
        <f t="shared" si="165"/>
        <v>0</v>
      </c>
      <c r="T1574" s="167"/>
    </row>
    <row r="1575" customHeight="1" spans="2:20">
      <c r="B1575" s="166"/>
      <c r="C1575" s="164">
        <f t="shared" si="160"/>
        <v>12</v>
      </c>
      <c r="D1575" s="158" t="str">
        <f>VLOOKUP(C1575,DMSP!$A$1:$C$39,2,0)</f>
        <v>4.DƯỠNG RỄ</v>
      </c>
      <c r="E1575" s="159" t="str">
        <f>VLOOKUP(C1575,DMSP!$A$1:$C$39,3,0)</f>
        <v>SUPERMIC</v>
      </c>
      <c r="F1575" s="160">
        <f t="shared" si="162"/>
        <v>0</v>
      </c>
      <c r="G1575" s="176"/>
      <c r="H1575" s="176"/>
      <c r="I1575" s="176"/>
      <c r="J1575" s="176"/>
      <c r="K1575" s="176"/>
      <c r="L1575" s="176"/>
      <c r="M1575" s="176"/>
      <c r="N1575" s="176"/>
      <c r="O1575" s="176"/>
      <c r="P1575" s="176"/>
      <c r="Q1575" s="176"/>
      <c r="R1575" s="176"/>
      <c r="S1575" s="162">
        <f t="shared" si="165"/>
        <v>0</v>
      </c>
      <c r="T1575" s="167"/>
    </row>
    <row r="1576" customHeight="1" spans="2:20">
      <c r="B1576" s="166"/>
      <c r="C1576" s="164">
        <f t="shared" si="160"/>
        <v>13</v>
      </c>
      <c r="D1576" s="158" t="str">
        <f>VLOOKUP(C1576,DMSP!$A$1:$C$39,2,0)</f>
        <v>5.TRUYỀN THỐNG</v>
      </c>
      <c r="E1576" s="159" t="str">
        <f>VLOOKUP(C1576,DMSP!$A$1:$C$39,3,0)</f>
        <v>CABO</v>
      </c>
      <c r="F1576" s="160">
        <f t="shared" si="162"/>
        <v>0</v>
      </c>
      <c r="G1576" s="176"/>
      <c r="H1576" s="176"/>
      <c r="I1576" s="176"/>
      <c r="J1576" s="176"/>
      <c r="K1576" s="176"/>
      <c r="L1576" s="176"/>
      <c r="M1576" s="176"/>
      <c r="N1576" s="176"/>
      <c r="O1576" s="176"/>
      <c r="P1576" s="176"/>
      <c r="Q1576" s="176"/>
      <c r="R1576" s="176"/>
      <c r="S1576" s="162">
        <f t="shared" si="165"/>
        <v>0</v>
      </c>
      <c r="T1576" s="167"/>
    </row>
    <row r="1577" customHeight="1" spans="2:20">
      <c r="B1577" s="166"/>
      <c r="C1577" s="164">
        <f t="shared" si="160"/>
        <v>14</v>
      </c>
      <c r="D1577" s="158" t="str">
        <f>VLOOKUP(C1577,DMSP!$A$1:$C$39,2,0)</f>
        <v>5.TRUYỀN THỐNG</v>
      </c>
      <c r="E1577" s="159" t="str">
        <f>VLOOKUP(C1577,DMSP!$A$1:$C$39,3,0)</f>
        <v>F94</v>
      </c>
      <c r="F1577" s="160">
        <f t="shared" si="162"/>
        <v>0</v>
      </c>
      <c r="G1577" s="176"/>
      <c r="H1577" s="176"/>
      <c r="I1577" s="176"/>
      <c r="J1577" s="176"/>
      <c r="K1577" s="176"/>
      <c r="L1577" s="176"/>
      <c r="M1577" s="176"/>
      <c r="N1577" s="176"/>
      <c r="O1577" s="176"/>
      <c r="P1577" s="176"/>
      <c r="Q1577" s="176"/>
      <c r="R1577" s="176"/>
      <c r="S1577" s="162">
        <f t="shared" si="165"/>
        <v>0</v>
      </c>
      <c r="T1577" s="167"/>
    </row>
    <row r="1578" customHeight="1" spans="2:20">
      <c r="B1578" s="166"/>
      <c r="C1578" s="164">
        <f t="shared" si="160"/>
        <v>15</v>
      </c>
      <c r="D1578" s="158" t="str">
        <f>VLOOKUP(C1578,DMSP!$A$1:$C$39,2,0)</f>
        <v>5.TRUYỀN THỐNG</v>
      </c>
      <c r="E1578" s="159" t="str">
        <f>VLOOKUP(C1578,DMSP!$A$1:$C$39,3,0)</f>
        <v>F95</v>
      </c>
      <c r="F1578" s="160">
        <f t="shared" si="162"/>
        <v>0</v>
      </c>
      <c r="G1578" s="176"/>
      <c r="H1578" s="176"/>
      <c r="I1578" s="176"/>
      <c r="J1578" s="176"/>
      <c r="K1578" s="176"/>
      <c r="L1578" s="176"/>
      <c r="M1578" s="176"/>
      <c r="N1578" s="176"/>
      <c r="O1578" s="176"/>
      <c r="P1578" s="176"/>
      <c r="Q1578" s="176"/>
      <c r="R1578" s="176"/>
      <c r="S1578" s="162">
        <f t="shared" si="165"/>
        <v>0</v>
      </c>
      <c r="T1578" s="167"/>
    </row>
    <row r="1579" customHeight="1" spans="2:20">
      <c r="B1579" s="166"/>
      <c r="C1579" s="164">
        <f t="shared" si="160"/>
        <v>16</v>
      </c>
      <c r="D1579" s="158" t="str">
        <f>VLOOKUP(C1579,DMSP!$A$1:$C$39,2,0)</f>
        <v>5.TRUYỀN THỐNG</v>
      </c>
      <c r="E1579" s="159" t="str">
        <f>VLOOKUP(C1579,DMSP!$A$1:$C$39,3,0)</f>
        <v>THIOURE</v>
      </c>
      <c r="F1579" s="160">
        <f t="shared" si="162"/>
        <v>0</v>
      </c>
      <c r="G1579" s="176"/>
      <c r="H1579" s="176"/>
      <c r="I1579" s="176"/>
      <c r="J1579" s="176"/>
      <c r="K1579" s="176"/>
      <c r="L1579" s="176"/>
      <c r="M1579" s="176"/>
      <c r="N1579" s="176"/>
      <c r="O1579" s="176"/>
      <c r="P1579" s="176"/>
      <c r="Q1579" s="176"/>
      <c r="R1579" s="176"/>
      <c r="S1579" s="162">
        <f t="shared" si="165"/>
        <v>0</v>
      </c>
      <c r="T1579" s="167"/>
    </row>
    <row r="1580" customHeight="1" spans="2:20">
      <c r="B1580" s="166"/>
      <c r="C1580" s="164">
        <f t="shared" si="160"/>
        <v>17</v>
      </c>
      <c r="D1580" s="158" t="str">
        <f>VLOOKUP(C1580,DMSP!$A$1:$C$39,2,0)</f>
        <v>5.TRUYỀN THỐNG</v>
      </c>
      <c r="E1580" s="159" t="str">
        <f>VLOOKUP(C1580,DMSP!$A$1:$C$39,3,0)</f>
        <v>TOBA JUM</v>
      </c>
      <c r="F1580" s="160">
        <f t="shared" si="162"/>
        <v>0</v>
      </c>
      <c r="G1580" s="176"/>
      <c r="H1580" s="176"/>
      <c r="I1580" s="176"/>
      <c r="J1580" s="176"/>
      <c r="K1580" s="176"/>
      <c r="L1580" s="176"/>
      <c r="M1580" s="176"/>
      <c r="N1580" s="176"/>
      <c r="O1580" s="176"/>
      <c r="P1580" s="176"/>
      <c r="Q1580" s="176"/>
      <c r="R1580" s="176"/>
      <c r="S1580" s="162">
        <f t="shared" si="165"/>
        <v>0</v>
      </c>
      <c r="T1580" s="167"/>
    </row>
    <row r="1581" customHeight="1" spans="2:20">
      <c r="B1581" s="166"/>
      <c r="C1581" s="164">
        <f t="shared" si="160"/>
        <v>18</v>
      </c>
      <c r="D1581" s="158" t="str">
        <f>VLOOKUP(C1581,DMSP!$A$1:$C$39,2,0)</f>
        <v>5.TRUYỀN THỐNG</v>
      </c>
      <c r="E1581" s="159" t="str">
        <f>VLOOKUP(C1581,DMSP!$A$1:$C$39,3,0)</f>
        <v>TOBA NET</v>
      </c>
      <c r="F1581" s="160">
        <f t="shared" si="162"/>
        <v>0</v>
      </c>
      <c r="G1581" s="176"/>
      <c r="H1581" s="176"/>
      <c r="I1581" s="176"/>
      <c r="J1581" s="176"/>
      <c r="K1581" s="176"/>
      <c r="L1581" s="176"/>
      <c r="M1581" s="176"/>
      <c r="N1581" s="176"/>
      <c r="O1581" s="176"/>
      <c r="P1581" s="176"/>
      <c r="Q1581" s="176"/>
      <c r="R1581" s="176"/>
      <c r="S1581" s="162">
        <f t="shared" si="165"/>
        <v>0</v>
      </c>
      <c r="T1581" s="167"/>
    </row>
    <row r="1582" customHeight="1" spans="2:20">
      <c r="B1582" s="166"/>
      <c r="C1582" s="164">
        <f t="shared" si="160"/>
        <v>19</v>
      </c>
      <c r="D1582" s="158" t="str">
        <f>VLOOKUP(C1582,DMSP!$A$1:$C$39,2,0)</f>
        <v>6.BVTV</v>
      </c>
      <c r="E1582" s="159" t="str">
        <f>VLOOKUP(C1582,DMSP!$A$1:$C$39,3,0)</f>
        <v>ABAFAX 1.8</v>
      </c>
      <c r="F1582" s="160">
        <f t="shared" si="162"/>
        <v>0</v>
      </c>
      <c r="G1582" s="176"/>
      <c r="H1582" s="176"/>
      <c r="I1582" s="176"/>
      <c r="J1582" s="176"/>
      <c r="K1582" s="176"/>
      <c r="L1582" s="176"/>
      <c r="M1582" s="176"/>
      <c r="N1582" s="176"/>
      <c r="O1582" s="176"/>
      <c r="P1582" s="176"/>
      <c r="Q1582" s="176"/>
      <c r="R1582" s="176"/>
      <c r="S1582" s="162">
        <f t="shared" si="165"/>
        <v>0</v>
      </c>
      <c r="T1582" s="167"/>
    </row>
    <row r="1583" customHeight="1" spans="2:20">
      <c r="B1583" s="166"/>
      <c r="C1583" s="164">
        <f t="shared" si="160"/>
        <v>20</v>
      </c>
      <c r="D1583" s="158" t="str">
        <f>VLOOKUP(C1583,DMSP!$A$1:$C$39,2,0)</f>
        <v>6.BVTV</v>
      </c>
      <c r="E1583" s="159" t="str">
        <f>VLOOKUP(C1583,DMSP!$A$1:$C$39,3,0)</f>
        <v>ABAFAX 3.6</v>
      </c>
      <c r="F1583" s="160">
        <f t="shared" si="162"/>
        <v>0</v>
      </c>
      <c r="G1583" s="176"/>
      <c r="H1583" s="176"/>
      <c r="I1583" s="176"/>
      <c r="J1583" s="176"/>
      <c r="K1583" s="176"/>
      <c r="L1583" s="176"/>
      <c r="M1583" s="176"/>
      <c r="N1583" s="176"/>
      <c r="O1583" s="176"/>
      <c r="P1583" s="176"/>
      <c r="Q1583" s="176"/>
      <c r="R1583" s="176"/>
      <c r="S1583" s="162">
        <f t="shared" si="165"/>
        <v>0</v>
      </c>
      <c r="T1583" s="167"/>
    </row>
    <row r="1584" customHeight="1" spans="2:20">
      <c r="B1584" s="166"/>
      <c r="C1584" s="164">
        <f t="shared" si="160"/>
        <v>21</v>
      </c>
      <c r="D1584" s="158" t="str">
        <f>VLOOKUP(C1584,DMSP!$A$1:$C$39,2,0)</f>
        <v>6.BVTV</v>
      </c>
      <c r="E1584" s="159" t="str">
        <f>VLOOKUP(C1584,DMSP!$A$1:$C$39,3,0)</f>
        <v>AZET</v>
      </c>
      <c r="F1584" s="160">
        <f t="shared" si="162"/>
        <v>0</v>
      </c>
      <c r="G1584" s="176"/>
      <c r="H1584" s="176"/>
      <c r="I1584" s="176"/>
      <c r="J1584" s="176"/>
      <c r="K1584" s="176"/>
      <c r="L1584" s="176"/>
      <c r="M1584" s="176"/>
      <c r="N1584" s="176"/>
      <c r="O1584" s="176"/>
      <c r="P1584" s="176"/>
      <c r="Q1584" s="176"/>
      <c r="R1584" s="176"/>
      <c r="S1584" s="162">
        <f t="shared" si="165"/>
        <v>0</v>
      </c>
      <c r="T1584" s="167"/>
    </row>
    <row r="1585" customHeight="1" spans="2:20">
      <c r="B1585" s="166"/>
      <c r="C1585" s="164">
        <f t="shared" si="160"/>
        <v>22</v>
      </c>
      <c r="D1585" s="158" t="str">
        <f>VLOOKUP(C1585,DMSP!$A$1:$C$39,2,0)</f>
        <v>6.BVTV</v>
      </c>
      <c r="E1585" s="159" t="str">
        <f>VLOOKUP(C1585,DMSP!$A$1:$C$39,3,0)</f>
        <v>BACBA</v>
      </c>
      <c r="F1585" s="160">
        <f t="shared" si="162"/>
        <v>0</v>
      </c>
      <c r="G1585" s="176"/>
      <c r="H1585" s="176"/>
      <c r="I1585" s="176"/>
      <c r="J1585" s="176"/>
      <c r="K1585" s="176"/>
      <c r="L1585" s="176"/>
      <c r="M1585" s="176"/>
      <c r="N1585" s="176"/>
      <c r="O1585" s="176"/>
      <c r="P1585" s="176"/>
      <c r="Q1585" s="176"/>
      <c r="R1585" s="176"/>
      <c r="S1585" s="162">
        <f t="shared" si="165"/>
        <v>0</v>
      </c>
      <c r="T1585" s="167"/>
    </row>
    <row r="1586" customHeight="1" spans="2:20">
      <c r="B1586" s="166"/>
      <c r="C1586" s="164">
        <f t="shared" si="160"/>
        <v>23</v>
      </c>
      <c r="D1586" s="158" t="str">
        <f>VLOOKUP(C1586,DMSP!$A$1:$C$39,2,0)</f>
        <v>6.BVTV</v>
      </c>
      <c r="E1586" s="159" t="str">
        <f>VLOOKUP(C1586,DMSP!$A$1:$C$39,3,0)</f>
        <v>BIOROSAMIL</v>
      </c>
      <c r="F1586" s="160">
        <f t="shared" si="162"/>
        <v>0</v>
      </c>
      <c r="G1586" s="176"/>
      <c r="H1586" s="176"/>
      <c r="I1586" s="176"/>
      <c r="J1586" s="176"/>
      <c r="K1586" s="176"/>
      <c r="L1586" s="176"/>
      <c r="M1586" s="176"/>
      <c r="N1586" s="176"/>
      <c r="O1586" s="176"/>
      <c r="P1586" s="176"/>
      <c r="Q1586" s="176"/>
      <c r="R1586" s="176"/>
      <c r="S1586" s="162">
        <f t="shared" si="165"/>
        <v>0</v>
      </c>
      <c r="T1586" s="167"/>
    </row>
    <row r="1587" customHeight="1" spans="2:20">
      <c r="B1587" s="166"/>
      <c r="C1587" s="164">
        <f t="shared" si="160"/>
        <v>24</v>
      </c>
      <c r="D1587" s="158" t="str">
        <f>VLOOKUP(C1587,DMSP!$A$1:$C$39,2,0)</f>
        <v>6.BVTV</v>
      </c>
      <c r="E1587" s="159" t="str">
        <f>VLOOKUP(C1587,DMSP!$A$1:$C$39,3,0)</f>
        <v>COC 86</v>
      </c>
      <c r="F1587" s="160">
        <f t="shared" si="162"/>
        <v>0</v>
      </c>
      <c r="G1587" s="176"/>
      <c r="H1587" s="176"/>
      <c r="I1587" s="176"/>
      <c r="J1587" s="176"/>
      <c r="K1587" s="176"/>
      <c r="L1587" s="176"/>
      <c r="M1587" s="176"/>
      <c r="N1587" s="176"/>
      <c r="O1587" s="176"/>
      <c r="P1587" s="176"/>
      <c r="Q1587" s="176"/>
      <c r="R1587" s="176"/>
      <c r="S1587" s="162">
        <f t="shared" si="165"/>
        <v>0</v>
      </c>
      <c r="T1587" s="167"/>
    </row>
    <row r="1588" customHeight="1" spans="2:20">
      <c r="B1588" s="166"/>
      <c r="C1588" s="164">
        <f t="shared" si="160"/>
        <v>25</v>
      </c>
      <c r="D1588" s="158" t="str">
        <f>VLOOKUP(C1588,DMSP!$A$1:$C$39,2,0)</f>
        <v>6.BVTV</v>
      </c>
      <c r="E1588" s="159" t="str">
        <f>VLOOKUP(C1588,DMSP!$A$1:$C$39,3,0)</f>
        <v>HEXA 5</v>
      </c>
      <c r="F1588" s="160">
        <f t="shared" si="162"/>
        <v>0</v>
      </c>
      <c r="G1588" s="176"/>
      <c r="H1588" s="176"/>
      <c r="I1588" s="176"/>
      <c r="J1588" s="176"/>
      <c r="K1588" s="176"/>
      <c r="L1588" s="176"/>
      <c r="M1588" s="176"/>
      <c r="N1588" s="176"/>
      <c r="O1588" s="176"/>
      <c r="P1588" s="176"/>
      <c r="Q1588" s="176"/>
      <c r="R1588" s="176"/>
      <c r="S1588" s="162">
        <f t="shared" si="165"/>
        <v>0</v>
      </c>
      <c r="T1588" s="167"/>
    </row>
    <row r="1589" customHeight="1" spans="2:20">
      <c r="B1589" s="166"/>
      <c r="C1589" s="164">
        <f t="shared" si="160"/>
        <v>26</v>
      </c>
      <c r="D1589" s="158" t="str">
        <f>VLOOKUP(C1589,DMSP!$A$1:$C$39,2,0)</f>
        <v>6.BVTV</v>
      </c>
      <c r="E1589" s="159" t="str">
        <f>VLOOKUP(C1589,DMSP!$A$1:$C$39,3,0)</f>
        <v>TAMALA</v>
      </c>
      <c r="F1589" s="160">
        <f t="shared" si="162"/>
        <v>0</v>
      </c>
      <c r="G1589" s="176"/>
      <c r="H1589" s="176"/>
      <c r="I1589" s="176"/>
      <c r="J1589" s="176"/>
      <c r="K1589" s="176"/>
      <c r="L1589" s="176"/>
      <c r="M1589" s="176"/>
      <c r="N1589" s="176"/>
      <c r="O1589" s="176"/>
      <c r="P1589" s="176"/>
      <c r="Q1589" s="176"/>
      <c r="R1589" s="176"/>
      <c r="S1589" s="162">
        <f t="shared" si="165"/>
        <v>0</v>
      </c>
      <c r="T1589" s="167"/>
    </row>
    <row r="1590" customHeight="1" spans="2:20">
      <c r="B1590" s="166"/>
      <c r="C1590" s="164">
        <f t="shared" si="160"/>
        <v>27</v>
      </c>
      <c r="D1590" s="158" t="str">
        <f>VLOOKUP(C1590,DMSP!$A$1:$C$39,2,0)</f>
        <v>7.KHÁC</v>
      </c>
      <c r="E1590" s="159" t="str">
        <f>VLOOKUP(C1590,DMSP!$A$1:$C$39,3,0)</f>
        <v>KẼM VÀNG</v>
      </c>
      <c r="F1590" s="160">
        <f t="shared" si="162"/>
        <v>0</v>
      </c>
      <c r="G1590" s="176"/>
      <c r="H1590" s="176"/>
      <c r="I1590" s="176"/>
      <c r="J1590" s="176"/>
      <c r="K1590" s="176"/>
      <c r="L1590" s="176"/>
      <c r="M1590" s="176"/>
      <c r="N1590" s="176"/>
      <c r="O1590" s="176"/>
      <c r="P1590" s="176"/>
      <c r="Q1590" s="176"/>
      <c r="R1590" s="176"/>
      <c r="S1590" s="162">
        <f t="shared" si="165"/>
        <v>0</v>
      </c>
      <c r="T1590" s="167"/>
    </row>
    <row r="1591" customHeight="1" spans="2:20">
      <c r="B1591" s="166"/>
      <c r="C1591" s="164">
        <f t="shared" ref="C1591:C1600" si="166">C1590+1</f>
        <v>28</v>
      </c>
      <c r="D1591" s="158" t="str">
        <f>VLOOKUP(C1591,DMSP!$A$1:$C$39,2,0)</f>
        <v>7.KHÁC</v>
      </c>
      <c r="E1591" s="159" t="str">
        <f>VLOOKUP(C1591,DMSP!$A$1:$C$39,3,0)</f>
        <v>KHÁC1</v>
      </c>
      <c r="F1591" s="160">
        <f t="shared" si="162"/>
        <v>0</v>
      </c>
      <c r="G1591" s="176"/>
      <c r="H1591" s="176"/>
      <c r="I1591" s="176"/>
      <c r="J1591" s="176"/>
      <c r="K1591" s="176"/>
      <c r="L1591" s="176"/>
      <c r="M1591" s="176"/>
      <c r="N1591" s="176"/>
      <c r="O1591" s="176"/>
      <c r="P1591" s="176"/>
      <c r="Q1591" s="176"/>
      <c r="R1591" s="176"/>
      <c r="S1591" s="162">
        <f t="shared" si="165"/>
        <v>0</v>
      </c>
      <c r="T1591" s="167"/>
    </row>
    <row r="1592" customHeight="1" spans="2:20">
      <c r="B1592" s="166"/>
      <c r="C1592" s="164">
        <f t="shared" si="166"/>
        <v>29</v>
      </c>
      <c r="D1592" s="158" t="str">
        <f>VLOOKUP(C1592,DMSP!$A$1:$C$39,2,0)</f>
        <v>7.KHÁC</v>
      </c>
      <c r="E1592" s="169" t="s">
        <v>13</v>
      </c>
      <c r="F1592" s="160">
        <f t="shared" si="162"/>
        <v>0</v>
      </c>
      <c r="G1592" s="176"/>
      <c r="H1592" s="176"/>
      <c r="I1592" s="176"/>
      <c r="J1592" s="176"/>
      <c r="K1592" s="176"/>
      <c r="L1592" s="176"/>
      <c r="M1592" s="176"/>
      <c r="N1592" s="176"/>
      <c r="O1592" s="176"/>
      <c r="P1592" s="176"/>
      <c r="Q1592" s="176"/>
      <c r="R1592" s="176"/>
      <c r="S1592" s="162">
        <f t="shared" si="165"/>
        <v>0</v>
      </c>
      <c r="T1592" s="167"/>
    </row>
    <row r="1593" customHeight="1" spans="2:20">
      <c r="B1593" s="166"/>
      <c r="C1593" s="164">
        <f t="shared" si="166"/>
        <v>30</v>
      </c>
      <c r="D1593" s="158" t="str">
        <f>VLOOKUP(C1593,DMSP!$A$1:$C$39,2,0)</f>
        <v>7.KHÁC</v>
      </c>
      <c r="E1593" s="159" t="str">
        <f>VLOOKUP(C1593,DMSP!$A$1:$C$39,3,0)</f>
        <v>RỬA RONG RÊU</v>
      </c>
      <c r="F1593" s="160">
        <f t="shared" si="162"/>
        <v>0</v>
      </c>
      <c r="G1593" s="176"/>
      <c r="H1593" s="176"/>
      <c r="I1593" s="176"/>
      <c r="J1593" s="176"/>
      <c r="K1593" s="176"/>
      <c r="L1593" s="176"/>
      <c r="M1593" s="176"/>
      <c r="N1593" s="176"/>
      <c r="O1593" s="176"/>
      <c r="P1593" s="176"/>
      <c r="Q1593" s="176"/>
      <c r="R1593" s="176"/>
      <c r="S1593" s="162">
        <f t="shared" si="165"/>
        <v>0</v>
      </c>
      <c r="T1593" s="167"/>
    </row>
    <row r="1594" customHeight="1" spans="2:20">
      <c r="B1594" s="166"/>
      <c r="C1594" s="164">
        <f t="shared" si="166"/>
        <v>31</v>
      </c>
      <c r="D1594" s="158" t="str">
        <f>VLOOKUP(C1594,DMSP!$A$1:$C$39,2,0)</f>
        <v>7.KHÁC</v>
      </c>
      <c r="E1594" s="159" t="str">
        <f>VLOOKUP(C1594,DMSP!$A$1:$C$39,3,0)</f>
        <v>TB BO</v>
      </c>
      <c r="F1594" s="160">
        <f t="shared" si="162"/>
        <v>0</v>
      </c>
      <c r="G1594" s="176"/>
      <c r="H1594" s="176"/>
      <c r="I1594" s="176"/>
      <c r="J1594" s="176"/>
      <c r="K1594" s="176"/>
      <c r="L1594" s="176"/>
      <c r="M1594" s="176"/>
      <c r="N1594" s="176"/>
      <c r="O1594" s="176"/>
      <c r="P1594" s="176"/>
      <c r="Q1594" s="176"/>
      <c r="R1594" s="176"/>
      <c r="S1594" s="162">
        <f t="shared" si="165"/>
        <v>0</v>
      </c>
      <c r="T1594" s="167"/>
    </row>
    <row r="1595" customHeight="1" spans="2:20">
      <c r="B1595" s="166"/>
      <c r="C1595" s="164">
        <f t="shared" si="166"/>
        <v>32</v>
      </c>
      <c r="D1595" s="158" t="str">
        <f>VLOOKUP(C1595,DMSP!$A$1:$C$39,2,0)</f>
        <v>7.KHÁC</v>
      </c>
      <c r="E1595" s="159" t="str">
        <f>VLOOKUP(C1595,DMSP!$A$1:$C$39,3,0)</f>
        <v>TB FRUIT</v>
      </c>
      <c r="F1595" s="160">
        <f t="shared" si="162"/>
        <v>0</v>
      </c>
      <c r="G1595" s="176"/>
      <c r="H1595" s="176"/>
      <c r="I1595" s="176"/>
      <c r="J1595" s="176"/>
      <c r="K1595" s="176"/>
      <c r="L1595" s="176"/>
      <c r="M1595" s="176"/>
      <c r="N1595" s="176"/>
      <c r="O1595" s="176"/>
      <c r="P1595" s="176"/>
      <c r="Q1595" s="176"/>
      <c r="R1595" s="176"/>
      <c r="S1595" s="162">
        <f t="shared" si="165"/>
        <v>0</v>
      </c>
      <c r="T1595" s="167"/>
    </row>
    <row r="1596" customHeight="1" spans="2:20">
      <c r="B1596" s="166"/>
      <c r="C1596" s="164">
        <f t="shared" si="166"/>
        <v>33</v>
      </c>
      <c r="D1596" s="158" t="str">
        <f>VLOOKUP(C1596,DMSP!$A$1:$C$39,2,0)</f>
        <v>7.KHÁC</v>
      </c>
      <c r="E1596" s="159" t="str">
        <f>VLOOKUP(C1596,DMSP!$A$1:$C$39,3,0)</f>
        <v>TB PHOS</v>
      </c>
      <c r="F1596" s="160">
        <f t="shared" si="162"/>
        <v>0</v>
      </c>
      <c r="G1596" s="176"/>
      <c r="H1596" s="176"/>
      <c r="I1596" s="176"/>
      <c r="J1596" s="176"/>
      <c r="K1596" s="176"/>
      <c r="L1596" s="176"/>
      <c r="M1596" s="176"/>
      <c r="N1596" s="176"/>
      <c r="O1596" s="176"/>
      <c r="P1596" s="176"/>
      <c r="Q1596" s="176"/>
      <c r="R1596" s="176"/>
      <c r="S1596" s="162">
        <f t="shared" si="165"/>
        <v>0</v>
      </c>
      <c r="T1596" s="167"/>
    </row>
    <row r="1597" customHeight="1" spans="2:20">
      <c r="B1597" s="166"/>
      <c r="C1597" s="164">
        <f t="shared" si="166"/>
        <v>34</v>
      </c>
      <c r="D1597" s="158" t="str">
        <f>VLOOKUP(C1597,DMSP!$A$1:$C$39,2,0)</f>
        <v>7.KHÁC</v>
      </c>
      <c r="E1597" s="159" t="str">
        <f>VLOOKUP(C1597,DMSP!$A$1:$C$39,3,0)</f>
        <v>TOBA BÁM DÍNH</v>
      </c>
      <c r="F1597" s="160">
        <f t="shared" si="162"/>
        <v>0</v>
      </c>
      <c r="G1597" s="176"/>
      <c r="H1597" s="176"/>
      <c r="I1597" s="176"/>
      <c r="J1597" s="176"/>
      <c r="K1597" s="176"/>
      <c r="L1597" s="176"/>
      <c r="M1597" s="176"/>
      <c r="N1597" s="176"/>
      <c r="O1597" s="176"/>
      <c r="P1597" s="176"/>
      <c r="Q1597" s="176"/>
      <c r="R1597" s="176"/>
      <c r="S1597" s="162">
        <f t="shared" si="165"/>
        <v>0</v>
      </c>
      <c r="T1597" s="167"/>
    </row>
    <row r="1598" customHeight="1" spans="2:20">
      <c r="B1598" s="166"/>
      <c r="C1598" s="164">
        <f t="shared" si="166"/>
        <v>35</v>
      </c>
      <c r="D1598" s="158" t="str">
        <f>VLOOKUP(C1598,DMSP!$A$1:$C$39,2,0)</f>
        <v>7.KHÁC</v>
      </c>
      <c r="E1598" s="159" t="str">
        <f>VLOOKUP(C1598,DMSP!$A$1:$C$39,3,0)</f>
        <v>VỌT HOA NHÃN</v>
      </c>
      <c r="F1598" s="160">
        <f t="shared" si="162"/>
        <v>0</v>
      </c>
      <c r="G1598" s="176"/>
      <c r="H1598" s="176"/>
      <c r="I1598" s="176"/>
      <c r="J1598" s="176"/>
      <c r="K1598" s="176"/>
      <c r="L1598" s="176"/>
      <c r="M1598" s="176"/>
      <c r="N1598" s="176"/>
      <c r="O1598" s="176"/>
      <c r="P1598" s="176"/>
      <c r="Q1598" s="176"/>
      <c r="R1598" s="176"/>
      <c r="S1598" s="162">
        <f t="shared" si="165"/>
        <v>0</v>
      </c>
      <c r="T1598" s="167"/>
    </row>
    <row r="1599" customHeight="1" spans="2:20">
      <c r="B1599" s="166"/>
      <c r="C1599" s="164">
        <f t="shared" si="166"/>
        <v>36</v>
      </c>
      <c r="D1599" s="158" t="str">
        <f>VLOOKUP(C1599,DMSP!$A$1:$C$39,2,0)</f>
        <v>7.KHÁC</v>
      </c>
      <c r="E1599" s="159" t="str">
        <f>VLOOKUP(C1599,DMSP!$A$1:$C$39,3,0)</f>
        <v>VỌT HOA XOÀI</v>
      </c>
      <c r="F1599" s="160">
        <f t="shared" si="162"/>
        <v>0</v>
      </c>
      <c r="G1599" s="176"/>
      <c r="H1599" s="176"/>
      <c r="I1599" s="176"/>
      <c r="J1599" s="176"/>
      <c r="K1599" s="176"/>
      <c r="L1599" s="176"/>
      <c r="M1599" s="176"/>
      <c r="N1599" s="176"/>
      <c r="O1599" s="176"/>
      <c r="P1599" s="176"/>
      <c r="Q1599" s="176"/>
      <c r="R1599" s="176"/>
      <c r="S1599" s="162">
        <f t="shared" si="165"/>
        <v>0</v>
      </c>
      <c r="T1599" s="167"/>
    </row>
    <row r="1600" customHeight="1" spans="2:20">
      <c r="B1600" s="166"/>
      <c r="C1600" s="164">
        <f t="shared" si="166"/>
        <v>37</v>
      </c>
      <c r="D1600" s="158" t="str">
        <f>VLOOKUP(C1600,DMSP!$A$1:$C$39,2,0)</f>
        <v>7.KHÁC</v>
      </c>
      <c r="E1600" s="159" t="str">
        <f>VLOOKUP(C1600,DMSP!$A$1:$C$39,3,0)</f>
        <v>VỌT HOA XOÀI</v>
      </c>
      <c r="F1600" s="160">
        <f t="shared" si="162"/>
        <v>0</v>
      </c>
      <c r="G1600" s="176"/>
      <c r="H1600" s="176"/>
      <c r="I1600" s="176"/>
      <c r="J1600" s="176"/>
      <c r="K1600" s="176"/>
      <c r="L1600" s="176"/>
      <c r="M1600" s="176"/>
      <c r="N1600" s="176"/>
      <c r="O1600" s="176"/>
      <c r="P1600" s="176"/>
      <c r="Q1600" s="176"/>
      <c r="R1600" s="176"/>
      <c r="S1600" s="162">
        <f t="shared" si="165"/>
        <v>0</v>
      </c>
      <c r="T1600" s="167"/>
    </row>
    <row r="1601" customHeight="1" spans="2:20">
      <c r="B1601" s="92"/>
      <c r="C1601" s="170">
        <f t="shared" ref="C1601" si="167">B1564</f>
        <v>0</v>
      </c>
      <c r="D1601" s="171"/>
      <c r="E1601" s="172" t="str">
        <f>"TOTAL "&amp;B1564</f>
        <v>TOTAL </v>
      </c>
      <c r="F1601" s="173">
        <f t="shared" si="162"/>
        <v>0</v>
      </c>
      <c r="G1601" s="174">
        <f>SUM(G1564:G1600)</f>
        <v>0</v>
      </c>
      <c r="H1601" s="174">
        <f t="shared" ref="H1601:R1601" si="168">SUM(H1564:H1600)</f>
        <v>0</v>
      </c>
      <c r="I1601" s="174">
        <f t="shared" si="168"/>
        <v>0</v>
      </c>
      <c r="J1601" s="174">
        <f t="shared" si="168"/>
        <v>0</v>
      </c>
      <c r="K1601" s="174">
        <f t="shared" si="168"/>
        <v>0</v>
      </c>
      <c r="L1601" s="174">
        <f t="shared" si="168"/>
        <v>0</v>
      </c>
      <c r="M1601" s="174">
        <f t="shared" si="168"/>
        <v>0</v>
      </c>
      <c r="N1601" s="174">
        <f t="shared" si="168"/>
        <v>0</v>
      </c>
      <c r="O1601" s="174">
        <f t="shared" si="168"/>
        <v>0</v>
      </c>
      <c r="P1601" s="174">
        <f t="shared" si="168"/>
        <v>0</v>
      </c>
      <c r="Q1601" s="174">
        <f t="shared" si="168"/>
        <v>0</v>
      </c>
      <c r="R1601" s="174">
        <f t="shared" si="168"/>
        <v>0</v>
      </c>
      <c r="S1601" s="174">
        <f t="shared" si="165"/>
        <v>0</v>
      </c>
      <c r="T1601" s="175"/>
    </row>
    <row r="1602" customHeight="1" spans="2:20">
      <c r="B1602" s="156"/>
      <c r="C1602" s="157">
        <v>1</v>
      </c>
      <c r="D1602" s="158" t="str">
        <f>VLOOKUP(C1602,DMSP!$A$1:$C$39,2,0)</f>
        <v>1.TOBA XANH</v>
      </c>
      <c r="E1602" s="159" t="str">
        <f>VLOOKUP(C1602,DMSP!$A$1:$C$39,3,0)</f>
        <v>TOBA XANH</v>
      </c>
      <c r="F1602" s="160">
        <f t="shared" si="162"/>
        <v>0</v>
      </c>
      <c r="G1602" s="176"/>
      <c r="H1602" s="176"/>
      <c r="I1602" s="176"/>
      <c r="J1602" s="176"/>
      <c r="K1602" s="176"/>
      <c r="L1602" s="176"/>
      <c r="M1602" s="176"/>
      <c r="N1602" s="176"/>
      <c r="O1602" s="176"/>
      <c r="P1602" s="176"/>
      <c r="Q1602" s="176"/>
      <c r="R1602" s="176"/>
      <c r="S1602" s="162">
        <f t="shared" si="165"/>
        <v>0</v>
      </c>
      <c r="T1602" s="163">
        <f t="shared" ref="T1602" si="169">S1639</f>
        <v>0</v>
      </c>
    </row>
    <row r="1603" customHeight="1" spans="2:20">
      <c r="B1603" s="166"/>
      <c r="C1603" s="164">
        <f t="shared" ref="C1603:C1638" si="170">C1602+1</f>
        <v>2</v>
      </c>
      <c r="D1603" s="158" t="str">
        <f>VLOOKUP(C1603,DMSP!$A$1:$C$39,2,0)</f>
        <v>2.HC</v>
      </c>
      <c r="E1603" s="159" t="str">
        <f>VLOOKUP(C1603,DMSP!$A$1:$C$39,3,0)</f>
        <v>HC BOOSTER</v>
      </c>
      <c r="F1603" s="160">
        <f t="shared" si="162"/>
        <v>0</v>
      </c>
      <c r="G1603" s="176"/>
      <c r="H1603" s="176"/>
      <c r="I1603" s="176"/>
      <c r="J1603" s="176"/>
      <c r="K1603" s="176"/>
      <c r="L1603" s="176"/>
      <c r="M1603" s="176"/>
      <c r="N1603" s="176"/>
      <c r="O1603" s="176"/>
      <c r="P1603" s="176"/>
      <c r="Q1603" s="176"/>
      <c r="R1603" s="176"/>
      <c r="S1603" s="162">
        <f t="shared" ref="S1603:S1640" si="171">SUM(G1603:R1603)</f>
        <v>0</v>
      </c>
      <c r="T1603" s="167"/>
    </row>
    <row r="1604" customHeight="1" spans="2:20">
      <c r="B1604" s="166"/>
      <c r="C1604" s="164">
        <f t="shared" si="170"/>
        <v>3</v>
      </c>
      <c r="D1604" s="158" t="str">
        <f>VLOOKUP(C1604,DMSP!$A$1:$C$39,2,0)</f>
        <v>2.HC</v>
      </c>
      <c r="E1604" s="159" t="str">
        <f>VLOOKUP(C1604,DMSP!$A$1:$C$39,3,0)</f>
        <v>HC KING-ROOT</v>
      </c>
      <c r="F1604" s="160">
        <f t="shared" si="162"/>
        <v>0</v>
      </c>
      <c r="G1604" s="176"/>
      <c r="H1604" s="176"/>
      <c r="I1604" s="176"/>
      <c r="J1604" s="176"/>
      <c r="K1604" s="176"/>
      <c r="L1604" s="176"/>
      <c r="M1604" s="176"/>
      <c r="N1604" s="176"/>
      <c r="O1604" s="176"/>
      <c r="P1604" s="176"/>
      <c r="Q1604" s="176"/>
      <c r="R1604" s="176"/>
      <c r="S1604" s="162">
        <f t="shared" si="171"/>
        <v>0</v>
      </c>
      <c r="T1604" s="167"/>
    </row>
    <row r="1605" customHeight="1" spans="2:20">
      <c r="B1605" s="166"/>
      <c r="C1605" s="164">
        <f t="shared" si="170"/>
        <v>4</v>
      </c>
      <c r="D1605" s="158" t="str">
        <f>VLOOKUP(C1605,DMSP!$A$1:$C$39,2,0)</f>
        <v>2.HC</v>
      </c>
      <c r="E1605" s="159" t="str">
        <f>VLOOKUP(C1605,DMSP!$A$1:$C$39,3,0)</f>
        <v>HAPPY FARM</v>
      </c>
      <c r="F1605" s="160">
        <f t="shared" si="162"/>
        <v>0</v>
      </c>
      <c r="G1605" s="176"/>
      <c r="H1605" s="176"/>
      <c r="I1605" s="176"/>
      <c r="J1605" s="176"/>
      <c r="K1605" s="176"/>
      <c r="L1605" s="176"/>
      <c r="M1605" s="176"/>
      <c r="N1605" s="176"/>
      <c r="O1605" s="176"/>
      <c r="P1605" s="176"/>
      <c r="Q1605" s="176"/>
      <c r="R1605" s="176"/>
      <c r="S1605" s="162">
        <f t="shared" si="171"/>
        <v>0</v>
      </c>
      <c r="T1605" s="167"/>
    </row>
    <row r="1606" customHeight="1" spans="2:20">
      <c r="B1606" s="166"/>
      <c r="C1606" s="164">
        <f t="shared" si="170"/>
        <v>5</v>
      </c>
      <c r="D1606" s="158" t="str">
        <f>VLOOKUP(C1606,DMSP!$A$1:$C$39,2,0)</f>
        <v>2.HC</v>
      </c>
      <c r="E1606" s="159" t="str">
        <f>VLOOKUP(C1606,DMSP!$A$1:$C$39,3,0)</f>
        <v>WOW</v>
      </c>
      <c r="F1606" s="160">
        <f t="shared" si="162"/>
        <v>0</v>
      </c>
      <c r="G1606" s="176"/>
      <c r="H1606" s="176"/>
      <c r="I1606" s="176"/>
      <c r="J1606" s="176"/>
      <c r="K1606" s="176"/>
      <c r="L1606" s="176"/>
      <c r="M1606" s="176"/>
      <c r="N1606" s="176"/>
      <c r="O1606" s="176"/>
      <c r="P1606" s="176"/>
      <c r="Q1606" s="176"/>
      <c r="R1606" s="176"/>
      <c r="S1606" s="162">
        <f t="shared" si="171"/>
        <v>0</v>
      </c>
      <c r="T1606" s="167"/>
    </row>
    <row r="1607" customHeight="1" spans="2:20">
      <c r="B1607" s="166"/>
      <c r="C1607" s="164">
        <f t="shared" si="170"/>
        <v>6</v>
      </c>
      <c r="D1607" s="158" t="str">
        <f>VLOOKUP(C1607,DMSP!$A$1:$C$39,2,0)</f>
        <v>3.SPRAY </v>
      </c>
      <c r="E1607" s="159" t="str">
        <f>VLOOKUP(C1607,DMSP!$A$1:$C$39,3,0)</f>
        <v>KELPIT</v>
      </c>
      <c r="F1607" s="160">
        <f t="shared" ref="F1607:F1670" si="172">S1607</f>
        <v>0</v>
      </c>
      <c r="G1607" s="176"/>
      <c r="H1607" s="176"/>
      <c r="I1607" s="176"/>
      <c r="J1607" s="176"/>
      <c r="K1607" s="176"/>
      <c r="L1607" s="176"/>
      <c r="M1607" s="176"/>
      <c r="N1607" s="176"/>
      <c r="O1607" s="176"/>
      <c r="P1607" s="176"/>
      <c r="Q1607" s="176"/>
      <c r="R1607" s="176"/>
      <c r="S1607" s="162">
        <f t="shared" si="171"/>
        <v>0</v>
      </c>
      <c r="T1607" s="167"/>
    </row>
    <row r="1608" customHeight="1" spans="2:20">
      <c r="B1608" s="166"/>
      <c r="C1608" s="164">
        <f t="shared" si="170"/>
        <v>7</v>
      </c>
      <c r="D1608" s="158" t="str">
        <f>VLOOKUP(C1608,DMSP!$A$1:$C$39,2,0)</f>
        <v>3.SPRAY </v>
      </c>
      <c r="E1608" s="159" t="str">
        <f>VLOOKUP(C1608,DMSP!$A$1:$C$39,3,0)</f>
        <v>SI-K</v>
      </c>
      <c r="F1608" s="160">
        <f t="shared" si="172"/>
        <v>0</v>
      </c>
      <c r="G1608" s="176"/>
      <c r="H1608" s="176"/>
      <c r="I1608" s="176"/>
      <c r="J1608" s="176"/>
      <c r="K1608" s="176"/>
      <c r="L1608" s="176"/>
      <c r="M1608" s="176"/>
      <c r="N1608" s="176"/>
      <c r="O1608" s="176"/>
      <c r="P1608" s="176"/>
      <c r="Q1608" s="176"/>
      <c r="R1608" s="176"/>
      <c r="S1608" s="162">
        <f t="shared" si="171"/>
        <v>0</v>
      </c>
      <c r="T1608" s="167"/>
    </row>
    <row r="1609" customHeight="1" spans="2:20">
      <c r="B1609" s="166"/>
      <c r="C1609" s="164">
        <f t="shared" si="170"/>
        <v>8</v>
      </c>
      <c r="D1609" s="158" t="str">
        <f>VLOOKUP(C1609,DMSP!$A$1:$C$39,2,0)</f>
        <v>3.SPRAY </v>
      </c>
      <c r="E1609" s="159" t="str">
        <f>VLOOKUP(C1609,DMSP!$A$1:$C$39,3,0)</f>
        <v>SPRAY PHOS 620</v>
      </c>
      <c r="F1609" s="160">
        <f t="shared" si="172"/>
        <v>0</v>
      </c>
      <c r="G1609" s="176"/>
      <c r="H1609" s="176"/>
      <c r="I1609" s="176"/>
      <c r="J1609" s="176"/>
      <c r="K1609" s="176"/>
      <c r="L1609" s="176"/>
      <c r="M1609" s="176"/>
      <c r="N1609" s="176"/>
      <c r="O1609" s="176"/>
      <c r="P1609" s="176"/>
      <c r="Q1609" s="176"/>
      <c r="R1609" s="176"/>
      <c r="S1609" s="162">
        <f t="shared" si="171"/>
        <v>0</v>
      </c>
      <c r="T1609" s="167"/>
    </row>
    <row r="1610" customHeight="1" spans="2:20">
      <c r="B1610" s="166"/>
      <c r="C1610" s="164">
        <f t="shared" si="170"/>
        <v>9</v>
      </c>
      <c r="D1610" s="158" t="str">
        <f>VLOOKUP(C1610,DMSP!$A$1:$C$39,2,0)</f>
        <v>4.DƯỠNG RỄ</v>
      </c>
      <c r="E1610" s="159" t="str">
        <f>VLOOKUP(C1610,DMSP!$A$1:$C$39,3,0)</f>
        <v>CHITOSAN</v>
      </c>
      <c r="F1610" s="160">
        <f t="shared" si="172"/>
        <v>0</v>
      </c>
      <c r="G1610" s="176"/>
      <c r="H1610" s="176"/>
      <c r="I1610" s="176"/>
      <c r="J1610" s="176"/>
      <c r="K1610" s="176"/>
      <c r="L1610" s="176"/>
      <c r="M1610" s="176"/>
      <c r="N1610" s="176"/>
      <c r="O1610" s="176"/>
      <c r="P1610" s="176"/>
      <c r="Q1610" s="176"/>
      <c r="R1610" s="176"/>
      <c r="S1610" s="162">
        <f t="shared" si="171"/>
        <v>0</v>
      </c>
      <c r="T1610" s="167"/>
    </row>
    <row r="1611" customHeight="1" spans="2:20">
      <c r="B1611" s="166"/>
      <c r="C1611" s="164">
        <f t="shared" si="170"/>
        <v>10</v>
      </c>
      <c r="D1611" s="158" t="str">
        <f>VLOOKUP(C1611,DMSP!$A$1:$C$39,2,0)</f>
        <v>4.DƯỠNG RỄ</v>
      </c>
      <c r="E1611" s="159" t="str">
        <f>VLOOKUP(C1611,DMSP!$A$1:$C$39,3,0)</f>
        <v>ĐẠM CÁ</v>
      </c>
      <c r="F1611" s="160">
        <f t="shared" si="172"/>
        <v>0</v>
      </c>
      <c r="G1611" s="176"/>
      <c r="H1611" s="176"/>
      <c r="I1611" s="176"/>
      <c r="J1611" s="176"/>
      <c r="K1611" s="176"/>
      <c r="L1611" s="176"/>
      <c r="M1611" s="176"/>
      <c r="N1611" s="176"/>
      <c r="O1611" s="176"/>
      <c r="P1611" s="176"/>
      <c r="Q1611" s="176"/>
      <c r="R1611" s="176"/>
      <c r="S1611" s="162">
        <f t="shared" si="171"/>
        <v>0</v>
      </c>
      <c r="T1611" s="167"/>
    </row>
    <row r="1612" customHeight="1" spans="2:20">
      <c r="B1612" s="166"/>
      <c r="C1612" s="164">
        <f t="shared" si="170"/>
        <v>11</v>
      </c>
      <c r="D1612" s="158" t="str">
        <f>VLOOKUP(C1612,DMSP!$A$1:$C$39,2,0)</f>
        <v>4.DƯỠNG RỄ</v>
      </c>
      <c r="E1612" s="159" t="str">
        <f>VLOOKUP(C1612,DMSP!$A$1:$C$39,3,0)</f>
        <v>ĐẠM TÔM</v>
      </c>
      <c r="F1612" s="160">
        <f t="shared" si="172"/>
        <v>0</v>
      </c>
      <c r="G1612" s="176"/>
      <c r="H1612" s="176"/>
      <c r="I1612" s="176"/>
      <c r="J1612" s="176"/>
      <c r="K1612" s="176"/>
      <c r="L1612" s="176"/>
      <c r="M1612" s="176"/>
      <c r="N1612" s="176"/>
      <c r="O1612" s="176"/>
      <c r="P1612" s="176"/>
      <c r="Q1612" s="176"/>
      <c r="R1612" s="176"/>
      <c r="S1612" s="162">
        <f t="shared" si="171"/>
        <v>0</v>
      </c>
      <c r="T1612" s="167"/>
    </row>
    <row r="1613" customHeight="1" spans="2:20">
      <c r="B1613" s="166"/>
      <c r="C1613" s="164">
        <f t="shared" si="170"/>
        <v>12</v>
      </c>
      <c r="D1613" s="158" t="str">
        <f>VLOOKUP(C1613,DMSP!$A$1:$C$39,2,0)</f>
        <v>4.DƯỠNG RỄ</v>
      </c>
      <c r="E1613" s="159" t="str">
        <f>VLOOKUP(C1613,DMSP!$A$1:$C$39,3,0)</f>
        <v>SUPERMIC</v>
      </c>
      <c r="F1613" s="160">
        <f t="shared" si="172"/>
        <v>0</v>
      </c>
      <c r="G1613" s="176"/>
      <c r="H1613" s="176"/>
      <c r="I1613" s="176"/>
      <c r="J1613" s="176"/>
      <c r="K1613" s="176"/>
      <c r="L1613" s="176"/>
      <c r="M1613" s="176"/>
      <c r="N1613" s="176"/>
      <c r="O1613" s="176"/>
      <c r="P1613" s="176"/>
      <c r="Q1613" s="176"/>
      <c r="R1613" s="176"/>
      <c r="S1613" s="162">
        <f t="shared" si="171"/>
        <v>0</v>
      </c>
      <c r="T1613" s="167"/>
    </row>
    <row r="1614" customHeight="1" spans="2:20">
      <c r="B1614" s="166"/>
      <c r="C1614" s="164">
        <f t="shared" si="170"/>
        <v>13</v>
      </c>
      <c r="D1614" s="158" t="str">
        <f>VLOOKUP(C1614,DMSP!$A$1:$C$39,2,0)</f>
        <v>5.TRUYỀN THỐNG</v>
      </c>
      <c r="E1614" s="159" t="str">
        <f>VLOOKUP(C1614,DMSP!$A$1:$C$39,3,0)</f>
        <v>CABO</v>
      </c>
      <c r="F1614" s="160">
        <f t="shared" si="172"/>
        <v>0</v>
      </c>
      <c r="G1614" s="176"/>
      <c r="H1614" s="176"/>
      <c r="I1614" s="176"/>
      <c r="J1614" s="176"/>
      <c r="K1614" s="176"/>
      <c r="L1614" s="176"/>
      <c r="M1614" s="176"/>
      <c r="N1614" s="176"/>
      <c r="O1614" s="176"/>
      <c r="P1614" s="176"/>
      <c r="Q1614" s="176"/>
      <c r="R1614" s="176"/>
      <c r="S1614" s="162">
        <f t="shared" si="171"/>
        <v>0</v>
      </c>
      <c r="T1614" s="167"/>
    </row>
    <row r="1615" customHeight="1" spans="2:20">
      <c r="B1615" s="166"/>
      <c r="C1615" s="164">
        <f t="shared" si="170"/>
        <v>14</v>
      </c>
      <c r="D1615" s="158" t="str">
        <f>VLOOKUP(C1615,DMSP!$A$1:$C$39,2,0)</f>
        <v>5.TRUYỀN THỐNG</v>
      </c>
      <c r="E1615" s="159" t="str">
        <f>VLOOKUP(C1615,DMSP!$A$1:$C$39,3,0)</f>
        <v>F94</v>
      </c>
      <c r="F1615" s="160">
        <f t="shared" si="172"/>
        <v>0</v>
      </c>
      <c r="G1615" s="176"/>
      <c r="H1615" s="176"/>
      <c r="I1615" s="176"/>
      <c r="J1615" s="176"/>
      <c r="K1615" s="176"/>
      <c r="L1615" s="176"/>
      <c r="M1615" s="176"/>
      <c r="N1615" s="176"/>
      <c r="O1615" s="176"/>
      <c r="P1615" s="176"/>
      <c r="Q1615" s="176"/>
      <c r="R1615" s="176"/>
      <c r="S1615" s="162">
        <f t="shared" si="171"/>
        <v>0</v>
      </c>
      <c r="T1615" s="167"/>
    </row>
    <row r="1616" customHeight="1" spans="2:20">
      <c r="B1616" s="166"/>
      <c r="C1616" s="164">
        <f t="shared" si="170"/>
        <v>15</v>
      </c>
      <c r="D1616" s="158" t="str">
        <f>VLOOKUP(C1616,DMSP!$A$1:$C$39,2,0)</f>
        <v>5.TRUYỀN THỐNG</v>
      </c>
      <c r="E1616" s="159" t="str">
        <f>VLOOKUP(C1616,DMSP!$A$1:$C$39,3,0)</f>
        <v>F95</v>
      </c>
      <c r="F1616" s="160">
        <f t="shared" si="172"/>
        <v>0</v>
      </c>
      <c r="G1616" s="176"/>
      <c r="H1616" s="176"/>
      <c r="I1616" s="176"/>
      <c r="J1616" s="176"/>
      <c r="K1616" s="176"/>
      <c r="L1616" s="176"/>
      <c r="M1616" s="176"/>
      <c r="N1616" s="176"/>
      <c r="O1616" s="176"/>
      <c r="P1616" s="176"/>
      <c r="Q1616" s="176"/>
      <c r="R1616" s="176"/>
      <c r="S1616" s="162">
        <f t="shared" si="171"/>
        <v>0</v>
      </c>
      <c r="T1616" s="167"/>
    </row>
    <row r="1617" customHeight="1" spans="2:20">
      <c r="B1617" s="166"/>
      <c r="C1617" s="164">
        <f t="shared" si="170"/>
        <v>16</v>
      </c>
      <c r="D1617" s="158" t="str">
        <f>VLOOKUP(C1617,DMSP!$A$1:$C$39,2,0)</f>
        <v>5.TRUYỀN THỐNG</v>
      </c>
      <c r="E1617" s="159" t="str">
        <f>VLOOKUP(C1617,DMSP!$A$1:$C$39,3,0)</f>
        <v>THIOURE</v>
      </c>
      <c r="F1617" s="160">
        <f t="shared" si="172"/>
        <v>0</v>
      </c>
      <c r="G1617" s="176"/>
      <c r="H1617" s="176"/>
      <c r="I1617" s="176"/>
      <c r="J1617" s="176"/>
      <c r="K1617" s="176"/>
      <c r="L1617" s="176"/>
      <c r="M1617" s="176"/>
      <c r="N1617" s="176"/>
      <c r="O1617" s="176"/>
      <c r="P1617" s="176"/>
      <c r="Q1617" s="176"/>
      <c r="R1617" s="176"/>
      <c r="S1617" s="162">
        <f t="shared" si="171"/>
        <v>0</v>
      </c>
      <c r="T1617" s="167"/>
    </row>
    <row r="1618" customHeight="1" spans="2:20">
      <c r="B1618" s="166"/>
      <c r="C1618" s="164">
        <f t="shared" si="170"/>
        <v>17</v>
      </c>
      <c r="D1618" s="158" t="str">
        <f>VLOOKUP(C1618,DMSP!$A$1:$C$39,2,0)</f>
        <v>5.TRUYỀN THỐNG</v>
      </c>
      <c r="E1618" s="159" t="str">
        <f>VLOOKUP(C1618,DMSP!$A$1:$C$39,3,0)</f>
        <v>TOBA JUM</v>
      </c>
      <c r="F1618" s="160">
        <f t="shared" si="172"/>
        <v>0</v>
      </c>
      <c r="G1618" s="176"/>
      <c r="H1618" s="176"/>
      <c r="I1618" s="176"/>
      <c r="J1618" s="176"/>
      <c r="K1618" s="176"/>
      <c r="L1618" s="176"/>
      <c r="M1618" s="176"/>
      <c r="N1618" s="176"/>
      <c r="O1618" s="176"/>
      <c r="P1618" s="176"/>
      <c r="Q1618" s="176"/>
      <c r="R1618" s="176"/>
      <c r="S1618" s="162">
        <f t="shared" si="171"/>
        <v>0</v>
      </c>
      <c r="T1618" s="167"/>
    </row>
    <row r="1619" customHeight="1" spans="2:20">
      <c r="B1619" s="166"/>
      <c r="C1619" s="164">
        <f t="shared" si="170"/>
        <v>18</v>
      </c>
      <c r="D1619" s="158" t="str">
        <f>VLOOKUP(C1619,DMSP!$A$1:$C$39,2,0)</f>
        <v>5.TRUYỀN THỐNG</v>
      </c>
      <c r="E1619" s="159" t="str">
        <f>VLOOKUP(C1619,DMSP!$A$1:$C$39,3,0)</f>
        <v>TOBA NET</v>
      </c>
      <c r="F1619" s="160">
        <f t="shared" si="172"/>
        <v>0</v>
      </c>
      <c r="G1619" s="176"/>
      <c r="H1619" s="176"/>
      <c r="I1619" s="176"/>
      <c r="J1619" s="176"/>
      <c r="K1619" s="176"/>
      <c r="L1619" s="176"/>
      <c r="M1619" s="176"/>
      <c r="N1619" s="176"/>
      <c r="O1619" s="176"/>
      <c r="P1619" s="176"/>
      <c r="Q1619" s="176"/>
      <c r="R1619" s="176"/>
      <c r="S1619" s="162">
        <f t="shared" si="171"/>
        <v>0</v>
      </c>
      <c r="T1619" s="167"/>
    </row>
    <row r="1620" customHeight="1" spans="2:20">
      <c r="B1620" s="166"/>
      <c r="C1620" s="164">
        <f t="shared" si="170"/>
        <v>19</v>
      </c>
      <c r="D1620" s="158" t="str">
        <f>VLOOKUP(C1620,DMSP!$A$1:$C$39,2,0)</f>
        <v>6.BVTV</v>
      </c>
      <c r="E1620" s="159" t="str">
        <f>VLOOKUP(C1620,DMSP!$A$1:$C$39,3,0)</f>
        <v>ABAFAX 1.8</v>
      </c>
      <c r="F1620" s="160">
        <f t="shared" si="172"/>
        <v>0</v>
      </c>
      <c r="G1620" s="176"/>
      <c r="H1620" s="176"/>
      <c r="I1620" s="176"/>
      <c r="J1620" s="176"/>
      <c r="K1620" s="176"/>
      <c r="L1620" s="176"/>
      <c r="M1620" s="176"/>
      <c r="N1620" s="176"/>
      <c r="O1620" s="176"/>
      <c r="P1620" s="176"/>
      <c r="Q1620" s="176"/>
      <c r="R1620" s="176"/>
      <c r="S1620" s="162">
        <f t="shared" si="171"/>
        <v>0</v>
      </c>
      <c r="T1620" s="167"/>
    </row>
    <row r="1621" customHeight="1" spans="2:20">
      <c r="B1621" s="166"/>
      <c r="C1621" s="164">
        <f t="shared" si="170"/>
        <v>20</v>
      </c>
      <c r="D1621" s="158" t="str">
        <f>VLOOKUP(C1621,DMSP!$A$1:$C$39,2,0)</f>
        <v>6.BVTV</v>
      </c>
      <c r="E1621" s="159" t="str">
        <f>VLOOKUP(C1621,DMSP!$A$1:$C$39,3,0)</f>
        <v>ABAFAX 3.6</v>
      </c>
      <c r="F1621" s="160">
        <f t="shared" si="172"/>
        <v>0</v>
      </c>
      <c r="G1621" s="176"/>
      <c r="H1621" s="176"/>
      <c r="I1621" s="176"/>
      <c r="J1621" s="176"/>
      <c r="K1621" s="176"/>
      <c r="L1621" s="176"/>
      <c r="M1621" s="176"/>
      <c r="N1621" s="176"/>
      <c r="O1621" s="176"/>
      <c r="P1621" s="176"/>
      <c r="Q1621" s="176"/>
      <c r="R1621" s="176"/>
      <c r="S1621" s="162">
        <f t="shared" si="171"/>
        <v>0</v>
      </c>
      <c r="T1621" s="167"/>
    </row>
    <row r="1622" customHeight="1" spans="2:20">
      <c r="B1622" s="166"/>
      <c r="C1622" s="164">
        <f t="shared" si="170"/>
        <v>21</v>
      </c>
      <c r="D1622" s="158" t="str">
        <f>VLOOKUP(C1622,DMSP!$A$1:$C$39,2,0)</f>
        <v>6.BVTV</v>
      </c>
      <c r="E1622" s="159" t="str">
        <f>VLOOKUP(C1622,DMSP!$A$1:$C$39,3,0)</f>
        <v>AZET</v>
      </c>
      <c r="F1622" s="160">
        <f t="shared" si="172"/>
        <v>0</v>
      </c>
      <c r="G1622" s="176"/>
      <c r="H1622" s="176"/>
      <c r="I1622" s="176"/>
      <c r="J1622" s="176"/>
      <c r="K1622" s="176"/>
      <c r="L1622" s="176"/>
      <c r="M1622" s="176"/>
      <c r="N1622" s="176"/>
      <c r="O1622" s="176"/>
      <c r="P1622" s="176"/>
      <c r="Q1622" s="176"/>
      <c r="R1622" s="176"/>
      <c r="S1622" s="162">
        <f t="shared" si="171"/>
        <v>0</v>
      </c>
      <c r="T1622" s="167"/>
    </row>
    <row r="1623" customHeight="1" spans="2:20">
      <c r="B1623" s="166"/>
      <c r="C1623" s="164">
        <f t="shared" si="170"/>
        <v>22</v>
      </c>
      <c r="D1623" s="158" t="str">
        <f>VLOOKUP(C1623,DMSP!$A$1:$C$39,2,0)</f>
        <v>6.BVTV</v>
      </c>
      <c r="E1623" s="159" t="str">
        <f>VLOOKUP(C1623,DMSP!$A$1:$C$39,3,0)</f>
        <v>BACBA</v>
      </c>
      <c r="F1623" s="160">
        <f t="shared" si="172"/>
        <v>0</v>
      </c>
      <c r="G1623" s="176"/>
      <c r="H1623" s="176"/>
      <c r="I1623" s="176"/>
      <c r="J1623" s="176"/>
      <c r="K1623" s="176"/>
      <c r="L1623" s="176"/>
      <c r="M1623" s="176"/>
      <c r="N1623" s="176"/>
      <c r="O1623" s="176"/>
      <c r="P1623" s="176"/>
      <c r="Q1623" s="176"/>
      <c r="R1623" s="176"/>
      <c r="S1623" s="162">
        <f t="shared" si="171"/>
        <v>0</v>
      </c>
      <c r="T1623" s="167"/>
    </row>
    <row r="1624" customHeight="1" spans="2:20">
      <c r="B1624" s="166"/>
      <c r="C1624" s="164">
        <f t="shared" si="170"/>
        <v>23</v>
      </c>
      <c r="D1624" s="158" t="str">
        <f>VLOOKUP(C1624,DMSP!$A$1:$C$39,2,0)</f>
        <v>6.BVTV</v>
      </c>
      <c r="E1624" s="159" t="str">
        <f>VLOOKUP(C1624,DMSP!$A$1:$C$39,3,0)</f>
        <v>BIOROSAMIL</v>
      </c>
      <c r="F1624" s="160">
        <f t="shared" si="172"/>
        <v>0</v>
      </c>
      <c r="G1624" s="176"/>
      <c r="H1624" s="176"/>
      <c r="I1624" s="176"/>
      <c r="J1624" s="176"/>
      <c r="K1624" s="176"/>
      <c r="L1624" s="176"/>
      <c r="M1624" s="176"/>
      <c r="N1624" s="176"/>
      <c r="O1624" s="176"/>
      <c r="P1624" s="176"/>
      <c r="Q1624" s="176"/>
      <c r="R1624" s="176"/>
      <c r="S1624" s="162">
        <f t="shared" si="171"/>
        <v>0</v>
      </c>
      <c r="T1624" s="167"/>
    </row>
    <row r="1625" customHeight="1" spans="2:20">
      <c r="B1625" s="166"/>
      <c r="C1625" s="164">
        <f t="shared" si="170"/>
        <v>24</v>
      </c>
      <c r="D1625" s="158" t="str">
        <f>VLOOKUP(C1625,DMSP!$A$1:$C$39,2,0)</f>
        <v>6.BVTV</v>
      </c>
      <c r="E1625" s="159" t="str">
        <f>VLOOKUP(C1625,DMSP!$A$1:$C$39,3,0)</f>
        <v>COC 86</v>
      </c>
      <c r="F1625" s="160">
        <f t="shared" si="172"/>
        <v>0</v>
      </c>
      <c r="G1625" s="176"/>
      <c r="H1625" s="176"/>
      <c r="I1625" s="176"/>
      <c r="J1625" s="176"/>
      <c r="K1625" s="176"/>
      <c r="L1625" s="176"/>
      <c r="M1625" s="176"/>
      <c r="N1625" s="176"/>
      <c r="O1625" s="176"/>
      <c r="P1625" s="176"/>
      <c r="Q1625" s="176"/>
      <c r="R1625" s="176"/>
      <c r="S1625" s="162">
        <f t="shared" si="171"/>
        <v>0</v>
      </c>
      <c r="T1625" s="167"/>
    </row>
    <row r="1626" customHeight="1" spans="2:20">
      <c r="B1626" s="166"/>
      <c r="C1626" s="164">
        <f t="shared" si="170"/>
        <v>25</v>
      </c>
      <c r="D1626" s="158" t="str">
        <f>VLOOKUP(C1626,DMSP!$A$1:$C$39,2,0)</f>
        <v>6.BVTV</v>
      </c>
      <c r="E1626" s="159" t="str">
        <f>VLOOKUP(C1626,DMSP!$A$1:$C$39,3,0)</f>
        <v>HEXA 5</v>
      </c>
      <c r="F1626" s="160">
        <f t="shared" si="172"/>
        <v>0</v>
      </c>
      <c r="G1626" s="176"/>
      <c r="H1626" s="176"/>
      <c r="I1626" s="176"/>
      <c r="J1626" s="176"/>
      <c r="K1626" s="176"/>
      <c r="L1626" s="176"/>
      <c r="M1626" s="176"/>
      <c r="N1626" s="176"/>
      <c r="O1626" s="176"/>
      <c r="P1626" s="176"/>
      <c r="Q1626" s="176"/>
      <c r="R1626" s="176"/>
      <c r="S1626" s="162">
        <f t="shared" si="171"/>
        <v>0</v>
      </c>
      <c r="T1626" s="167"/>
    </row>
    <row r="1627" customHeight="1" spans="2:20">
      <c r="B1627" s="166"/>
      <c r="C1627" s="164">
        <f t="shared" si="170"/>
        <v>26</v>
      </c>
      <c r="D1627" s="158" t="str">
        <f>VLOOKUP(C1627,DMSP!$A$1:$C$39,2,0)</f>
        <v>6.BVTV</v>
      </c>
      <c r="E1627" s="159" t="str">
        <f>VLOOKUP(C1627,DMSP!$A$1:$C$39,3,0)</f>
        <v>TAMALA</v>
      </c>
      <c r="F1627" s="160">
        <f t="shared" si="172"/>
        <v>0</v>
      </c>
      <c r="G1627" s="176"/>
      <c r="H1627" s="176"/>
      <c r="I1627" s="176"/>
      <c r="J1627" s="176"/>
      <c r="K1627" s="176"/>
      <c r="L1627" s="176"/>
      <c r="M1627" s="176"/>
      <c r="N1627" s="176"/>
      <c r="O1627" s="176"/>
      <c r="P1627" s="176"/>
      <c r="Q1627" s="176"/>
      <c r="R1627" s="176"/>
      <c r="S1627" s="162">
        <f t="shared" si="171"/>
        <v>0</v>
      </c>
      <c r="T1627" s="167"/>
    </row>
    <row r="1628" customHeight="1" spans="2:20">
      <c r="B1628" s="166"/>
      <c r="C1628" s="164">
        <f t="shared" si="170"/>
        <v>27</v>
      </c>
      <c r="D1628" s="158" t="str">
        <f>VLOOKUP(C1628,DMSP!$A$1:$C$39,2,0)</f>
        <v>7.KHÁC</v>
      </c>
      <c r="E1628" s="159" t="str">
        <f>VLOOKUP(C1628,DMSP!$A$1:$C$39,3,0)</f>
        <v>KẼM VÀNG</v>
      </c>
      <c r="F1628" s="160">
        <f t="shared" si="172"/>
        <v>0</v>
      </c>
      <c r="G1628" s="176"/>
      <c r="H1628" s="176"/>
      <c r="I1628" s="176"/>
      <c r="J1628" s="176"/>
      <c r="K1628" s="176"/>
      <c r="L1628" s="176"/>
      <c r="M1628" s="176"/>
      <c r="N1628" s="176"/>
      <c r="O1628" s="176"/>
      <c r="P1628" s="176"/>
      <c r="Q1628" s="176"/>
      <c r="R1628" s="176"/>
      <c r="S1628" s="162">
        <f t="shared" si="171"/>
        <v>0</v>
      </c>
      <c r="T1628" s="167"/>
    </row>
    <row r="1629" customHeight="1" spans="2:20">
      <c r="B1629" s="166"/>
      <c r="C1629" s="164">
        <f t="shared" si="170"/>
        <v>28</v>
      </c>
      <c r="D1629" s="158" t="str">
        <f>VLOOKUP(C1629,DMSP!$A$1:$C$39,2,0)</f>
        <v>7.KHÁC</v>
      </c>
      <c r="E1629" s="159" t="str">
        <f>VLOOKUP(C1629,DMSP!$A$1:$C$39,3,0)</f>
        <v>KHÁC1</v>
      </c>
      <c r="F1629" s="160">
        <f t="shared" si="172"/>
        <v>0</v>
      </c>
      <c r="G1629" s="176"/>
      <c r="H1629" s="176"/>
      <c r="I1629" s="176"/>
      <c r="J1629" s="176"/>
      <c r="K1629" s="176"/>
      <c r="L1629" s="176"/>
      <c r="M1629" s="176"/>
      <c r="N1629" s="176"/>
      <c r="O1629" s="176"/>
      <c r="P1629" s="176"/>
      <c r="Q1629" s="176"/>
      <c r="R1629" s="176"/>
      <c r="S1629" s="162">
        <f t="shared" si="171"/>
        <v>0</v>
      </c>
      <c r="T1629" s="167"/>
    </row>
    <row r="1630" customHeight="1" spans="2:20">
      <c r="B1630" s="166"/>
      <c r="C1630" s="164">
        <f t="shared" si="170"/>
        <v>29</v>
      </c>
      <c r="D1630" s="158" t="str">
        <f>VLOOKUP(C1630,DMSP!$A$1:$C$39,2,0)</f>
        <v>7.KHÁC</v>
      </c>
      <c r="E1630" s="169" t="s">
        <v>13</v>
      </c>
      <c r="F1630" s="160">
        <f t="shared" si="172"/>
        <v>0</v>
      </c>
      <c r="G1630" s="176"/>
      <c r="H1630" s="176"/>
      <c r="I1630" s="176"/>
      <c r="J1630" s="176"/>
      <c r="K1630" s="176"/>
      <c r="L1630" s="176"/>
      <c r="M1630" s="176"/>
      <c r="N1630" s="176"/>
      <c r="O1630" s="176"/>
      <c r="P1630" s="176"/>
      <c r="Q1630" s="176"/>
      <c r="R1630" s="176"/>
      <c r="S1630" s="162">
        <f t="shared" si="171"/>
        <v>0</v>
      </c>
      <c r="T1630" s="167"/>
    </row>
    <row r="1631" customHeight="1" spans="2:20">
      <c r="B1631" s="166"/>
      <c r="C1631" s="164">
        <f t="shared" si="170"/>
        <v>30</v>
      </c>
      <c r="D1631" s="158" t="str">
        <f>VLOOKUP(C1631,DMSP!$A$1:$C$39,2,0)</f>
        <v>7.KHÁC</v>
      </c>
      <c r="E1631" s="159" t="str">
        <f>VLOOKUP(C1631,DMSP!$A$1:$C$39,3,0)</f>
        <v>RỬA RONG RÊU</v>
      </c>
      <c r="F1631" s="160">
        <f t="shared" si="172"/>
        <v>0</v>
      </c>
      <c r="G1631" s="176"/>
      <c r="H1631" s="176"/>
      <c r="I1631" s="176"/>
      <c r="J1631" s="176"/>
      <c r="K1631" s="176"/>
      <c r="L1631" s="176"/>
      <c r="M1631" s="176"/>
      <c r="N1631" s="176"/>
      <c r="O1631" s="176"/>
      <c r="P1631" s="176"/>
      <c r="Q1631" s="176"/>
      <c r="R1631" s="176"/>
      <c r="S1631" s="162">
        <f t="shared" si="171"/>
        <v>0</v>
      </c>
      <c r="T1631" s="167"/>
    </row>
    <row r="1632" customHeight="1" spans="2:20">
      <c r="B1632" s="166"/>
      <c r="C1632" s="164">
        <f t="shared" si="170"/>
        <v>31</v>
      </c>
      <c r="D1632" s="158" t="str">
        <f>VLOOKUP(C1632,DMSP!$A$1:$C$39,2,0)</f>
        <v>7.KHÁC</v>
      </c>
      <c r="E1632" s="159" t="str">
        <f>VLOOKUP(C1632,DMSP!$A$1:$C$39,3,0)</f>
        <v>TB BO</v>
      </c>
      <c r="F1632" s="160">
        <f t="shared" si="172"/>
        <v>0</v>
      </c>
      <c r="G1632" s="176"/>
      <c r="H1632" s="176"/>
      <c r="I1632" s="176"/>
      <c r="J1632" s="176"/>
      <c r="K1632" s="176"/>
      <c r="L1632" s="176"/>
      <c r="M1632" s="176"/>
      <c r="N1632" s="176"/>
      <c r="O1632" s="176"/>
      <c r="P1632" s="176"/>
      <c r="Q1632" s="176"/>
      <c r="R1632" s="176"/>
      <c r="S1632" s="162">
        <f t="shared" si="171"/>
        <v>0</v>
      </c>
      <c r="T1632" s="167"/>
    </row>
    <row r="1633" customHeight="1" spans="2:20">
      <c r="B1633" s="166"/>
      <c r="C1633" s="164">
        <f t="shared" si="170"/>
        <v>32</v>
      </c>
      <c r="D1633" s="158" t="str">
        <f>VLOOKUP(C1633,DMSP!$A$1:$C$39,2,0)</f>
        <v>7.KHÁC</v>
      </c>
      <c r="E1633" s="159" t="str">
        <f>VLOOKUP(C1633,DMSP!$A$1:$C$39,3,0)</f>
        <v>TB FRUIT</v>
      </c>
      <c r="F1633" s="160">
        <f t="shared" si="172"/>
        <v>0</v>
      </c>
      <c r="G1633" s="176"/>
      <c r="H1633" s="176"/>
      <c r="I1633" s="176"/>
      <c r="J1633" s="176"/>
      <c r="K1633" s="176"/>
      <c r="L1633" s="176"/>
      <c r="M1633" s="176"/>
      <c r="N1633" s="176"/>
      <c r="O1633" s="176"/>
      <c r="P1633" s="176"/>
      <c r="Q1633" s="176"/>
      <c r="R1633" s="176"/>
      <c r="S1633" s="162">
        <f t="shared" si="171"/>
        <v>0</v>
      </c>
      <c r="T1633" s="167"/>
    </row>
    <row r="1634" customHeight="1" spans="2:20">
      <c r="B1634" s="166"/>
      <c r="C1634" s="164">
        <f t="shared" si="170"/>
        <v>33</v>
      </c>
      <c r="D1634" s="158" t="str">
        <f>VLOOKUP(C1634,DMSP!$A$1:$C$39,2,0)</f>
        <v>7.KHÁC</v>
      </c>
      <c r="E1634" s="159" t="str">
        <f>VLOOKUP(C1634,DMSP!$A$1:$C$39,3,0)</f>
        <v>TB PHOS</v>
      </c>
      <c r="F1634" s="160">
        <f t="shared" si="172"/>
        <v>0</v>
      </c>
      <c r="G1634" s="176"/>
      <c r="H1634" s="176"/>
      <c r="I1634" s="176"/>
      <c r="J1634" s="176"/>
      <c r="K1634" s="176"/>
      <c r="L1634" s="176"/>
      <c r="M1634" s="176"/>
      <c r="N1634" s="176"/>
      <c r="O1634" s="176"/>
      <c r="P1634" s="176"/>
      <c r="Q1634" s="176"/>
      <c r="R1634" s="176"/>
      <c r="S1634" s="162">
        <f t="shared" si="171"/>
        <v>0</v>
      </c>
      <c r="T1634" s="167"/>
    </row>
    <row r="1635" customHeight="1" spans="2:20">
      <c r="B1635" s="166"/>
      <c r="C1635" s="164">
        <f t="shared" si="170"/>
        <v>34</v>
      </c>
      <c r="D1635" s="158" t="str">
        <f>VLOOKUP(C1635,DMSP!$A$1:$C$39,2,0)</f>
        <v>7.KHÁC</v>
      </c>
      <c r="E1635" s="159" t="str">
        <f>VLOOKUP(C1635,DMSP!$A$1:$C$39,3,0)</f>
        <v>TOBA BÁM DÍNH</v>
      </c>
      <c r="F1635" s="160">
        <f t="shared" si="172"/>
        <v>0</v>
      </c>
      <c r="G1635" s="176"/>
      <c r="H1635" s="176"/>
      <c r="I1635" s="176"/>
      <c r="J1635" s="176"/>
      <c r="K1635" s="176"/>
      <c r="L1635" s="176"/>
      <c r="M1635" s="176"/>
      <c r="N1635" s="176"/>
      <c r="O1635" s="176"/>
      <c r="P1635" s="176"/>
      <c r="Q1635" s="176"/>
      <c r="R1635" s="176"/>
      <c r="S1635" s="162">
        <f t="shared" si="171"/>
        <v>0</v>
      </c>
      <c r="T1635" s="167"/>
    </row>
    <row r="1636" customHeight="1" spans="2:20">
      <c r="B1636" s="166"/>
      <c r="C1636" s="164">
        <f t="shared" si="170"/>
        <v>35</v>
      </c>
      <c r="D1636" s="158" t="str">
        <f>VLOOKUP(C1636,DMSP!$A$1:$C$39,2,0)</f>
        <v>7.KHÁC</v>
      </c>
      <c r="E1636" s="159" t="str">
        <f>VLOOKUP(C1636,DMSP!$A$1:$C$39,3,0)</f>
        <v>VỌT HOA NHÃN</v>
      </c>
      <c r="F1636" s="160">
        <f t="shared" si="172"/>
        <v>0</v>
      </c>
      <c r="G1636" s="176"/>
      <c r="H1636" s="176"/>
      <c r="I1636" s="176"/>
      <c r="J1636" s="176"/>
      <c r="K1636" s="176"/>
      <c r="L1636" s="176"/>
      <c r="M1636" s="176"/>
      <c r="N1636" s="176"/>
      <c r="O1636" s="176"/>
      <c r="P1636" s="176"/>
      <c r="Q1636" s="176"/>
      <c r="R1636" s="176"/>
      <c r="S1636" s="162">
        <f t="shared" si="171"/>
        <v>0</v>
      </c>
      <c r="T1636" s="167"/>
    </row>
    <row r="1637" customHeight="1" spans="2:20">
      <c r="B1637" s="166"/>
      <c r="C1637" s="164">
        <f t="shared" si="170"/>
        <v>36</v>
      </c>
      <c r="D1637" s="158" t="str">
        <f>VLOOKUP(C1637,DMSP!$A$1:$C$39,2,0)</f>
        <v>7.KHÁC</v>
      </c>
      <c r="E1637" s="159" t="str">
        <f>VLOOKUP(C1637,DMSP!$A$1:$C$39,3,0)</f>
        <v>VỌT HOA XOÀI</v>
      </c>
      <c r="F1637" s="160">
        <f t="shared" si="172"/>
        <v>0</v>
      </c>
      <c r="G1637" s="176"/>
      <c r="H1637" s="176"/>
      <c r="I1637" s="176"/>
      <c r="J1637" s="176"/>
      <c r="K1637" s="176"/>
      <c r="L1637" s="176"/>
      <c r="M1637" s="176"/>
      <c r="N1637" s="176"/>
      <c r="O1637" s="176"/>
      <c r="P1637" s="176"/>
      <c r="Q1637" s="176"/>
      <c r="R1637" s="176"/>
      <c r="S1637" s="162">
        <f t="shared" si="171"/>
        <v>0</v>
      </c>
      <c r="T1637" s="167"/>
    </row>
    <row r="1638" customHeight="1" spans="2:20">
      <c r="B1638" s="166"/>
      <c r="C1638" s="164">
        <f t="shared" si="170"/>
        <v>37</v>
      </c>
      <c r="D1638" s="158" t="str">
        <f>VLOOKUP(C1638,DMSP!$A$1:$C$39,2,0)</f>
        <v>7.KHÁC</v>
      </c>
      <c r="E1638" s="159" t="str">
        <f>VLOOKUP(C1638,DMSP!$A$1:$C$39,3,0)</f>
        <v>VỌT HOA XOÀI</v>
      </c>
      <c r="F1638" s="160">
        <f t="shared" si="172"/>
        <v>0</v>
      </c>
      <c r="G1638" s="176"/>
      <c r="H1638" s="176"/>
      <c r="I1638" s="176"/>
      <c r="J1638" s="176"/>
      <c r="K1638" s="176"/>
      <c r="L1638" s="176"/>
      <c r="M1638" s="176"/>
      <c r="N1638" s="176"/>
      <c r="O1638" s="176"/>
      <c r="P1638" s="176"/>
      <c r="Q1638" s="176"/>
      <c r="R1638" s="176"/>
      <c r="S1638" s="162">
        <f t="shared" si="171"/>
        <v>0</v>
      </c>
      <c r="T1638" s="167"/>
    </row>
    <row r="1639" customHeight="1" spans="2:20">
      <c r="B1639" s="92"/>
      <c r="C1639" s="170">
        <f>B1602</f>
        <v>0</v>
      </c>
      <c r="D1639" s="171"/>
      <c r="E1639" s="172" t="str">
        <f>"TOTAL "&amp;B1602</f>
        <v>TOTAL </v>
      </c>
      <c r="F1639" s="173">
        <f t="shared" si="172"/>
        <v>0</v>
      </c>
      <c r="G1639" s="174">
        <f>SUM(G1602:G1638)</f>
        <v>0</v>
      </c>
      <c r="H1639" s="174">
        <f t="shared" ref="H1639:R1639" si="173">SUM(H1602:H1638)</f>
        <v>0</v>
      </c>
      <c r="I1639" s="174">
        <f t="shared" si="173"/>
        <v>0</v>
      </c>
      <c r="J1639" s="174">
        <f t="shared" si="173"/>
        <v>0</v>
      </c>
      <c r="K1639" s="174">
        <f t="shared" si="173"/>
        <v>0</v>
      </c>
      <c r="L1639" s="174">
        <f t="shared" si="173"/>
        <v>0</v>
      </c>
      <c r="M1639" s="174">
        <f t="shared" si="173"/>
        <v>0</v>
      </c>
      <c r="N1639" s="174">
        <f t="shared" si="173"/>
        <v>0</v>
      </c>
      <c r="O1639" s="174">
        <f t="shared" si="173"/>
        <v>0</v>
      </c>
      <c r="P1639" s="174">
        <f t="shared" si="173"/>
        <v>0</v>
      </c>
      <c r="Q1639" s="174">
        <f t="shared" si="173"/>
        <v>0</v>
      </c>
      <c r="R1639" s="174">
        <f t="shared" si="173"/>
        <v>0</v>
      </c>
      <c r="S1639" s="174">
        <f t="shared" si="171"/>
        <v>0</v>
      </c>
      <c r="T1639" s="175"/>
    </row>
    <row r="1640" customHeight="1" spans="2:20">
      <c r="B1640" s="156"/>
      <c r="C1640" s="157">
        <v>1</v>
      </c>
      <c r="D1640" s="158" t="str">
        <f>VLOOKUP(C1640,DMSP!$A$1:$C$39,2,0)</f>
        <v>1.TOBA XANH</v>
      </c>
      <c r="E1640" s="159" t="str">
        <f>VLOOKUP(C1640,DMSP!$A$1:$C$39,3,0)</f>
        <v>TOBA XANH</v>
      </c>
      <c r="F1640" s="160">
        <f t="shared" si="172"/>
        <v>0</v>
      </c>
      <c r="G1640" s="176"/>
      <c r="H1640" s="176"/>
      <c r="I1640" s="176"/>
      <c r="J1640" s="176"/>
      <c r="K1640" s="176"/>
      <c r="L1640" s="176"/>
      <c r="M1640" s="176"/>
      <c r="N1640" s="176"/>
      <c r="O1640" s="176"/>
      <c r="P1640" s="176"/>
      <c r="Q1640" s="176"/>
      <c r="R1640" s="176"/>
      <c r="S1640" s="162">
        <f t="shared" si="171"/>
        <v>0</v>
      </c>
      <c r="T1640" s="163">
        <f>S1677</f>
        <v>0</v>
      </c>
    </row>
    <row r="1641" customHeight="1" spans="2:20">
      <c r="B1641" s="166"/>
      <c r="C1641" s="164">
        <f t="shared" ref="C1641:C1676" si="174">C1640+1</f>
        <v>2</v>
      </c>
      <c r="D1641" s="158" t="str">
        <f>VLOOKUP(C1641,DMSP!$A$1:$C$39,2,0)</f>
        <v>2.HC</v>
      </c>
      <c r="E1641" s="159" t="str">
        <f>VLOOKUP(C1641,DMSP!$A$1:$C$39,3,0)</f>
        <v>HC BOOSTER</v>
      </c>
      <c r="F1641" s="160">
        <f t="shared" si="172"/>
        <v>0</v>
      </c>
      <c r="G1641" s="176"/>
      <c r="H1641" s="176"/>
      <c r="I1641" s="176"/>
      <c r="J1641" s="176"/>
      <c r="K1641" s="176"/>
      <c r="L1641" s="176"/>
      <c r="M1641" s="176"/>
      <c r="N1641" s="176"/>
      <c r="O1641" s="176"/>
      <c r="P1641" s="176"/>
      <c r="Q1641" s="176"/>
      <c r="R1641" s="176"/>
      <c r="S1641" s="162">
        <f t="shared" ref="S1641:S1678" si="175">SUM(G1641:R1641)</f>
        <v>0</v>
      </c>
      <c r="T1641" s="167"/>
    </row>
    <row r="1642" customHeight="1" spans="2:20">
      <c r="B1642" s="166"/>
      <c r="C1642" s="164">
        <f t="shared" si="174"/>
        <v>3</v>
      </c>
      <c r="D1642" s="158" t="str">
        <f>VLOOKUP(C1642,DMSP!$A$1:$C$39,2,0)</f>
        <v>2.HC</v>
      </c>
      <c r="E1642" s="159" t="str">
        <f>VLOOKUP(C1642,DMSP!$A$1:$C$39,3,0)</f>
        <v>HC KING-ROOT</v>
      </c>
      <c r="F1642" s="160">
        <f t="shared" si="172"/>
        <v>0</v>
      </c>
      <c r="G1642" s="176"/>
      <c r="H1642" s="176"/>
      <c r="I1642" s="176"/>
      <c r="J1642" s="176"/>
      <c r="K1642" s="176"/>
      <c r="L1642" s="176"/>
      <c r="M1642" s="176"/>
      <c r="N1642" s="176"/>
      <c r="O1642" s="176"/>
      <c r="P1642" s="176"/>
      <c r="Q1642" s="176"/>
      <c r="R1642" s="176"/>
      <c r="S1642" s="162">
        <f t="shared" si="175"/>
        <v>0</v>
      </c>
      <c r="T1642" s="167"/>
    </row>
    <row r="1643" customHeight="1" spans="2:20">
      <c r="B1643" s="166"/>
      <c r="C1643" s="164">
        <f t="shared" si="174"/>
        <v>4</v>
      </c>
      <c r="D1643" s="158" t="str">
        <f>VLOOKUP(C1643,DMSP!$A$1:$C$39,2,0)</f>
        <v>2.HC</v>
      </c>
      <c r="E1643" s="159" t="str">
        <f>VLOOKUP(C1643,DMSP!$A$1:$C$39,3,0)</f>
        <v>HAPPY FARM</v>
      </c>
      <c r="F1643" s="160">
        <f t="shared" si="172"/>
        <v>0</v>
      </c>
      <c r="G1643" s="176"/>
      <c r="H1643" s="176"/>
      <c r="I1643" s="176"/>
      <c r="J1643" s="176"/>
      <c r="K1643" s="176"/>
      <c r="L1643" s="176"/>
      <c r="M1643" s="176"/>
      <c r="N1643" s="176"/>
      <c r="O1643" s="176"/>
      <c r="P1643" s="176"/>
      <c r="Q1643" s="176"/>
      <c r="R1643" s="176"/>
      <c r="S1643" s="162">
        <f t="shared" si="175"/>
        <v>0</v>
      </c>
      <c r="T1643" s="167"/>
    </row>
    <row r="1644" customHeight="1" spans="2:20">
      <c r="B1644" s="166"/>
      <c r="C1644" s="164">
        <f t="shared" si="174"/>
        <v>5</v>
      </c>
      <c r="D1644" s="158" t="str">
        <f>VLOOKUP(C1644,DMSP!$A$1:$C$39,2,0)</f>
        <v>2.HC</v>
      </c>
      <c r="E1644" s="159" t="str">
        <f>VLOOKUP(C1644,DMSP!$A$1:$C$39,3,0)</f>
        <v>WOW</v>
      </c>
      <c r="F1644" s="160">
        <f t="shared" si="172"/>
        <v>0</v>
      </c>
      <c r="G1644" s="176"/>
      <c r="H1644" s="176"/>
      <c r="I1644" s="176"/>
      <c r="J1644" s="176"/>
      <c r="K1644" s="176"/>
      <c r="L1644" s="176"/>
      <c r="M1644" s="176"/>
      <c r="N1644" s="176"/>
      <c r="O1644" s="176"/>
      <c r="P1644" s="176"/>
      <c r="Q1644" s="176"/>
      <c r="R1644" s="176"/>
      <c r="S1644" s="162">
        <f t="shared" si="175"/>
        <v>0</v>
      </c>
      <c r="T1644" s="167"/>
    </row>
    <row r="1645" customHeight="1" spans="2:20">
      <c r="B1645" s="166"/>
      <c r="C1645" s="164">
        <f t="shared" si="174"/>
        <v>6</v>
      </c>
      <c r="D1645" s="158" t="str">
        <f>VLOOKUP(C1645,DMSP!$A$1:$C$39,2,0)</f>
        <v>3.SPRAY </v>
      </c>
      <c r="E1645" s="159" t="str">
        <f>VLOOKUP(C1645,DMSP!$A$1:$C$39,3,0)</f>
        <v>KELPIT</v>
      </c>
      <c r="F1645" s="160">
        <f t="shared" si="172"/>
        <v>0</v>
      </c>
      <c r="G1645" s="176"/>
      <c r="H1645" s="176"/>
      <c r="I1645" s="176"/>
      <c r="J1645" s="176"/>
      <c r="K1645" s="176"/>
      <c r="L1645" s="176"/>
      <c r="M1645" s="176"/>
      <c r="N1645" s="176"/>
      <c r="O1645" s="176"/>
      <c r="P1645" s="176"/>
      <c r="Q1645" s="176"/>
      <c r="R1645" s="176"/>
      <c r="S1645" s="162">
        <f t="shared" si="175"/>
        <v>0</v>
      </c>
      <c r="T1645" s="167"/>
    </row>
    <row r="1646" customHeight="1" spans="2:20">
      <c r="B1646" s="166"/>
      <c r="C1646" s="164">
        <f t="shared" si="174"/>
        <v>7</v>
      </c>
      <c r="D1646" s="158" t="str">
        <f>VLOOKUP(C1646,DMSP!$A$1:$C$39,2,0)</f>
        <v>3.SPRAY </v>
      </c>
      <c r="E1646" s="159" t="str">
        <f>VLOOKUP(C1646,DMSP!$A$1:$C$39,3,0)</f>
        <v>SI-K</v>
      </c>
      <c r="F1646" s="160">
        <f t="shared" si="172"/>
        <v>0</v>
      </c>
      <c r="G1646" s="176"/>
      <c r="H1646" s="176"/>
      <c r="I1646" s="176"/>
      <c r="J1646" s="176"/>
      <c r="K1646" s="176"/>
      <c r="L1646" s="176"/>
      <c r="M1646" s="176"/>
      <c r="N1646" s="176"/>
      <c r="O1646" s="176"/>
      <c r="P1646" s="176"/>
      <c r="Q1646" s="176"/>
      <c r="R1646" s="176"/>
      <c r="S1646" s="162">
        <f t="shared" si="175"/>
        <v>0</v>
      </c>
      <c r="T1646" s="167"/>
    </row>
    <row r="1647" customHeight="1" spans="2:20">
      <c r="B1647" s="166"/>
      <c r="C1647" s="164">
        <f t="shared" si="174"/>
        <v>8</v>
      </c>
      <c r="D1647" s="158" t="str">
        <f>VLOOKUP(C1647,DMSP!$A$1:$C$39,2,0)</f>
        <v>3.SPRAY </v>
      </c>
      <c r="E1647" s="159" t="str">
        <f>VLOOKUP(C1647,DMSP!$A$1:$C$39,3,0)</f>
        <v>SPRAY PHOS 620</v>
      </c>
      <c r="F1647" s="160">
        <f t="shared" si="172"/>
        <v>0</v>
      </c>
      <c r="G1647" s="176"/>
      <c r="H1647" s="176"/>
      <c r="I1647" s="176"/>
      <c r="J1647" s="176"/>
      <c r="K1647" s="176"/>
      <c r="L1647" s="176"/>
      <c r="M1647" s="176"/>
      <c r="N1647" s="176"/>
      <c r="O1647" s="176"/>
      <c r="P1647" s="176"/>
      <c r="Q1647" s="176"/>
      <c r="R1647" s="176"/>
      <c r="S1647" s="162">
        <f t="shared" si="175"/>
        <v>0</v>
      </c>
      <c r="T1647" s="167"/>
    </row>
    <row r="1648" customHeight="1" spans="2:20">
      <c r="B1648" s="166"/>
      <c r="C1648" s="164">
        <f t="shared" si="174"/>
        <v>9</v>
      </c>
      <c r="D1648" s="158" t="str">
        <f>VLOOKUP(C1648,DMSP!$A$1:$C$39,2,0)</f>
        <v>4.DƯỠNG RỄ</v>
      </c>
      <c r="E1648" s="159" t="str">
        <f>VLOOKUP(C1648,DMSP!$A$1:$C$39,3,0)</f>
        <v>CHITOSAN</v>
      </c>
      <c r="F1648" s="160">
        <f t="shared" si="172"/>
        <v>0</v>
      </c>
      <c r="G1648" s="176"/>
      <c r="H1648" s="176"/>
      <c r="I1648" s="176"/>
      <c r="J1648" s="176"/>
      <c r="K1648" s="176"/>
      <c r="L1648" s="176"/>
      <c r="M1648" s="176"/>
      <c r="N1648" s="176"/>
      <c r="O1648" s="176"/>
      <c r="P1648" s="176"/>
      <c r="Q1648" s="176"/>
      <c r="R1648" s="176"/>
      <c r="S1648" s="162">
        <f t="shared" si="175"/>
        <v>0</v>
      </c>
      <c r="T1648" s="167"/>
    </row>
    <row r="1649" customHeight="1" spans="2:20">
      <c r="B1649" s="166"/>
      <c r="C1649" s="164">
        <f t="shared" si="174"/>
        <v>10</v>
      </c>
      <c r="D1649" s="158" t="str">
        <f>VLOOKUP(C1649,DMSP!$A$1:$C$39,2,0)</f>
        <v>4.DƯỠNG RỄ</v>
      </c>
      <c r="E1649" s="159" t="str">
        <f>VLOOKUP(C1649,DMSP!$A$1:$C$39,3,0)</f>
        <v>ĐẠM CÁ</v>
      </c>
      <c r="F1649" s="160">
        <f t="shared" si="172"/>
        <v>0</v>
      </c>
      <c r="G1649" s="176"/>
      <c r="H1649" s="176"/>
      <c r="I1649" s="176"/>
      <c r="J1649" s="176"/>
      <c r="K1649" s="176"/>
      <c r="L1649" s="176"/>
      <c r="M1649" s="176"/>
      <c r="N1649" s="176"/>
      <c r="O1649" s="176"/>
      <c r="P1649" s="176"/>
      <c r="Q1649" s="176"/>
      <c r="R1649" s="176"/>
      <c r="S1649" s="162">
        <f t="shared" si="175"/>
        <v>0</v>
      </c>
      <c r="T1649" s="167"/>
    </row>
    <row r="1650" customHeight="1" spans="2:20">
      <c r="B1650" s="166"/>
      <c r="C1650" s="164">
        <f t="shared" si="174"/>
        <v>11</v>
      </c>
      <c r="D1650" s="158" t="str">
        <f>VLOOKUP(C1650,DMSP!$A$1:$C$39,2,0)</f>
        <v>4.DƯỠNG RỄ</v>
      </c>
      <c r="E1650" s="159" t="str">
        <f>VLOOKUP(C1650,DMSP!$A$1:$C$39,3,0)</f>
        <v>ĐẠM TÔM</v>
      </c>
      <c r="F1650" s="160">
        <f t="shared" si="172"/>
        <v>0</v>
      </c>
      <c r="G1650" s="176"/>
      <c r="H1650" s="176"/>
      <c r="I1650" s="176"/>
      <c r="J1650" s="176"/>
      <c r="K1650" s="176"/>
      <c r="L1650" s="176"/>
      <c r="M1650" s="176"/>
      <c r="N1650" s="176"/>
      <c r="O1650" s="176"/>
      <c r="P1650" s="176"/>
      <c r="Q1650" s="176"/>
      <c r="R1650" s="176"/>
      <c r="S1650" s="162">
        <f t="shared" si="175"/>
        <v>0</v>
      </c>
      <c r="T1650" s="167"/>
    </row>
    <row r="1651" customHeight="1" spans="2:20">
      <c r="B1651" s="166"/>
      <c r="C1651" s="164">
        <f t="shared" si="174"/>
        <v>12</v>
      </c>
      <c r="D1651" s="158" t="str">
        <f>VLOOKUP(C1651,DMSP!$A$1:$C$39,2,0)</f>
        <v>4.DƯỠNG RỄ</v>
      </c>
      <c r="E1651" s="159" t="str">
        <f>VLOOKUP(C1651,DMSP!$A$1:$C$39,3,0)</f>
        <v>SUPERMIC</v>
      </c>
      <c r="F1651" s="160">
        <f t="shared" si="172"/>
        <v>0</v>
      </c>
      <c r="G1651" s="176"/>
      <c r="H1651" s="176"/>
      <c r="I1651" s="176"/>
      <c r="J1651" s="176"/>
      <c r="K1651" s="176"/>
      <c r="L1651" s="176"/>
      <c r="M1651" s="176"/>
      <c r="N1651" s="176"/>
      <c r="O1651" s="176"/>
      <c r="P1651" s="176"/>
      <c r="Q1651" s="176"/>
      <c r="R1651" s="176"/>
      <c r="S1651" s="162">
        <f t="shared" si="175"/>
        <v>0</v>
      </c>
      <c r="T1651" s="167"/>
    </row>
    <row r="1652" customHeight="1" spans="2:20">
      <c r="B1652" s="166"/>
      <c r="C1652" s="164">
        <f t="shared" si="174"/>
        <v>13</v>
      </c>
      <c r="D1652" s="158" t="str">
        <f>VLOOKUP(C1652,DMSP!$A$1:$C$39,2,0)</f>
        <v>5.TRUYỀN THỐNG</v>
      </c>
      <c r="E1652" s="159" t="str">
        <f>VLOOKUP(C1652,DMSP!$A$1:$C$39,3,0)</f>
        <v>CABO</v>
      </c>
      <c r="F1652" s="160">
        <f t="shared" si="172"/>
        <v>0</v>
      </c>
      <c r="G1652" s="176"/>
      <c r="H1652" s="176"/>
      <c r="I1652" s="176"/>
      <c r="J1652" s="176"/>
      <c r="K1652" s="176"/>
      <c r="L1652" s="176"/>
      <c r="M1652" s="176"/>
      <c r="N1652" s="176"/>
      <c r="O1652" s="176"/>
      <c r="P1652" s="176"/>
      <c r="Q1652" s="176"/>
      <c r="R1652" s="176"/>
      <c r="S1652" s="162">
        <f t="shared" si="175"/>
        <v>0</v>
      </c>
      <c r="T1652" s="167"/>
    </row>
    <row r="1653" customHeight="1" spans="2:20">
      <c r="B1653" s="166"/>
      <c r="C1653" s="164">
        <f t="shared" si="174"/>
        <v>14</v>
      </c>
      <c r="D1653" s="158" t="str">
        <f>VLOOKUP(C1653,DMSP!$A$1:$C$39,2,0)</f>
        <v>5.TRUYỀN THỐNG</v>
      </c>
      <c r="E1653" s="159" t="str">
        <f>VLOOKUP(C1653,DMSP!$A$1:$C$39,3,0)</f>
        <v>F94</v>
      </c>
      <c r="F1653" s="160">
        <f t="shared" si="172"/>
        <v>0</v>
      </c>
      <c r="G1653" s="176"/>
      <c r="H1653" s="176"/>
      <c r="I1653" s="176"/>
      <c r="J1653" s="176"/>
      <c r="K1653" s="176"/>
      <c r="L1653" s="176"/>
      <c r="M1653" s="176"/>
      <c r="N1653" s="176"/>
      <c r="O1653" s="176"/>
      <c r="P1653" s="176"/>
      <c r="Q1653" s="176"/>
      <c r="R1653" s="176"/>
      <c r="S1653" s="162">
        <f t="shared" si="175"/>
        <v>0</v>
      </c>
      <c r="T1653" s="167"/>
    </row>
    <row r="1654" customHeight="1" spans="2:20">
      <c r="B1654" s="166"/>
      <c r="C1654" s="164">
        <f t="shared" si="174"/>
        <v>15</v>
      </c>
      <c r="D1654" s="158" t="str">
        <f>VLOOKUP(C1654,DMSP!$A$1:$C$39,2,0)</f>
        <v>5.TRUYỀN THỐNG</v>
      </c>
      <c r="E1654" s="159" t="str">
        <f>VLOOKUP(C1654,DMSP!$A$1:$C$39,3,0)</f>
        <v>F95</v>
      </c>
      <c r="F1654" s="160">
        <f t="shared" si="172"/>
        <v>0</v>
      </c>
      <c r="G1654" s="176"/>
      <c r="H1654" s="176"/>
      <c r="I1654" s="176"/>
      <c r="J1654" s="176"/>
      <c r="K1654" s="176"/>
      <c r="L1654" s="176"/>
      <c r="M1654" s="176"/>
      <c r="N1654" s="176"/>
      <c r="O1654" s="176"/>
      <c r="P1654" s="176"/>
      <c r="Q1654" s="176"/>
      <c r="R1654" s="176"/>
      <c r="S1654" s="162">
        <f t="shared" si="175"/>
        <v>0</v>
      </c>
      <c r="T1654" s="167"/>
    </row>
    <row r="1655" customHeight="1" spans="2:20">
      <c r="B1655" s="166"/>
      <c r="C1655" s="164">
        <f t="shared" si="174"/>
        <v>16</v>
      </c>
      <c r="D1655" s="158" t="str">
        <f>VLOOKUP(C1655,DMSP!$A$1:$C$39,2,0)</f>
        <v>5.TRUYỀN THỐNG</v>
      </c>
      <c r="E1655" s="159" t="str">
        <f>VLOOKUP(C1655,DMSP!$A$1:$C$39,3,0)</f>
        <v>THIOURE</v>
      </c>
      <c r="F1655" s="160">
        <f t="shared" si="172"/>
        <v>0</v>
      </c>
      <c r="G1655" s="176"/>
      <c r="H1655" s="176"/>
      <c r="I1655" s="176"/>
      <c r="J1655" s="176"/>
      <c r="K1655" s="176"/>
      <c r="L1655" s="176"/>
      <c r="M1655" s="176"/>
      <c r="N1655" s="176"/>
      <c r="O1655" s="176"/>
      <c r="P1655" s="176"/>
      <c r="Q1655" s="176"/>
      <c r="R1655" s="176"/>
      <c r="S1655" s="162">
        <f t="shared" si="175"/>
        <v>0</v>
      </c>
      <c r="T1655" s="167"/>
    </row>
    <row r="1656" customHeight="1" spans="2:20">
      <c r="B1656" s="166"/>
      <c r="C1656" s="164">
        <f t="shared" si="174"/>
        <v>17</v>
      </c>
      <c r="D1656" s="158" t="str">
        <f>VLOOKUP(C1656,DMSP!$A$1:$C$39,2,0)</f>
        <v>5.TRUYỀN THỐNG</v>
      </c>
      <c r="E1656" s="159" t="str">
        <f>VLOOKUP(C1656,DMSP!$A$1:$C$39,3,0)</f>
        <v>TOBA JUM</v>
      </c>
      <c r="F1656" s="160">
        <f t="shared" si="172"/>
        <v>0</v>
      </c>
      <c r="G1656" s="176"/>
      <c r="H1656" s="176"/>
      <c r="I1656" s="176"/>
      <c r="J1656" s="176"/>
      <c r="K1656" s="176"/>
      <c r="L1656" s="176"/>
      <c r="M1656" s="176"/>
      <c r="N1656" s="176"/>
      <c r="O1656" s="176"/>
      <c r="P1656" s="176"/>
      <c r="Q1656" s="176"/>
      <c r="R1656" s="176"/>
      <c r="S1656" s="162">
        <f t="shared" si="175"/>
        <v>0</v>
      </c>
      <c r="T1656" s="167"/>
    </row>
    <row r="1657" customHeight="1" spans="2:20">
      <c r="B1657" s="166"/>
      <c r="C1657" s="164">
        <f t="shared" si="174"/>
        <v>18</v>
      </c>
      <c r="D1657" s="158" t="str">
        <f>VLOOKUP(C1657,DMSP!$A$1:$C$39,2,0)</f>
        <v>5.TRUYỀN THỐNG</v>
      </c>
      <c r="E1657" s="159" t="str">
        <f>VLOOKUP(C1657,DMSP!$A$1:$C$39,3,0)</f>
        <v>TOBA NET</v>
      </c>
      <c r="F1657" s="160">
        <f t="shared" si="172"/>
        <v>0</v>
      </c>
      <c r="G1657" s="176"/>
      <c r="H1657" s="176"/>
      <c r="I1657" s="176"/>
      <c r="J1657" s="176"/>
      <c r="K1657" s="176"/>
      <c r="L1657" s="176"/>
      <c r="M1657" s="176"/>
      <c r="N1657" s="176"/>
      <c r="O1657" s="176"/>
      <c r="P1657" s="176"/>
      <c r="Q1657" s="176"/>
      <c r="R1657" s="176"/>
      <c r="S1657" s="162">
        <f t="shared" si="175"/>
        <v>0</v>
      </c>
      <c r="T1657" s="167"/>
    </row>
    <row r="1658" customHeight="1" spans="2:20">
      <c r="B1658" s="166"/>
      <c r="C1658" s="164">
        <f t="shared" si="174"/>
        <v>19</v>
      </c>
      <c r="D1658" s="158" t="str">
        <f>VLOOKUP(C1658,DMSP!$A$1:$C$39,2,0)</f>
        <v>6.BVTV</v>
      </c>
      <c r="E1658" s="159" t="str">
        <f>VLOOKUP(C1658,DMSP!$A$1:$C$39,3,0)</f>
        <v>ABAFAX 1.8</v>
      </c>
      <c r="F1658" s="160">
        <f t="shared" si="172"/>
        <v>0</v>
      </c>
      <c r="G1658" s="176"/>
      <c r="H1658" s="176"/>
      <c r="I1658" s="176"/>
      <c r="J1658" s="176"/>
      <c r="K1658" s="176"/>
      <c r="L1658" s="176"/>
      <c r="M1658" s="176"/>
      <c r="N1658" s="176"/>
      <c r="O1658" s="176"/>
      <c r="P1658" s="176"/>
      <c r="Q1658" s="176"/>
      <c r="R1658" s="176"/>
      <c r="S1658" s="162">
        <f t="shared" si="175"/>
        <v>0</v>
      </c>
      <c r="T1658" s="167"/>
    </row>
    <row r="1659" customHeight="1" spans="2:20">
      <c r="B1659" s="166"/>
      <c r="C1659" s="164">
        <f t="shared" si="174"/>
        <v>20</v>
      </c>
      <c r="D1659" s="158" t="str">
        <f>VLOOKUP(C1659,DMSP!$A$1:$C$39,2,0)</f>
        <v>6.BVTV</v>
      </c>
      <c r="E1659" s="159" t="str">
        <f>VLOOKUP(C1659,DMSP!$A$1:$C$39,3,0)</f>
        <v>ABAFAX 3.6</v>
      </c>
      <c r="F1659" s="160">
        <f t="shared" si="172"/>
        <v>0</v>
      </c>
      <c r="G1659" s="176"/>
      <c r="H1659" s="176"/>
      <c r="I1659" s="176"/>
      <c r="J1659" s="176"/>
      <c r="K1659" s="176"/>
      <c r="L1659" s="176"/>
      <c r="M1659" s="176"/>
      <c r="N1659" s="176"/>
      <c r="O1659" s="176"/>
      <c r="P1659" s="176"/>
      <c r="Q1659" s="176"/>
      <c r="R1659" s="176"/>
      <c r="S1659" s="162">
        <f t="shared" si="175"/>
        <v>0</v>
      </c>
      <c r="T1659" s="167"/>
    </row>
    <row r="1660" customHeight="1" spans="2:20">
      <c r="B1660" s="166"/>
      <c r="C1660" s="164">
        <f t="shared" si="174"/>
        <v>21</v>
      </c>
      <c r="D1660" s="158" t="str">
        <f>VLOOKUP(C1660,DMSP!$A$1:$C$39,2,0)</f>
        <v>6.BVTV</v>
      </c>
      <c r="E1660" s="159" t="str">
        <f>VLOOKUP(C1660,DMSP!$A$1:$C$39,3,0)</f>
        <v>AZET</v>
      </c>
      <c r="F1660" s="160">
        <f t="shared" si="172"/>
        <v>0</v>
      </c>
      <c r="G1660" s="176"/>
      <c r="H1660" s="176"/>
      <c r="I1660" s="176"/>
      <c r="J1660" s="176"/>
      <c r="K1660" s="176"/>
      <c r="L1660" s="176"/>
      <c r="M1660" s="176"/>
      <c r="N1660" s="176"/>
      <c r="O1660" s="176"/>
      <c r="P1660" s="176"/>
      <c r="Q1660" s="176"/>
      <c r="R1660" s="176"/>
      <c r="S1660" s="162">
        <f t="shared" si="175"/>
        <v>0</v>
      </c>
      <c r="T1660" s="167"/>
    </row>
    <row r="1661" customHeight="1" spans="2:20">
      <c r="B1661" s="166"/>
      <c r="C1661" s="164">
        <f t="shared" si="174"/>
        <v>22</v>
      </c>
      <c r="D1661" s="158" t="str">
        <f>VLOOKUP(C1661,DMSP!$A$1:$C$39,2,0)</f>
        <v>6.BVTV</v>
      </c>
      <c r="E1661" s="159" t="str">
        <f>VLOOKUP(C1661,DMSP!$A$1:$C$39,3,0)</f>
        <v>BACBA</v>
      </c>
      <c r="F1661" s="160">
        <f t="shared" si="172"/>
        <v>0</v>
      </c>
      <c r="G1661" s="176"/>
      <c r="H1661" s="176"/>
      <c r="I1661" s="176"/>
      <c r="J1661" s="176"/>
      <c r="K1661" s="176"/>
      <c r="L1661" s="176"/>
      <c r="M1661" s="176"/>
      <c r="N1661" s="176"/>
      <c r="O1661" s="176"/>
      <c r="P1661" s="176"/>
      <c r="Q1661" s="176"/>
      <c r="R1661" s="176"/>
      <c r="S1661" s="162">
        <f t="shared" si="175"/>
        <v>0</v>
      </c>
      <c r="T1661" s="167"/>
    </row>
    <row r="1662" customHeight="1" spans="2:20">
      <c r="B1662" s="166"/>
      <c r="C1662" s="164">
        <f t="shared" si="174"/>
        <v>23</v>
      </c>
      <c r="D1662" s="158" t="str">
        <f>VLOOKUP(C1662,DMSP!$A$1:$C$39,2,0)</f>
        <v>6.BVTV</v>
      </c>
      <c r="E1662" s="159" t="str">
        <f>VLOOKUP(C1662,DMSP!$A$1:$C$39,3,0)</f>
        <v>BIOROSAMIL</v>
      </c>
      <c r="F1662" s="160">
        <f t="shared" si="172"/>
        <v>0</v>
      </c>
      <c r="G1662" s="176"/>
      <c r="H1662" s="176"/>
      <c r="I1662" s="176"/>
      <c r="J1662" s="176"/>
      <c r="K1662" s="176"/>
      <c r="L1662" s="176"/>
      <c r="M1662" s="176"/>
      <c r="N1662" s="176"/>
      <c r="O1662" s="176"/>
      <c r="P1662" s="176"/>
      <c r="Q1662" s="176"/>
      <c r="R1662" s="176"/>
      <c r="S1662" s="162">
        <f t="shared" si="175"/>
        <v>0</v>
      </c>
      <c r="T1662" s="167"/>
    </row>
    <row r="1663" customHeight="1" spans="2:20">
      <c r="B1663" s="166"/>
      <c r="C1663" s="164">
        <f t="shared" si="174"/>
        <v>24</v>
      </c>
      <c r="D1663" s="158" t="str">
        <f>VLOOKUP(C1663,DMSP!$A$1:$C$39,2,0)</f>
        <v>6.BVTV</v>
      </c>
      <c r="E1663" s="159" t="str">
        <f>VLOOKUP(C1663,DMSP!$A$1:$C$39,3,0)</f>
        <v>COC 86</v>
      </c>
      <c r="F1663" s="160">
        <f t="shared" si="172"/>
        <v>0</v>
      </c>
      <c r="G1663" s="176"/>
      <c r="H1663" s="176"/>
      <c r="I1663" s="176"/>
      <c r="J1663" s="176"/>
      <c r="K1663" s="176"/>
      <c r="L1663" s="176"/>
      <c r="M1663" s="176"/>
      <c r="N1663" s="176"/>
      <c r="O1663" s="176"/>
      <c r="P1663" s="176"/>
      <c r="Q1663" s="176"/>
      <c r="R1663" s="176"/>
      <c r="S1663" s="162">
        <f t="shared" si="175"/>
        <v>0</v>
      </c>
      <c r="T1663" s="167"/>
    </row>
    <row r="1664" customHeight="1" spans="2:20">
      <c r="B1664" s="166"/>
      <c r="C1664" s="164">
        <f t="shared" si="174"/>
        <v>25</v>
      </c>
      <c r="D1664" s="158" t="str">
        <f>VLOOKUP(C1664,DMSP!$A$1:$C$39,2,0)</f>
        <v>6.BVTV</v>
      </c>
      <c r="E1664" s="159" t="str">
        <f>VLOOKUP(C1664,DMSP!$A$1:$C$39,3,0)</f>
        <v>HEXA 5</v>
      </c>
      <c r="F1664" s="160">
        <f t="shared" si="172"/>
        <v>0</v>
      </c>
      <c r="G1664" s="176"/>
      <c r="H1664" s="176"/>
      <c r="I1664" s="176"/>
      <c r="J1664" s="176"/>
      <c r="K1664" s="176"/>
      <c r="L1664" s="176"/>
      <c r="M1664" s="176"/>
      <c r="N1664" s="176"/>
      <c r="O1664" s="176"/>
      <c r="P1664" s="176"/>
      <c r="Q1664" s="176"/>
      <c r="R1664" s="176"/>
      <c r="S1664" s="162">
        <f t="shared" si="175"/>
        <v>0</v>
      </c>
      <c r="T1664" s="167"/>
    </row>
    <row r="1665" customHeight="1" spans="2:20">
      <c r="B1665" s="166"/>
      <c r="C1665" s="164">
        <f t="shared" si="174"/>
        <v>26</v>
      </c>
      <c r="D1665" s="158" t="str">
        <f>VLOOKUP(C1665,DMSP!$A$1:$C$39,2,0)</f>
        <v>6.BVTV</v>
      </c>
      <c r="E1665" s="159" t="str">
        <f>VLOOKUP(C1665,DMSP!$A$1:$C$39,3,0)</f>
        <v>TAMALA</v>
      </c>
      <c r="F1665" s="160">
        <f t="shared" si="172"/>
        <v>0</v>
      </c>
      <c r="G1665" s="176"/>
      <c r="H1665" s="176"/>
      <c r="I1665" s="176"/>
      <c r="J1665" s="176"/>
      <c r="K1665" s="176"/>
      <c r="L1665" s="176"/>
      <c r="M1665" s="176"/>
      <c r="N1665" s="176"/>
      <c r="O1665" s="176"/>
      <c r="P1665" s="176"/>
      <c r="Q1665" s="176"/>
      <c r="R1665" s="176"/>
      <c r="S1665" s="162">
        <f t="shared" si="175"/>
        <v>0</v>
      </c>
      <c r="T1665" s="167"/>
    </row>
    <row r="1666" customHeight="1" spans="2:20">
      <c r="B1666" s="166"/>
      <c r="C1666" s="164">
        <f t="shared" si="174"/>
        <v>27</v>
      </c>
      <c r="D1666" s="158" t="str">
        <f>VLOOKUP(C1666,DMSP!$A$1:$C$39,2,0)</f>
        <v>7.KHÁC</v>
      </c>
      <c r="E1666" s="159" t="str">
        <f>VLOOKUP(C1666,DMSP!$A$1:$C$39,3,0)</f>
        <v>KẼM VÀNG</v>
      </c>
      <c r="F1666" s="160">
        <f t="shared" si="172"/>
        <v>0</v>
      </c>
      <c r="G1666" s="176"/>
      <c r="H1666" s="176"/>
      <c r="I1666" s="176"/>
      <c r="J1666" s="176"/>
      <c r="K1666" s="176"/>
      <c r="L1666" s="176"/>
      <c r="M1666" s="176"/>
      <c r="N1666" s="176"/>
      <c r="O1666" s="176"/>
      <c r="P1666" s="176"/>
      <c r="Q1666" s="176"/>
      <c r="R1666" s="176"/>
      <c r="S1666" s="162">
        <f t="shared" si="175"/>
        <v>0</v>
      </c>
      <c r="T1666" s="167"/>
    </row>
    <row r="1667" customHeight="1" spans="2:20">
      <c r="B1667" s="166"/>
      <c r="C1667" s="164">
        <f t="shared" si="174"/>
        <v>28</v>
      </c>
      <c r="D1667" s="158" t="str">
        <f>VLOOKUP(C1667,DMSP!$A$1:$C$39,2,0)</f>
        <v>7.KHÁC</v>
      </c>
      <c r="E1667" s="159" t="str">
        <f>VLOOKUP(C1667,DMSP!$A$1:$C$39,3,0)</f>
        <v>KHÁC1</v>
      </c>
      <c r="F1667" s="160">
        <f t="shared" si="172"/>
        <v>0</v>
      </c>
      <c r="G1667" s="176"/>
      <c r="H1667" s="176"/>
      <c r="I1667" s="176"/>
      <c r="J1667" s="176"/>
      <c r="K1667" s="176"/>
      <c r="L1667" s="176"/>
      <c r="M1667" s="176"/>
      <c r="N1667" s="176"/>
      <c r="O1667" s="176"/>
      <c r="P1667" s="176"/>
      <c r="Q1667" s="176"/>
      <c r="R1667" s="176"/>
      <c r="S1667" s="162">
        <f t="shared" si="175"/>
        <v>0</v>
      </c>
      <c r="T1667" s="167"/>
    </row>
    <row r="1668" customHeight="1" spans="2:20">
      <c r="B1668" s="166"/>
      <c r="C1668" s="164">
        <f t="shared" si="174"/>
        <v>29</v>
      </c>
      <c r="D1668" s="158" t="str">
        <f>VLOOKUP(C1668,DMSP!$A$1:$C$39,2,0)</f>
        <v>7.KHÁC</v>
      </c>
      <c r="E1668" s="169" t="s">
        <v>13</v>
      </c>
      <c r="F1668" s="160">
        <f t="shared" si="172"/>
        <v>0</v>
      </c>
      <c r="G1668" s="176"/>
      <c r="H1668" s="176"/>
      <c r="I1668" s="176"/>
      <c r="J1668" s="176"/>
      <c r="K1668" s="176"/>
      <c r="L1668" s="176"/>
      <c r="M1668" s="176"/>
      <c r="N1668" s="176"/>
      <c r="O1668" s="176"/>
      <c r="P1668" s="176"/>
      <c r="Q1668" s="176"/>
      <c r="R1668" s="176"/>
      <c r="S1668" s="162">
        <f t="shared" si="175"/>
        <v>0</v>
      </c>
      <c r="T1668" s="167"/>
    </row>
    <row r="1669" customHeight="1" spans="2:20">
      <c r="B1669" s="166"/>
      <c r="C1669" s="164">
        <f t="shared" si="174"/>
        <v>30</v>
      </c>
      <c r="D1669" s="158" t="str">
        <f>VLOOKUP(C1669,DMSP!$A$1:$C$39,2,0)</f>
        <v>7.KHÁC</v>
      </c>
      <c r="E1669" s="159" t="str">
        <f>VLOOKUP(C1669,DMSP!$A$1:$C$39,3,0)</f>
        <v>RỬA RONG RÊU</v>
      </c>
      <c r="F1669" s="160">
        <f t="shared" si="172"/>
        <v>0</v>
      </c>
      <c r="G1669" s="176"/>
      <c r="H1669" s="176"/>
      <c r="I1669" s="176"/>
      <c r="J1669" s="176"/>
      <c r="K1669" s="176"/>
      <c r="L1669" s="176"/>
      <c r="M1669" s="176"/>
      <c r="N1669" s="176"/>
      <c r="O1669" s="176"/>
      <c r="P1669" s="176"/>
      <c r="Q1669" s="176"/>
      <c r="R1669" s="176"/>
      <c r="S1669" s="162">
        <f t="shared" si="175"/>
        <v>0</v>
      </c>
      <c r="T1669" s="167"/>
    </row>
    <row r="1670" customHeight="1" spans="2:20">
      <c r="B1670" s="166"/>
      <c r="C1670" s="164">
        <f t="shared" si="174"/>
        <v>31</v>
      </c>
      <c r="D1670" s="158" t="str">
        <f>VLOOKUP(C1670,DMSP!$A$1:$C$39,2,0)</f>
        <v>7.KHÁC</v>
      </c>
      <c r="E1670" s="159" t="str">
        <f>VLOOKUP(C1670,DMSP!$A$1:$C$39,3,0)</f>
        <v>TB BO</v>
      </c>
      <c r="F1670" s="160">
        <f t="shared" si="172"/>
        <v>0</v>
      </c>
      <c r="G1670" s="176"/>
      <c r="H1670" s="176"/>
      <c r="I1670" s="176"/>
      <c r="J1670" s="176"/>
      <c r="K1670" s="176"/>
      <c r="L1670" s="176"/>
      <c r="M1670" s="176"/>
      <c r="N1670" s="176"/>
      <c r="O1670" s="176"/>
      <c r="P1670" s="176"/>
      <c r="Q1670" s="176"/>
      <c r="R1670" s="176"/>
      <c r="S1670" s="162">
        <f t="shared" si="175"/>
        <v>0</v>
      </c>
      <c r="T1670" s="167"/>
    </row>
    <row r="1671" customHeight="1" spans="2:20">
      <c r="B1671" s="166"/>
      <c r="C1671" s="164">
        <f t="shared" si="174"/>
        <v>32</v>
      </c>
      <c r="D1671" s="158" t="str">
        <f>VLOOKUP(C1671,DMSP!$A$1:$C$39,2,0)</f>
        <v>7.KHÁC</v>
      </c>
      <c r="E1671" s="159" t="str">
        <f>VLOOKUP(C1671,DMSP!$A$1:$C$39,3,0)</f>
        <v>TB FRUIT</v>
      </c>
      <c r="F1671" s="160">
        <f t="shared" ref="F1671:F1734" si="176">S1671</f>
        <v>0</v>
      </c>
      <c r="G1671" s="176"/>
      <c r="H1671" s="176"/>
      <c r="I1671" s="176"/>
      <c r="J1671" s="176"/>
      <c r="K1671" s="176"/>
      <c r="L1671" s="176"/>
      <c r="M1671" s="176"/>
      <c r="N1671" s="176"/>
      <c r="O1671" s="176"/>
      <c r="P1671" s="176"/>
      <c r="Q1671" s="176"/>
      <c r="R1671" s="176"/>
      <c r="S1671" s="162">
        <f t="shared" si="175"/>
        <v>0</v>
      </c>
      <c r="T1671" s="167"/>
    </row>
    <row r="1672" customHeight="1" spans="2:20">
      <c r="B1672" s="166"/>
      <c r="C1672" s="164">
        <f t="shared" si="174"/>
        <v>33</v>
      </c>
      <c r="D1672" s="158" t="str">
        <f>VLOOKUP(C1672,DMSP!$A$1:$C$39,2,0)</f>
        <v>7.KHÁC</v>
      </c>
      <c r="E1672" s="159" t="str">
        <f>VLOOKUP(C1672,DMSP!$A$1:$C$39,3,0)</f>
        <v>TB PHOS</v>
      </c>
      <c r="F1672" s="160">
        <f t="shared" si="176"/>
        <v>0</v>
      </c>
      <c r="G1672" s="176"/>
      <c r="H1672" s="176"/>
      <c r="I1672" s="176"/>
      <c r="J1672" s="176"/>
      <c r="K1672" s="176"/>
      <c r="L1672" s="176"/>
      <c r="M1672" s="176"/>
      <c r="N1672" s="176"/>
      <c r="O1672" s="176"/>
      <c r="P1672" s="176"/>
      <c r="Q1672" s="176"/>
      <c r="R1672" s="176"/>
      <c r="S1672" s="162">
        <f t="shared" si="175"/>
        <v>0</v>
      </c>
      <c r="T1672" s="167"/>
    </row>
    <row r="1673" customHeight="1" spans="2:20">
      <c r="B1673" s="166"/>
      <c r="C1673" s="164">
        <f t="shared" si="174"/>
        <v>34</v>
      </c>
      <c r="D1673" s="158" t="str">
        <f>VLOOKUP(C1673,DMSP!$A$1:$C$39,2,0)</f>
        <v>7.KHÁC</v>
      </c>
      <c r="E1673" s="159" t="str">
        <f>VLOOKUP(C1673,DMSP!$A$1:$C$39,3,0)</f>
        <v>TOBA BÁM DÍNH</v>
      </c>
      <c r="F1673" s="160">
        <f t="shared" si="176"/>
        <v>0</v>
      </c>
      <c r="G1673" s="176"/>
      <c r="H1673" s="176"/>
      <c r="I1673" s="176"/>
      <c r="J1673" s="176"/>
      <c r="K1673" s="176"/>
      <c r="L1673" s="176"/>
      <c r="M1673" s="176"/>
      <c r="N1673" s="176"/>
      <c r="O1673" s="176"/>
      <c r="P1673" s="176"/>
      <c r="Q1673" s="176"/>
      <c r="R1673" s="176"/>
      <c r="S1673" s="162">
        <f t="shared" si="175"/>
        <v>0</v>
      </c>
      <c r="T1673" s="167"/>
    </row>
    <row r="1674" customHeight="1" spans="2:20">
      <c r="B1674" s="166"/>
      <c r="C1674" s="164">
        <f t="shared" si="174"/>
        <v>35</v>
      </c>
      <c r="D1674" s="158" t="str">
        <f>VLOOKUP(C1674,DMSP!$A$1:$C$39,2,0)</f>
        <v>7.KHÁC</v>
      </c>
      <c r="E1674" s="159" t="str">
        <f>VLOOKUP(C1674,DMSP!$A$1:$C$39,3,0)</f>
        <v>VỌT HOA NHÃN</v>
      </c>
      <c r="F1674" s="160">
        <f t="shared" si="176"/>
        <v>0</v>
      </c>
      <c r="G1674" s="176"/>
      <c r="H1674" s="176"/>
      <c r="I1674" s="176"/>
      <c r="J1674" s="176"/>
      <c r="K1674" s="176"/>
      <c r="L1674" s="176"/>
      <c r="M1674" s="176"/>
      <c r="N1674" s="176"/>
      <c r="O1674" s="176"/>
      <c r="P1674" s="176"/>
      <c r="Q1674" s="176"/>
      <c r="R1674" s="176"/>
      <c r="S1674" s="162">
        <f t="shared" si="175"/>
        <v>0</v>
      </c>
      <c r="T1674" s="167"/>
    </row>
    <row r="1675" customHeight="1" spans="2:20">
      <c r="B1675" s="166"/>
      <c r="C1675" s="164">
        <f t="shared" si="174"/>
        <v>36</v>
      </c>
      <c r="D1675" s="158" t="str">
        <f>VLOOKUP(C1675,DMSP!$A$1:$C$39,2,0)</f>
        <v>7.KHÁC</v>
      </c>
      <c r="E1675" s="159" t="str">
        <f>VLOOKUP(C1675,DMSP!$A$1:$C$39,3,0)</f>
        <v>VỌT HOA XOÀI</v>
      </c>
      <c r="F1675" s="160">
        <f t="shared" si="176"/>
        <v>0</v>
      </c>
      <c r="G1675" s="176"/>
      <c r="H1675" s="176"/>
      <c r="I1675" s="176"/>
      <c r="J1675" s="176"/>
      <c r="K1675" s="176"/>
      <c r="L1675" s="176"/>
      <c r="M1675" s="176"/>
      <c r="N1675" s="176"/>
      <c r="O1675" s="176"/>
      <c r="P1675" s="176"/>
      <c r="Q1675" s="176"/>
      <c r="R1675" s="176"/>
      <c r="S1675" s="162">
        <f t="shared" si="175"/>
        <v>0</v>
      </c>
      <c r="T1675" s="167"/>
    </row>
    <row r="1676" customHeight="1" spans="2:20">
      <c r="B1676" s="166"/>
      <c r="C1676" s="164">
        <f t="shared" si="174"/>
        <v>37</v>
      </c>
      <c r="D1676" s="158" t="str">
        <f>VLOOKUP(C1676,DMSP!$A$1:$C$39,2,0)</f>
        <v>7.KHÁC</v>
      </c>
      <c r="E1676" s="159" t="str">
        <f>VLOOKUP(C1676,DMSP!$A$1:$C$39,3,0)</f>
        <v>VỌT HOA XOÀI</v>
      </c>
      <c r="F1676" s="160">
        <f t="shared" si="176"/>
        <v>0</v>
      </c>
      <c r="G1676" s="176"/>
      <c r="H1676" s="176"/>
      <c r="I1676" s="176"/>
      <c r="J1676" s="176"/>
      <c r="K1676" s="176"/>
      <c r="L1676" s="176"/>
      <c r="M1676" s="176"/>
      <c r="N1676" s="176"/>
      <c r="O1676" s="176"/>
      <c r="P1676" s="176"/>
      <c r="Q1676" s="176"/>
      <c r="R1676" s="176"/>
      <c r="S1676" s="162">
        <f t="shared" si="175"/>
        <v>0</v>
      </c>
      <c r="T1676" s="167"/>
    </row>
    <row r="1677" customHeight="1" spans="2:20">
      <c r="B1677" s="92"/>
      <c r="C1677" s="170">
        <f>B1640</f>
        <v>0</v>
      </c>
      <c r="D1677" s="171"/>
      <c r="E1677" s="172" t="str">
        <f>"TOTAL "&amp;B1640</f>
        <v>TOTAL </v>
      </c>
      <c r="F1677" s="173">
        <f t="shared" si="176"/>
        <v>0</v>
      </c>
      <c r="G1677" s="174">
        <f>SUM(G1640:G1676)</f>
        <v>0</v>
      </c>
      <c r="H1677" s="174">
        <f t="shared" ref="H1677:R1677" si="177">SUM(H1640:H1676)</f>
        <v>0</v>
      </c>
      <c r="I1677" s="174">
        <f t="shared" si="177"/>
        <v>0</v>
      </c>
      <c r="J1677" s="174">
        <f t="shared" si="177"/>
        <v>0</v>
      </c>
      <c r="K1677" s="174">
        <f t="shared" si="177"/>
        <v>0</v>
      </c>
      <c r="L1677" s="174">
        <f t="shared" si="177"/>
        <v>0</v>
      </c>
      <c r="M1677" s="174">
        <f t="shared" si="177"/>
        <v>0</v>
      </c>
      <c r="N1677" s="174">
        <f t="shared" si="177"/>
        <v>0</v>
      </c>
      <c r="O1677" s="174">
        <f t="shared" si="177"/>
        <v>0</v>
      </c>
      <c r="P1677" s="174">
        <f t="shared" si="177"/>
        <v>0</v>
      </c>
      <c r="Q1677" s="174">
        <f t="shared" si="177"/>
        <v>0</v>
      </c>
      <c r="R1677" s="174">
        <f t="shared" si="177"/>
        <v>0</v>
      </c>
      <c r="S1677" s="174">
        <f t="shared" si="175"/>
        <v>0</v>
      </c>
      <c r="T1677" s="175"/>
    </row>
    <row r="1678" customHeight="1" spans="2:20">
      <c r="B1678" s="156"/>
      <c r="C1678" s="157">
        <v>1</v>
      </c>
      <c r="D1678" s="158" t="str">
        <f>VLOOKUP(C1678,DMSP!$A$1:$C$39,2,0)</f>
        <v>1.TOBA XANH</v>
      </c>
      <c r="E1678" s="159" t="str">
        <f>VLOOKUP(C1678,DMSP!$A$1:$C$39,3,0)</f>
        <v>TOBA XANH</v>
      </c>
      <c r="F1678" s="160">
        <f t="shared" si="176"/>
        <v>0</v>
      </c>
      <c r="G1678" s="176"/>
      <c r="H1678" s="176"/>
      <c r="I1678" s="176"/>
      <c r="J1678" s="176"/>
      <c r="K1678" s="176"/>
      <c r="L1678" s="176"/>
      <c r="M1678" s="176"/>
      <c r="N1678" s="176"/>
      <c r="O1678" s="176"/>
      <c r="P1678" s="176"/>
      <c r="Q1678" s="176"/>
      <c r="R1678" s="176"/>
      <c r="S1678" s="162">
        <f t="shared" si="175"/>
        <v>0</v>
      </c>
      <c r="T1678" s="163">
        <f>S1715</f>
        <v>0</v>
      </c>
    </row>
    <row r="1679" customHeight="1" spans="2:20">
      <c r="B1679" s="166"/>
      <c r="C1679" s="164">
        <f t="shared" ref="C1679:C1714" si="178">C1678+1</f>
        <v>2</v>
      </c>
      <c r="D1679" s="158" t="str">
        <f>VLOOKUP(C1679,DMSP!$A$1:$C$39,2,0)</f>
        <v>2.HC</v>
      </c>
      <c r="E1679" s="159" t="str">
        <f>VLOOKUP(C1679,DMSP!$A$1:$C$39,3,0)</f>
        <v>HC BOOSTER</v>
      </c>
      <c r="F1679" s="160">
        <f t="shared" si="176"/>
        <v>0</v>
      </c>
      <c r="G1679" s="176"/>
      <c r="H1679" s="176"/>
      <c r="I1679" s="176"/>
      <c r="J1679" s="176"/>
      <c r="K1679" s="176"/>
      <c r="L1679" s="176"/>
      <c r="M1679" s="176"/>
      <c r="N1679" s="176"/>
      <c r="O1679" s="176"/>
      <c r="P1679" s="176"/>
      <c r="Q1679" s="176"/>
      <c r="R1679" s="176"/>
      <c r="S1679" s="162">
        <f t="shared" ref="S1679:S1716" si="179">SUM(G1679:R1679)</f>
        <v>0</v>
      </c>
      <c r="T1679" s="167"/>
    </row>
    <row r="1680" customHeight="1" spans="2:20">
      <c r="B1680" s="166"/>
      <c r="C1680" s="164">
        <f t="shared" si="178"/>
        <v>3</v>
      </c>
      <c r="D1680" s="158" t="str">
        <f>VLOOKUP(C1680,DMSP!$A$1:$C$39,2,0)</f>
        <v>2.HC</v>
      </c>
      <c r="E1680" s="159" t="str">
        <f>VLOOKUP(C1680,DMSP!$A$1:$C$39,3,0)</f>
        <v>HC KING-ROOT</v>
      </c>
      <c r="F1680" s="160">
        <f t="shared" si="176"/>
        <v>0</v>
      </c>
      <c r="G1680" s="176"/>
      <c r="H1680" s="176"/>
      <c r="I1680" s="176"/>
      <c r="J1680" s="176"/>
      <c r="K1680" s="176"/>
      <c r="L1680" s="176"/>
      <c r="M1680" s="176"/>
      <c r="N1680" s="176"/>
      <c r="O1680" s="176"/>
      <c r="P1680" s="176"/>
      <c r="Q1680" s="176"/>
      <c r="R1680" s="176"/>
      <c r="S1680" s="162">
        <f t="shared" si="179"/>
        <v>0</v>
      </c>
      <c r="T1680" s="167"/>
    </row>
    <row r="1681" customHeight="1" spans="2:20">
      <c r="B1681" s="166"/>
      <c r="C1681" s="164">
        <f t="shared" si="178"/>
        <v>4</v>
      </c>
      <c r="D1681" s="158" t="str">
        <f>VLOOKUP(C1681,DMSP!$A$1:$C$39,2,0)</f>
        <v>2.HC</v>
      </c>
      <c r="E1681" s="159" t="str">
        <f>VLOOKUP(C1681,DMSP!$A$1:$C$39,3,0)</f>
        <v>HAPPY FARM</v>
      </c>
      <c r="F1681" s="160">
        <f t="shared" si="176"/>
        <v>0</v>
      </c>
      <c r="G1681" s="176"/>
      <c r="H1681" s="176"/>
      <c r="I1681" s="176"/>
      <c r="J1681" s="176"/>
      <c r="K1681" s="176"/>
      <c r="L1681" s="176"/>
      <c r="M1681" s="176"/>
      <c r="N1681" s="176"/>
      <c r="O1681" s="176"/>
      <c r="P1681" s="176"/>
      <c r="Q1681" s="176"/>
      <c r="R1681" s="176"/>
      <c r="S1681" s="162">
        <f t="shared" si="179"/>
        <v>0</v>
      </c>
      <c r="T1681" s="167"/>
    </row>
    <row r="1682" customHeight="1" spans="2:20">
      <c r="B1682" s="166"/>
      <c r="C1682" s="164">
        <f t="shared" si="178"/>
        <v>5</v>
      </c>
      <c r="D1682" s="158" t="str">
        <f>VLOOKUP(C1682,DMSP!$A$1:$C$39,2,0)</f>
        <v>2.HC</v>
      </c>
      <c r="E1682" s="159" t="str">
        <f>VLOOKUP(C1682,DMSP!$A$1:$C$39,3,0)</f>
        <v>WOW</v>
      </c>
      <c r="F1682" s="160">
        <f t="shared" si="176"/>
        <v>0</v>
      </c>
      <c r="G1682" s="176"/>
      <c r="H1682" s="176"/>
      <c r="I1682" s="176"/>
      <c r="J1682" s="176"/>
      <c r="K1682" s="176"/>
      <c r="L1682" s="176"/>
      <c r="M1682" s="176"/>
      <c r="N1682" s="176"/>
      <c r="O1682" s="176"/>
      <c r="P1682" s="176"/>
      <c r="Q1682" s="176"/>
      <c r="R1682" s="176"/>
      <c r="S1682" s="162">
        <f t="shared" si="179"/>
        <v>0</v>
      </c>
      <c r="T1682" s="167"/>
    </row>
    <row r="1683" customHeight="1" spans="2:20">
      <c r="B1683" s="166"/>
      <c r="C1683" s="164">
        <f t="shared" si="178"/>
        <v>6</v>
      </c>
      <c r="D1683" s="158" t="str">
        <f>VLOOKUP(C1683,DMSP!$A$1:$C$39,2,0)</f>
        <v>3.SPRAY </v>
      </c>
      <c r="E1683" s="159" t="str">
        <f>VLOOKUP(C1683,DMSP!$A$1:$C$39,3,0)</f>
        <v>KELPIT</v>
      </c>
      <c r="F1683" s="160">
        <f t="shared" si="176"/>
        <v>0</v>
      </c>
      <c r="G1683" s="176"/>
      <c r="H1683" s="176"/>
      <c r="I1683" s="176"/>
      <c r="J1683" s="176"/>
      <c r="K1683" s="176"/>
      <c r="L1683" s="176"/>
      <c r="M1683" s="176"/>
      <c r="N1683" s="176"/>
      <c r="O1683" s="176"/>
      <c r="P1683" s="176"/>
      <c r="Q1683" s="176"/>
      <c r="R1683" s="176"/>
      <c r="S1683" s="162">
        <f t="shared" si="179"/>
        <v>0</v>
      </c>
      <c r="T1683" s="167"/>
    </row>
    <row r="1684" customHeight="1" spans="2:20">
      <c r="B1684" s="166"/>
      <c r="C1684" s="164">
        <f t="shared" si="178"/>
        <v>7</v>
      </c>
      <c r="D1684" s="158" t="str">
        <f>VLOOKUP(C1684,DMSP!$A$1:$C$39,2,0)</f>
        <v>3.SPRAY </v>
      </c>
      <c r="E1684" s="159" t="str">
        <f>VLOOKUP(C1684,DMSP!$A$1:$C$39,3,0)</f>
        <v>SI-K</v>
      </c>
      <c r="F1684" s="160">
        <f t="shared" si="176"/>
        <v>0</v>
      </c>
      <c r="G1684" s="176"/>
      <c r="H1684" s="176"/>
      <c r="I1684" s="176"/>
      <c r="J1684" s="176"/>
      <c r="K1684" s="176"/>
      <c r="L1684" s="176"/>
      <c r="M1684" s="176"/>
      <c r="N1684" s="176"/>
      <c r="O1684" s="176"/>
      <c r="P1684" s="176"/>
      <c r="Q1684" s="176"/>
      <c r="R1684" s="176"/>
      <c r="S1684" s="162">
        <f t="shared" si="179"/>
        <v>0</v>
      </c>
      <c r="T1684" s="167"/>
    </row>
    <row r="1685" customHeight="1" spans="2:20">
      <c r="B1685" s="166"/>
      <c r="C1685" s="164">
        <f t="shared" si="178"/>
        <v>8</v>
      </c>
      <c r="D1685" s="158" t="str">
        <f>VLOOKUP(C1685,DMSP!$A$1:$C$39,2,0)</f>
        <v>3.SPRAY </v>
      </c>
      <c r="E1685" s="159" t="str">
        <f>VLOOKUP(C1685,DMSP!$A$1:$C$39,3,0)</f>
        <v>SPRAY PHOS 620</v>
      </c>
      <c r="F1685" s="160">
        <f t="shared" si="176"/>
        <v>0</v>
      </c>
      <c r="G1685" s="176"/>
      <c r="H1685" s="176"/>
      <c r="I1685" s="176"/>
      <c r="J1685" s="176"/>
      <c r="K1685" s="176"/>
      <c r="L1685" s="176"/>
      <c r="M1685" s="176"/>
      <c r="N1685" s="176"/>
      <c r="O1685" s="176"/>
      <c r="P1685" s="176"/>
      <c r="Q1685" s="176"/>
      <c r="R1685" s="176"/>
      <c r="S1685" s="162">
        <f t="shared" si="179"/>
        <v>0</v>
      </c>
      <c r="T1685" s="167"/>
    </row>
    <row r="1686" customHeight="1" spans="2:20">
      <c r="B1686" s="166"/>
      <c r="C1686" s="164">
        <f t="shared" si="178"/>
        <v>9</v>
      </c>
      <c r="D1686" s="158" t="str">
        <f>VLOOKUP(C1686,DMSP!$A$1:$C$39,2,0)</f>
        <v>4.DƯỠNG RỄ</v>
      </c>
      <c r="E1686" s="159" t="str">
        <f>VLOOKUP(C1686,DMSP!$A$1:$C$39,3,0)</f>
        <v>CHITOSAN</v>
      </c>
      <c r="F1686" s="160">
        <f t="shared" si="176"/>
        <v>0</v>
      </c>
      <c r="G1686" s="176"/>
      <c r="H1686" s="176"/>
      <c r="I1686" s="176"/>
      <c r="J1686" s="176"/>
      <c r="K1686" s="176"/>
      <c r="L1686" s="176"/>
      <c r="M1686" s="176"/>
      <c r="N1686" s="176"/>
      <c r="O1686" s="176"/>
      <c r="P1686" s="176"/>
      <c r="Q1686" s="176"/>
      <c r="R1686" s="176"/>
      <c r="S1686" s="162">
        <f t="shared" si="179"/>
        <v>0</v>
      </c>
      <c r="T1686" s="167"/>
    </row>
    <row r="1687" customHeight="1" spans="2:20">
      <c r="B1687" s="166"/>
      <c r="C1687" s="164">
        <f t="shared" si="178"/>
        <v>10</v>
      </c>
      <c r="D1687" s="158" t="str">
        <f>VLOOKUP(C1687,DMSP!$A$1:$C$39,2,0)</f>
        <v>4.DƯỠNG RỄ</v>
      </c>
      <c r="E1687" s="159" t="str">
        <f>VLOOKUP(C1687,DMSP!$A$1:$C$39,3,0)</f>
        <v>ĐẠM CÁ</v>
      </c>
      <c r="F1687" s="160">
        <f t="shared" si="176"/>
        <v>0</v>
      </c>
      <c r="G1687" s="176"/>
      <c r="H1687" s="176"/>
      <c r="I1687" s="176"/>
      <c r="J1687" s="176"/>
      <c r="K1687" s="176"/>
      <c r="L1687" s="176"/>
      <c r="M1687" s="176"/>
      <c r="N1687" s="176"/>
      <c r="O1687" s="176"/>
      <c r="P1687" s="176"/>
      <c r="Q1687" s="176"/>
      <c r="R1687" s="176"/>
      <c r="S1687" s="162">
        <f t="shared" si="179"/>
        <v>0</v>
      </c>
      <c r="T1687" s="167"/>
    </row>
    <row r="1688" customHeight="1" spans="2:20">
      <c r="B1688" s="166"/>
      <c r="C1688" s="164">
        <f t="shared" si="178"/>
        <v>11</v>
      </c>
      <c r="D1688" s="158" t="str">
        <f>VLOOKUP(C1688,DMSP!$A$1:$C$39,2,0)</f>
        <v>4.DƯỠNG RỄ</v>
      </c>
      <c r="E1688" s="159" t="str">
        <f>VLOOKUP(C1688,DMSP!$A$1:$C$39,3,0)</f>
        <v>ĐẠM TÔM</v>
      </c>
      <c r="F1688" s="160">
        <f t="shared" si="176"/>
        <v>0</v>
      </c>
      <c r="G1688" s="176"/>
      <c r="H1688" s="176"/>
      <c r="I1688" s="176"/>
      <c r="J1688" s="176"/>
      <c r="K1688" s="176"/>
      <c r="L1688" s="176"/>
      <c r="M1688" s="176"/>
      <c r="N1688" s="176"/>
      <c r="O1688" s="176"/>
      <c r="P1688" s="176"/>
      <c r="Q1688" s="176"/>
      <c r="R1688" s="176"/>
      <c r="S1688" s="162">
        <f t="shared" si="179"/>
        <v>0</v>
      </c>
      <c r="T1688" s="167"/>
    </row>
    <row r="1689" customHeight="1" spans="2:20">
      <c r="B1689" s="166"/>
      <c r="C1689" s="164">
        <f t="shared" si="178"/>
        <v>12</v>
      </c>
      <c r="D1689" s="158" t="str">
        <f>VLOOKUP(C1689,DMSP!$A$1:$C$39,2,0)</f>
        <v>4.DƯỠNG RỄ</v>
      </c>
      <c r="E1689" s="159" t="str">
        <f>VLOOKUP(C1689,DMSP!$A$1:$C$39,3,0)</f>
        <v>SUPERMIC</v>
      </c>
      <c r="F1689" s="160">
        <f t="shared" si="176"/>
        <v>0</v>
      </c>
      <c r="G1689" s="176"/>
      <c r="H1689" s="176"/>
      <c r="I1689" s="176"/>
      <c r="J1689" s="176"/>
      <c r="K1689" s="176"/>
      <c r="L1689" s="176"/>
      <c r="M1689" s="176"/>
      <c r="N1689" s="176"/>
      <c r="O1689" s="176"/>
      <c r="P1689" s="176"/>
      <c r="Q1689" s="176"/>
      <c r="R1689" s="176"/>
      <c r="S1689" s="162">
        <f t="shared" si="179"/>
        <v>0</v>
      </c>
      <c r="T1689" s="167"/>
    </row>
    <row r="1690" customHeight="1" spans="2:20">
      <c r="B1690" s="166"/>
      <c r="C1690" s="164">
        <f t="shared" si="178"/>
        <v>13</v>
      </c>
      <c r="D1690" s="158" t="str">
        <f>VLOOKUP(C1690,DMSP!$A$1:$C$39,2,0)</f>
        <v>5.TRUYỀN THỐNG</v>
      </c>
      <c r="E1690" s="159" t="str">
        <f>VLOOKUP(C1690,DMSP!$A$1:$C$39,3,0)</f>
        <v>CABO</v>
      </c>
      <c r="F1690" s="160">
        <f t="shared" si="176"/>
        <v>0</v>
      </c>
      <c r="G1690" s="176"/>
      <c r="H1690" s="176"/>
      <c r="I1690" s="176"/>
      <c r="J1690" s="176"/>
      <c r="K1690" s="176"/>
      <c r="L1690" s="176"/>
      <c r="M1690" s="176"/>
      <c r="N1690" s="176"/>
      <c r="O1690" s="176"/>
      <c r="P1690" s="176"/>
      <c r="Q1690" s="176"/>
      <c r="R1690" s="176"/>
      <c r="S1690" s="162">
        <f t="shared" si="179"/>
        <v>0</v>
      </c>
      <c r="T1690" s="167"/>
    </row>
    <row r="1691" customHeight="1" spans="2:20">
      <c r="B1691" s="166"/>
      <c r="C1691" s="164">
        <f t="shared" si="178"/>
        <v>14</v>
      </c>
      <c r="D1691" s="158" t="str">
        <f>VLOOKUP(C1691,DMSP!$A$1:$C$39,2,0)</f>
        <v>5.TRUYỀN THỐNG</v>
      </c>
      <c r="E1691" s="159" t="str">
        <f>VLOOKUP(C1691,DMSP!$A$1:$C$39,3,0)</f>
        <v>F94</v>
      </c>
      <c r="F1691" s="160">
        <f t="shared" si="176"/>
        <v>0</v>
      </c>
      <c r="G1691" s="176"/>
      <c r="H1691" s="176"/>
      <c r="I1691" s="176"/>
      <c r="J1691" s="176"/>
      <c r="K1691" s="176"/>
      <c r="L1691" s="176"/>
      <c r="M1691" s="176"/>
      <c r="N1691" s="176"/>
      <c r="O1691" s="176"/>
      <c r="P1691" s="176"/>
      <c r="Q1691" s="176"/>
      <c r="R1691" s="176"/>
      <c r="S1691" s="162">
        <f t="shared" si="179"/>
        <v>0</v>
      </c>
      <c r="T1691" s="167"/>
    </row>
    <row r="1692" customHeight="1" spans="2:20">
      <c r="B1692" s="166"/>
      <c r="C1692" s="164">
        <f t="shared" si="178"/>
        <v>15</v>
      </c>
      <c r="D1692" s="158" t="str">
        <f>VLOOKUP(C1692,DMSP!$A$1:$C$39,2,0)</f>
        <v>5.TRUYỀN THỐNG</v>
      </c>
      <c r="E1692" s="159" t="str">
        <f>VLOOKUP(C1692,DMSP!$A$1:$C$39,3,0)</f>
        <v>F95</v>
      </c>
      <c r="F1692" s="160">
        <f t="shared" si="176"/>
        <v>0</v>
      </c>
      <c r="G1692" s="176"/>
      <c r="H1692" s="176"/>
      <c r="I1692" s="176"/>
      <c r="J1692" s="176"/>
      <c r="K1692" s="176"/>
      <c r="L1692" s="176"/>
      <c r="M1692" s="176"/>
      <c r="N1692" s="176"/>
      <c r="O1692" s="176"/>
      <c r="P1692" s="176"/>
      <c r="Q1692" s="176"/>
      <c r="R1692" s="176"/>
      <c r="S1692" s="162">
        <f t="shared" si="179"/>
        <v>0</v>
      </c>
      <c r="T1692" s="167"/>
    </row>
    <row r="1693" customHeight="1" spans="2:20">
      <c r="B1693" s="166"/>
      <c r="C1693" s="164">
        <f t="shared" si="178"/>
        <v>16</v>
      </c>
      <c r="D1693" s="158" t="str">
        <f>VLOOKUP(C1693,DMSP!$A$1:$C$39,2,0)</f>
        <v>5.TRUYỀN THỐNG</v>
      </c>
      <c r="E1693" s="159" t="str">
        <f>VLOOKUP(C1693,DMSP!$A$1:$C$39,3,0)</f>
        <v>THIOURE</v>
      </c>
      <c r="F1693" s="160">
        <f t="shared" si="176"/>
        <v>0</v>
      </c>
      <c r="G1693" s="176"/>
      <c r="H1693" s="176"/>
      <c r="I1693" s="176"/>
      <c r="J1693" s="176"/>
      <c r="K1693" s="176"/>
      <c r="L1693" s="176"/>
      <c r="M1693" s="176"/>
      <c r="N1693" s="176"/>
      <c r="O1693" s="176"/>
      <c r="P1693" s="176"/>
      <c r="Q1693" s="176"/>
      <c r="R1693" s="176"/>
      <c r="S1693" s="162">
        <f t="shared" si="179"/>
        <v>0</v>
      </c>
      <c r="T1693" s="167"/>
    </row>
    <row r="1694" customHeight="1" spans="2:20">
      <c r="B1694" s="166"/>
      <c r="C1694" s="164">
        <f t="shared" si="178"/>
        <v>17</v>
      </c>
      <c r="D1694" s="158" t="str">
        <f>VLOOKUP(C1694,DMSP!$A$1:$C$39,2,0)</f>
        <v>5.TRUYỀN THỐNG</v>
      </c>
      <c r="E1694" s="159" t="str">
        <f>VLOOKUP(C1694,DMSP!$A$1:$C$39,3,0)</f>
        <v>TOBA JUM</v>
      </c>
      <c r="F1694" s="160">
        <f t="shared" si="176"/>
        <v>0</v>
      </c>
      <c r="G1694" s="176"/>
      <c r="H1694" s="176"/>
      <c r="I1694" s="176"/>
      <c r="J1694" s="176"/>
      <c r="K1694" s="176"/>
      <c r="L1694" s="176"/>
      <c r="M1694" s="176"/>
      <c r="N1694" s="176"/>
      <c r="O1694" s="176"/>
      <c r="P1694" s="176"/>
      <c r="Q1694" s="176"/>
      <c r="R1694" s="176"/>
      <c r="S1694" s="162">
        <f t="shared" si="179"/>
        <v>0</v>
      </c>
      <c r="T1694" s="167"/>
    </row>
    <row r="1695" customHeight="1" spans="2:20">
      <c r="B1695" s="166"/>
      <c r="C1695" s="164">
        <f t="shared" si="178"/>
        <v>18</v>
      </c>
      <c r="D1695" s="158" t="str">
        <f>VLOOKUP(C1695,DMSP!$A$1:$C$39,2,0)</f>
        <v>5.TRUYỀN THỐNG</v>
      </c>
      <c r="E1695" s="159" t="str">
        <f>VLOOKUP(C1695,DMSP!$A$1:$C$39,3,0)</f>
        <v>TOBA NET</v>
      </c>
      <c r="F1695" s="160">
        <f t="shared" si="176"/>
        <v>0</v>
      </c>
      <c r="G1695" s="176"/>
      <c r="H1695" s="176"/>
      <c r="I1695" s="176"/>
      <c r="J1695" s="176"/>
      <c r="K1695" s="176"/>
      <c r="L1695" s="176"/>
      <c r="M1695" s="176"/>
      <c r="N1695" s="176"/>
      <c r="O1695" s="176"/>
      <c r="P1695" s="176"/>
      <c r="Q1695" s="176"/>
      <c r="R1695" s="176"/>
      <c r="S1695" s="162">
        <f t="shared" si="179"/>
        <v>0</v>
      </c>
      <c r="T1695" s="167"/>
    </row>
    <row r="1696" customHeight="1" spans="2:20">
      <c r="B1696" s="166"/>
      <c r="C1696" s="164">
        <f t="shared" si="178"/>
        <v>19</v>
      </c>
      <c r="D1696" s="158" t="str">
        <f>VLOOKUP(C1696,DMSP!$A$1:$C$39,2,0)</f>
        <v>6.BVTV</v>
      </c>
      <c r="E1696" s="159" t="str">
        <f>VLOOKUP(C1696,DMSP!$A$1:$C$39,3,0)</f>
        <v>ABAFAX 1.8</v>
      </c>
      <c r="F1696" s="160">
        <f t="shared" si="176"/>
        <v>0</v>
      </c>
      <c r="G1696" s="176"/>
      <c r="H1696" s="176"/>
      <c r="I1696" s="176"/>
      <c r="J1696" s="176"/>
      <c r="K1696" s="176"/>
      <c r="L1696" s="176"/>
      <c r="M1696" s="176"/>
      <c r="N1696" s="176"/>
      <c r="O1696" s="176"/>
      <c r="P1696" s="176"/>
      <c r="Q1696" s="176"/>
      <c r="R1696" s="176"/>
      <c r="S1696" s="162">
        <f t="shared" si="179"/>
        <v>0</v>
      </c>
      <c r="T1696" s="167"/>
    </row>
    <row r="1697" customHeight="1" spans="2:20">
      <c r="B1697" s="166"/>
      <c r="C1697" s="164">
        <f t="shared" si="178"/>
        <v>20</v>
      </c>
      <c r="D1697" s="158" t="str">
        <f>VLOOKUP(C1697,DMSP!$A$1:$C$39,2,0)</f>
        <v>6.BVTV</v>
      </c>
      <c r="E1697" s="159" t="str">
        <f>VLOOKUP(C1697,DMSP!$A$1:$C$39,3,0)</f>
        <v>ABAFAX 3.6</v>
      </c>
      <c r="F1697" s="160">
        <f t="shared" si="176"/>
        <v>0</v>
      </c>
      <c r="G1697" s="176"/>
      <c r="H1697" s="176"/>
      <c r="I1697" s="176"/>
      <c r="J1697" s="176"/>
      <c r="K1697" s="176"/>
      <c r="L1697" s="176"/>
      <c r="M1697" s="176"/>
      <c r="N1697" s="176"/>
      <c r="O1697" s="176"/>
      <c r="P1697" s="176"/>
      <c r="Q1697" s="176"/>
      <c r="R1697" s="176"/>
      <c r="S1697" s="162">
        <f t="shared" si="179"/>
        <v>0</v>
      </c>
      <c r="T1697" s="167"/>
    </row>
    <row r="1698" customHeight="1" spans="2:20">
      <c r="B1698" s="166"/>
      <c r="C1698" s="164">
        <f t="shared" si="178"/>
        <v>21</v>
      </c>
      <c r="D1698" s="158" t="str">
        <f>VLOOKUP(C1698,DMSP!$A$1:$C$39,2,0)</f>
        <v>6.BVTV</v>
      </c>
      <c r="E1698" s="159" t="str">
        <f>VLOOKUP(C1698,DMSP!$A$1:$C$39,3,0)</f>
        <v>AZET</v>
      </c>
      <c r="F1698" s="160">
        <f t="shared" si="176"/>
        <v>0</v>
      </c>
      <c r="G1698" s="176"/>
      <c r="H1698" s="176"/>
      <c r="I1698" s="176"/>
      <c r="J1698" s="176"/>
      <c r="K1698" s="176"/>
      <c r="L1698" s="176"/>
      <c r="M1698" s="176"/>
      <c r="N1698" s="176"/>
      <c r="O1698" s="176"/>
      <c r="P1698" s="176"/>
      <c r="Q1698" s="176"/>
      <c r="R1698" s="176"/>
      <c r="S1698" s="162">
        <f t="shared" si="179"/>
        <v>0</v>
      </c>
      <c r="T1698" s="167"/>
    </row>
    <row r="1699" customHeight="1" spans="2:20">
      <c r="B1699" s="166"/>
      <c r="C1699" s="164">
        <f t="shared" si="178"/>
        <v>22</v>
      </c>
      <c r="D1699" s="158" t="str">
        <f>VLOOKUP(C1699,DMSP!$A$1:$C$39,2,0)</f>
        <v>6.BVTV</v>
      </c>
      <c r="E1699" s="159" t="str">
        <f>VLOOKUP(C1699,DMSP!$A$1:$C$39,3,0)</f>
        <v>BACBA</v>
      </c>
      <c r="F1699" s="160">
        <f t="shared" si="176"/>
        <v>0</v>
      </c>
      <c r="G1699" s="176"/>
      <c r="H1699" s="176"/>
      <c r="I1699" s="176"/>
      <c r="J1699" s="176"/>
      <c r="K1699" s="176"/>
      <c r="L1699" s="176"/>
      <c r="M1699" s="176"/>
      <c r="N1699" s="176"/>
      <c r="O1699" s="176"/>
      <c r="P1699" s="176"/>
      <c r="Q1699" s="176"/>
      <c r="R1699" s="176"/>
      <c r="S1699" s="162">
        <f t="shared" si="179"/>
        <v>0</v>
      </c>
      <c r="T1699" s="167"/>
    </row>
    <row r="1700" customHeight="1" spans="2:20">
      <c r="B1700" s="166"/>
      <c r="C1700" s="164">
        <f t="shared" si="178"/>
        <v>23</v>
      </c>
      <c r="D1700" s="158" t="str">
        <f>VLOOKUP(C1700,DMSP!$A$1:$C$39,2,0)</f>
        <v>6.BVTV</v>
      </c>
      <c r="E1700" s="159" t="str">
        <f>VLOOKUP(C1700,DMSP!$A$1:$C$39,3,0)</f>
        <v>BIOROSAMIL</v>
      </c>
      <c r="F1700" s="160">
        <f t="shared" si="176"/>
        <v>0</v>
      </c>
      <c r="G1700" s="176"/>
      <c r="H1700" s="176"/>
      <c r="I1700" s="176"/>
      <c r="J1700" s="176"/>
      <c r="K1700" s="176"/>
      <c r="L1700" s="176"/>
      <c r="M1700" s="176"/>
      <c r="N1700" s="176"/>
      <c r="O1700" s="176"/>
      <c r="P1700" s="176"/>
      <c r="Q1700" s="176"/>
      <c r="R1700" s="176"/>
      <c r="S1700" s="162">
        <f t="shared" si="179"/>
        <v>0</v>
      </c>
      <c r="T1700" s="167"/>
    </row>
    <row r="1701" customHeight="1" spans="2:20">
      <c r="B1701" s="166"/>
      <c r="C1701" s="164">
        <f t="shared" si="178"/>
        <v>24</v>
      </c>
      <c r="D1701" s="158" t="str">
        <f>VLOOKUP(C1701,DMSP!$A$1:$C$39,2,0)</f>
        <v>6.BVTV</v>
      </c>
      <c r="E1701" s="159" t="str">
        <f>VLOOKUP(C1701,DMSP!$A$1:$C$39,3,0)</f>
        <v>COC 86</v>
      </c>
      <c r="F1701" s="160">
        <f t="shared" si="176"/>
        <v>0</v>
      </c>
      <c r="G1701" s="176"/>
      <c r="H1701" s="176"/>
      <c r="I1701" s="176"/>
      <c r="J1701" s="176"/>
      <c r="K1701" s="176"/>
      <c r="L1701" s="176"/>
      <c r="M1701" s="176"/>
      <c r="N1701" s="176"/>
      <c r="O1701" s="176"/>
      <c r="P1701" s="176"/>
      <c r="Q1701" s="176"/>
      <c r="R1701" s="176"/>
      <c r="S1701" s="162">
        <f t="shared" si="179"/>
        <v>0</v>
      </c>
      <c r="T1701" s="167"/>
    </row>
    <row r="1702" customHeight="1" spans="2:20">
      <c r="B1702" s="166"/>
      <c r="C1702" s="164">
        <f t="shared" si="178"/>
        <v>25</v>
      </c>
      <c r="D1702" s="158" t="str">
        <f>VLOOKUP(C1702,DMSP!$A$1:$C$39,2,0)</f>
        <v>6.BVTV</v>
      </c>
      <c r="E1702" s="159" t="str">
        <f>VLOOKUP(C1702,DMSP!$A$1:$C$39,3,0)</f>
        <v>HEXA 5</v>
      </c>
      <c r="F1702" s="160">
        <f t="shared" si="176"/>
        <v>0</v>
      </c>
      <c r="G1702" s="176"/>
      <c r="H1702" s="176"/>
      <c r="I1702" s="176"/>
      <c r="J1702" s="176"/>
      <c r="K1702" s="176"/>
      <c r="L1702" s="176"/>
      <c r="M1702" s="176"/>
      <c r="N1702" s="176"/>
      <c r="O1702" s="176"/>
      <c r="P1702" s="176"/>
      <c r="Q1702" s="176"/>
      <c r="R1702" s="176"/>
      <c r="S1702" s="162">
        <f t="shared" si="179"/>
        <v>0</v>
      </c>
      <c r="T1702" s="167"/>
    </row>
    <row r="1703" customHeight="1" spans="2:20">
      <c r="B1703" s="166"/>
      <c r="C1703" s="164">
        <f t="shared" si="178"/>
        <v>26</v>
      </c>
      <c r="D1703" s="158" t="str">
        <f>VLOOKUP(C1703,DMSP!$A$1:$C$39,2,0)</f>
        <v>6.BVTV</v>
      </c>
      <c r="E1703" s="159" t="str">
        <f>VLOOKUP(C1703,DMSP!$A$1:$C$39,3,0)</f>
        <v>TAMALA</v>
      </c>
      <c r="F1703" s="160">
        <f t="shared" si="176"/>
        <v>0</v>
      </c>
      <c r="G1703" s="176"/>
      <c r="H1703" s="176"/>
      <c r="I1703" s="176"/>
      <c r="J1703" s="176"/>
      <c r="K1703" s="176"/>
      <c r="L1703" s="176"/>
      <c r="M1703" s="176"/>
      <c r="N1703" s="176"/>
      <c r="O1703" s="176"/>
      <c r="P1703" s="176"/>
      <c r="Q1703" s="176"/>
      <c r="R1703" s="176"/>
      <c r="S1703" s="162">
        <f t="shared" si="179"/>
        <v>0</v>
      </c>
      <c r="T1703" s="167"/>
    </row>
    <row r="1704" customHeight="1" spans="2:20">
      <c r="B1704" s="166"/>
      <c r="C1704" s="164">
        <f t="shared" si="178"/>
        <v>27</v>
      </c>
      <c r="D1704" s="158" t="str">
        <f>VLOOKUP(C1704,DMSP!$A$1:$C$39,2,0)</f>
        <v>7.KHÁC</v>
      </c>
      <c r="E1704" s="159" t="str">
        <f>VLOOKUP(C1704,DMSP!$A$1:$C$39,3,0)</f>
        <v>KẼM VÀNG</v>
      </c>
      <c r="F1704" s="160">
        <f t="shared" si="176"/>
        <v>0</v>
      </c>
      <c r="G1704" s="176"/>
      <c r="H1704" s="176"/>
      <c r="I1704" s="176"/>
      <c r="J1704" s="176"/>
      <c r="K1704" s="176"/>
      <c r="L1704" s="176"/>
      <c r="M1704" s="176"/>
      <c r="N1704" s="176"/>
      <c r="O1704" s="176"/>
      <c r="P1704" s="176"/>
      <c r="Q1704" s="176"/>
      <c r="R1704" s="176"/>
      <c r="S1704" s="162">
        <f t="shared" si="179"/>
        <v>0</v>
      </c>
      <c r="T1704" s="167"/>
    </row>
    <row r="1705" customHeight="1" spans="2:20">
      <c r="B1705" s="166"/>
      <c r="C1705" s="164">
        <f t="shared" si="178"/>
        <v>28</v>
      </c>
      <c r="D1705" s="158" t="str">
        <f>VLOOKUP(C1705,DMSP!$A$1:$C$39,2,0)</f>
        <v>7.KHÁC</v>
      </c>
      <c r="E1705" s="159" t="str">
        <f>VLOOKUP(C1705,DMSP!$A$1:$C$39,3,0)</f>
        <v>KHÁC1</v>
      </c>
      <c r="F1705" s="160">
        <f t="shared" si="176"/>
        <v>0</v>
      </c>
      <c r="G1705" s="176"/>
      <c r="H1705" s="176"/>
      <c r="I1705" s="176"/>
      <c r="J1705" s="176"/>
      <c r="K1705" s="176"/>
      <c r="L1705" s="176"/>
      <c r="M1705" s="176"/>
      <c r="N1705" s="176"/>
      <c r="O1705" s="176"/>
      <c r="P1705" s="176"/>
      <c r="Q1705" s="176"/>
      <c r="R1705" s="176"/>
      <c r="S1705" s="162">
        <f t="shared" si="179"/>
        <v>0</v>
      </c>
      <c r="T1705" s="167"/>
    </row>
    <row r="1706" customHeight="1" spans="2:20">
      <c r="B1706" s="166"/>
      <c r="C1706" s="164">
        <f t="shared" si="178"/>
        <v>29</v>
      </c>
      <c r="D1706" s="158" t="str">
        <f>VLOOKUP(C1706,DMSP!$A$1:$C$39,2,0)</f>
        <v>7.KHÁC</v>
      </c>
      <c r="E1706" s="169" t="s">
        <v>13</v>
      </c>
      <c r="F1706" s="160">
        <f t="shared" si="176"/>
        <v>0</v>
      </c>
      <c r="G1706" s="176"/>
      <c r="H1706" s="176"/>
      <c r="I1706" s="176"/>
      <c r="J1706" s="176"/>
      <c r="K1706" s="176"/>
      <c r="L1706" s="176"/>
      <c r="M1706" s="176"/>
      <c r="N1706" s="176"/>
      <c r="O1706" s="176"/>
      <c r="P1706" s="176"/>
      <c r="Q1706" s="176"/>
      <c r="R1706" s="176"/>
      <c r="S1706" s="162">
        <f t="shared" si="179"/>
        <v>0</v>
      </c>
      <c r="T1706" s="167"/>
    </row>
    <row r="1707" customHeight="1" spans="2:20">
      <c r="B1707" s="166"/>
      <c r="C1707" s="164">
        <f t="shared" si="178"/>
        <v>30</v>
      </c>
      <c r="D1707" s="158" t="str">
        <f>VLOOKUP(C1707,DMSP!$A$1:$C$39,2,0)</f>
        <v>7.KHÁC</v>
      </c>
      <c r="E1707" s="159" t="str">
        <f>VLOOKUP(C1707,DMSP!$A$1:$C$39,3,0)</f>
        <v>RỬA RONG RÊU</v>
      </c>
      <c r="F1707" s="160">
        <f t="shared" si="176"/>
        <v>0</v>
      </c>
      <c r="G1707" s="176"/>
      <c r="H1707" s="176"/>
      <c r="I1707" s="176"/>
      <c r="J1707" s="176"/>
      <c r="K1707" s="176"/>
      <c r="L1707" s="176"/>
      <c r="M1707" s="176"/>
      <c r="N1707" s="176"/>
      <c r="O1707" s="176"/>
      <c r="P1707" s="176"/>
      <c r="Q1707" s="176"/>
      <c r="R1707" s="176"/>
      <c r="S1707" s="162">
        <f t="shared" si="179"/>
        <v>0</v>
      </c>
      <c r="T1707" s="167"/>
    </row>
    <row r="1708" customHeight="1" spans="2:20">
      <c r="B1708" s="166"/>
      <c r="C1708" s="164">
        <f t="shared" si="178"/>
        <v>31</v>
      </c>
      <c r="D1708" s="158" t="str">
        <f>VLOOKUP(C1708,DMSP!$A$1:$C$39,2,0)</f>
        <v>7.KHÁC</v>
      </c>
      <c r="E1708" s="159" t="str">
        <f>VLOOKUP(C1708,DMSP!$A$1:$C$39,3,0)</f>
        <v>TB BO</v>
      </c>
      <c r="F1708" s="160">
        <f t="shared" si="176"/>
        <v>0</v>
      </c>
      <c r="G1708" s="176"/>
      <c r="H1708" s="176"/>
      <c r="I1708" s="176"/>
      <c r="J1708" s="176"/>
      <c r="K1708" s="176"/>
      <c r="L1708" s="176"/>
      <c r="M1708" s="176"/>
      <c r="N1708" s="176"/>
      <c r="O1708" s="176"/>
      <c r="P1708" s="176"/>
      <c r="Q1708" s="176"/>
      <c r="R1708" s="176"/>
      <c r="S1708" s="162">
        <f t="shared" si="179"/>
        <v>0</v>
      </c>
      <c r="T1708" s="167"/>
    </row>
    <row r="1709" customHeight="1" spans="2:20">
      <c r="B1709" s="166"/>
      <c r="C1709" s="164">
        <f t="shared" si="178"/>
        <v>32</v>
      </c>
      <c r="D1709" s="158" t="str">
        <f>VLOOKUP(C1709,DMSP!$A$1:$C$39,2,0)</f>
        <v>7.KHÁC</v>
      </c>
      <c r="E1709" s="159" t="str">
        <f>VLOOKUP(C1709,DMSP!$A$1:$C$39,3,0)</f>
        <v>TB FRUIT</v>
      </c>
      <c r="F1709" s="160">
        <f t="shared" si="176"/>
        <v>0</v>
      </c>
      <c r="G1709" s="176"/>
      <c r="H1709" s="176"/>
      <c r="I1709" s="176"/>
      <c r="J1709" s="176"/>
      <c r="K1709" s="176"/>
      <c r="L1709" s="176"/>
      <c r="M1709" s="176"/>
      <c r="N1709" s="176"/>
      <c r="O1709" s="176"/>
      <c r="P1709" s="176"/>
      <c r="Q1709" s="176"/>
      <c r="R1709" s="176"/>
      <c r="S1709" s="162">
        <f t="shared" si="179"/>
        <v>0</v>
      </c>
      <c r="T1709" s="167"/>
    </row>
    <row r="1710" customHeight="1" spans="2:20">
      <c r="B1710" s="166"/>
      <c r="C1710" s="164">
        <f t="shared" si="178"/>
        <v>33</v>
      </c>
      <c r="D1710" s="158" t="str">
        <f>VLOOKUP(C1710,DMSP!$A$1:$C$39,2,0)</f>
        <v>7.KHÁC</v>
      </c>
      <c r="E1710" s="159" t="str">
        <f>VLOOKUP(C1710,DMSP!$A$1:$C$39,3,0)</f>
        <v>TB PHOS</v>
      </c>
      <c r="F1710" s="160">
        <f t="shared" si="176"/>
        <v>0</v>
      </c>
      <c r="G1710" s="176"/>
      <c r="H1710" s="176"/>
      <c r="I1710" s="176"/>
      <c r="J1710" s="176"/>
      <c r="K1710" s="176"/>
      <c r="L1710" s="176"/>
      <c r="M1710" s="176"/>
      <c r="N1710" s="176"/>
      <c r="O1710" s="176"/>
      <c r="P1710" s="176"/>
      <c r="Q1710" s="176"/>
      <c r="R1710" s="176"/>
      <c r="S1710" s="162">
        <f t="shared" si="179"/>
        <v>0</v>
      </c>
      <c r="T1710" s="167"/>
    </row>
    <row r="1711" customHeight="1" spans="2:20">
      <c r="B1711" s="166"/>
      <c r="C1711" s="164">
        <f t="shared" si="178"/>
        <v>34</v>
      </c>
      <c r="D1711" s="158" t="str">
        <f>VLOOKUP(C1711,DMSP!$A$1:$C$39,2,0)</f>
        <v>7.KHÁC</v>
      </c>
      <c r="E1711" s="159" t="str">
        <f>VLOOKUP(C1711,DMSP!$A$1:$C$39,3,0)</f>
        <v>TOBA BÁM DÍNH</v>
      </c>
      <c r="F1711" s="160">
        <f t="shared" si="176"/>
        <v>0</v>
      </c>
      <c r="G1711" s="176"/>
      <c r="H1711" s="176"/>
      <c r="I1711" s="176"/>
      <c r="J1711" s="176"/>
      <c r="K1711" s="176"/>
      <c r="L1711" s="176"/>
      <c r="M1711" s="176"/>
      <c r="N1711" s="176"/>
      <c r="O1711" s="176"/>
      <c r="P1711" s="176"/>
      <c r="Q1711" s="176"/>
      <c r="R1711" s="176"/>
      <c r="S1711" s="162">
        <f t="shared" si="179"/>
        <v>0</v>
      </c>
      <c r="T1711" s="167"/>
    </row>
    <row r="1712" customHeight="1" spans="2:20">
      <c r="B1712" s="166"/>
      <c r="C1712" s="164">
        <f t="shared" si="178"/>
        <v>35</v>
      </c>
      <c r="D1712" s="158" t="str">
        <f>VLOOKUP(C1712,DMSP!$A$1:$C$39,2,0)</f>
        <v>7.KHÁC</v>
      </c>
      <c r="E1712" s="159" t="str">
        <f>VLOOKUP(C1712,DMSP!$A$1:$C$39,3,0)</f>
        <v>VỌT HOA NHÃN</v>
      </c>
      <c r="F1712" s="160">
        <f t="shared" si="176"/>
        <v>0</v>
      </c>
      <c r="G1712" s="176"/>
      <c r="H1712" s="176"/>
      <c r="I1712" s="176"/>
      <c r="J1712" s="176"/>
      <c r="K1712" s="176"/>
      <c r="L1712" s="176"/>
      <c r="M1712" s="176"/>
      <c r="N1712" s="176"/>
      <c r="O1712" s="176"/>
      <c r="P1712" s="176"/>
      <c r="Q1712" s="176"/>
      <c r="R1712" s="176"/>
      <c r="S1712" s="162">
        <f t="shared" si="179"/>
        <v>0</v>
      </c>
      <c r="T1712" s="167"/>
    </row>
    <row r="1713" customHeight="1" spans="2:20">
      <c r="B1713" s="166"/>
      <c r="C1713" s="164">
        <f t="shared" si="178"/>
        <v>36</v>
      </c>
      <c r="D1713" s="158" t="str">
        <f>VLOOKUP(C1713,DMSP!$A$1:$C$39,2,0)</f>
        <v>7.KHÁC</v>
      </c>
      <c r="E1713" s="159" t="str">
        <f>VLOOKUP(C1713,DMSP!$A$1:$C$39,3,0)</f>
        <v>VỌT HOA XOÀI</v>
      </c>
      <c r="F1713" s="160">
        <f t="shared" si="176"/>
        <v>0</v>
      </c>
      <c r="G1713" s="176"/>
      <c r="H1713" s="176"/>
      <c r="I1713" s="176"/>
      <c r="J1713" s="176"/>
      <c r="K1713" s="176"/>
      <c r="L1713" s="176"/>
      <c r="M1713" s="176"/>
      <c r="N1713" s="176"/>
      <c r="O1713" s="176"/>
      <c r="P1713" s="176"/>
      <c r="Q1713" s="176"/>
      <c r="R1713" s="176"/>
      <c r="S1713" s="162">
        <f t="shared" si="179"/>
        <v>0</v>
      </c>
      <c r="T1713" s="167"/>
    </row>
    <row r="1714" customHeight="1" spans="2:20">
      <c r="B1714" s="166"/>
      <c r="C1714" s="164">
        <f t="shared" si="178"/>
        <v>37</v>
      </c>
      <c r="D1714" s="158" t="str">
        <f>VLOOKUP(C1714,DMSP!$A$1:$C$39,2,0)</f>
        <v>7.KHÁC</v>
      </c>
      <c r="E1714" s="159" t="str">
        <f>VLOOKUP(C1714,DMSP!$A$1:$C$39,3,0)</f>
        <v>VỌT HOA XOÀI</v>
      </c>
      <c r="F1714" s="160">
        <f t="shared" si="176"/>
        <v>0</v>
      </c>
      <c r="G1714" s="176"/>
      <c r="H1714" s="176"/>
      <c r="I1714" s="176"/>
      <c r="J1714" s="176"/>
      <c r="K1714" s="176"/>
      <c r="L1714" s="176"/>
      <c r="M1714" s="176"/>
      <c r="N1714" s="176"/>
      <c r="O1714" s="176"/>
      <c r="P1714" s="176"/>
      <c r="Q1714" s="176"/>
      <c r="R1714" s="176"/>
      <c r="S1714" s="162">
        <f t="shared" si="179"/>
        <v>0</v>
      </c>
      <c r="T1714" s="167"/>
    </row>
    <row r="1715" customHeight="1" spans="2:20">
      <c r="B1715" s="92"/>
      <c r="C1715" s="170">
        <f>B1678</f>
        <v>0</v>
      </c>
      <c r="D1715" s="171"/>
      <c r="E1715" s="172" t="str">
        <f>"TOTAL "&amp;B1678</f>
        <v>TOTAL </v>
      </c>
      <c r="F1715" s="173">
        <f t="shared" si="176"/>
        <v>0</v>
      </c>
      <c r="G1715" s="174">
        <f>SUM(G1678:G1714)</f>
        <v>0</v>
      </c>
      <c r="H1715" s="174">
        <f t="shared" ref="H1715:R1715" si="180">SUM(H1678:H1714)</f>
        <v>0</v>
      </c>
      <c r="I1715" s="174">
        <f t="shared" si="180"/>
        <v>0</v>
      </c>
      <c r="J1715" s="174">
        <f t="shared" si="180"/>
        <v>0</v>
      </c>
      <c r="K1715" s="174">
        <f t="shared" si="180"/>
        <v>0</v>
      </c>
      <c r="L1715" s="174">
        <f t="shared" si="180"/>
        <v>0</v>
      </c>
      <c r="M1715" s="174">
        <f t="shared" si="180"/>
        <v>0</v>
      </c>
      <c r="N1715" s="174">
        <f t="shared" si="180"/>
        <v>0</v>
      </c>
      <c r="O1715" s="174">
        <f t="shared" si="180"/>
        <v>0</v>
      </c>
      <c r="P1715" s="174">
        <f t="shared" si="180"/>
        <v>0</v>
      </c>
      <c r="Q1715" s="174">
        <f t="shared" si="180"/>
        <v>0</v>
      </c>
      <c r="R1715" s="174">
        <f t="shared" si="180"/>
        <v>0</v>
      </c>
      <c r="S1715" s="174">
        <f t="shared" si="179"/>
        <v>0</v>
      </c>
      <c r="T1715" s="175"/>
    </row>
    <row r="1716" customHeight="1" spans="2:20">
      <c r="B1716" s="156"/>
      <c r="C1716" s="157">
        <v>1</v>
      </c>
      <c r="D1716" s="158" t="str">
        <f>VLOOKUP(C1716,DMSP!$A$1:$C$39,2,0)</f>
        <v>1.TOBA XANH</v>
      </c>
      <c r="E1716" s="159" t="str">
        <f>VLOOKUP(C1716,DMSP!$A$1:$C$39,3,0)</f>
        <v>TOBA XANH</v>
      </c>
      <c r="F1716" s="160">
        <f t="shared" si="176"/>
        <v>0</v>
      </c>
      <c r="G1716" s="176"/>
      <c r="H1716" s="176"/>
      <c r="I1716" s="176"/>
      <c r="J1716" s="176"/>
      <c r="K1716" s="176"/>
      <c r="L1716" s="176"/>
      <c r="M1716" s="176"/>
      <c r="N1716" s="176"/>
      <c r="O1716" s="176"/>
      <c r="P1716" s="176"/>
      <c r="Q1716" s="176"/>
      <c r="R1716" s="176"/>
      <c r="S1716" s="162">
        <f t="shared" si="179"/>
        <v>0</v>
      </c>
      <c r="T1716" s="163">
        <f>S1753</f>
        <v>0</v>
      </c>
    </row>
    <row r="1717" customHeight="1" spans="2:20">
      <c r="B1717" s="166"/>
      <c r="C1717" s="164">
        <f t="shared" ref="C1717:C1752" si="181">C1716+1</f>
        <v>2</v>
      </c>
      <c r="D1717" s="158" t="str">
        <f>VLOOKUP(C1717,DMSP!$A$1:$C$39,2,0)</f>
        <v>2.HC</v>
      </c>
      <c r="E1717" s="159" t="str">
        <f>VLOOKUP(C1717,DMSP!$A$1:$C$39,3,0)</f>
        <v>HC BOOSTER</v>
      </c>
      <c r="F1717" s="160">
        <f t="shared" si="176"/>
        <v>0</v>
      </c>
      <c r="G1717" s="176"/>
      <c r="H1717" s="176"/>
      <c r="I1717" s="176"/>
      <c r="J1717" s="176"/>
      <c r="K1717" s="176"/>
      <c r="L1717" s="176"/>
      <c r="M1717" s="176"/>
      <c r="N1717" s="176"/>
      <c r="O1717" s="176"/>
      <c r="P1717" s="176"/>
      <c r="Q1717" s="176"/>
      <c r="R1717" s="176"/>
      <c r="S1717" s="162">
        <f t="shared" ref="S1717:S1754" si="182">SUM(G1717:R1717)</f>
        <v>0</v>
      </c>
      <c r="T1717" s="167"/>
    </row>
    <row r="1718" customHeight="1" spans="2:20">
      <c r="B1718" s="166"/>
      <c r="C1718" s="164">
        <f t="shared" si="181"/>
        <v>3</v>
      </c>
      <c r="D1718" s="158" t="str">
        <f>VLOOKUP(C1718,DMSP!$A$1:$C$39,2,0)</f>
        <v>2.HC</v>
      </c>
      <c r="E1718" s="159" t="str">
        <f>VLOOKUP(C1718,DMSP!$A$1:$C$39,3,0)</f>
        <v>HC KING-ROOT</v>
      </c>
      <c r="F1718" s="160">
        <f t="shared" si="176"/>
        <v>0</v>
      </c>
      <c r="G1718" s="176"/>
      <c r="H1718" s="176"/>
      <c r="I1718" s="176"/>
      <c r="J1718" s="176"/>
      <c r="K1718" s="176"/>
      <c r="L1718" s="176"/>
      <c r="M1718" s="176"/>
      <c r="N1718" s="176"/>
      <c r="O1718" s="176"/>
      <c r="P1718" s="176"/>
      <c r="Q1718" s="176"/>
      <c r="R1718" s="176"/>
      <c r="S1718" s="162">
        <f t="shared" si="182"/>
        <v>0</v>
      </c>
      <c r="T1718" s="167"/>
    </row>
    <row r="1719" customHeight="1" spans="2:20">
      <c r="B1719" s="166"/>
      <c r="C1719" s="164">
        <f t="shared" si="181"/>
        <v>4</v>
      </c>
      <c r="D1719" s="158" t="str">
        <f>VLOOKUP(C1719,DMSP!$A$1:$C$39,2,0)</f>
        <v>2.HC</v>
      </c>
      <c r="E1719" s="159" t="str">
        <f>VLOOKUP(C1719,DMSP!$A$1:$C$39,3,0)</f>
        <v>HAPPY FARM</v>
      </c>
      <c r="F1719" s="160">
        <f t="shared" si="176"/>
        <v>0</v>
      </c>
      <c r="G1719" s="176"/>
      <c r="H1719" s="176"/>
      <c r="I1719" s="176"/>
      <c r="J1719" s="176"/>
      <c r="K1719" s="176"/>
      <c r="L1719" s="176"/>
      <c r="M1719" s="176"/>
      <c r="N1719" s="176"/>
      <c r="O1719" s="176"/>
      <c r="P1719" s="176"/>
      <c r="Q1719" s="176"/>
      <c r="R1719" s="176"/>
      <c r="S1719" s="162">
        <f t="shared" si="182"/>
        <v>0</v>
      </c>
      <c r="T1719" s="167"/>
    </row>
    <row r="1720" customHeight="1" spans="2:20">
      <c r="B1720" s="166"/>
      <c r="C1720" s="164">
        <f t="shared" si="181"/>
        <v>5</v>
      </c>
      <c r="D1720" s="158" t="str">
        <f>VLOOKUP(C1720,DMSP!$A$1:$C$39,2,0)</f>
        <v>2.HC</v>
      </c>
      <c r="E1720" s="159" t="str">
        <f>VLOOKUP(C1720,DMSP!$A$1:$C$39,3,0)</f>
        <v>WOW</v>
      </c>
      <c r="F1720" s="160">
        <f t="shared" si="176"/>
        <v>0</v>
      </c>
      <c r="G1720" s="176"/>
      <c r="H1720" s="176"/>
      <c r="I1720" s="176"/>
      <c r="J1720" s="176"/>
      <c r="K1720" s="176"/>
      <c r="L1720" s="176"/>
      <c r="M1720" s="176"/>
      <c r="N1720" s="176"/>
      <c r="O1720" s="176"/>
      <c r="P1720" s="176"/>
      <c r="Q1720" s="176"/>
      <c r="R1720" s="176"/>
      <c r="S1720" s="162">
        <f t="shared" si="182"/>
        <v>0</v>
      </c>
      <c r="T1720" s="167"/>
    </row>
    <row r="1721" customHeight="1" spans="2:20">
      <c r="B1721" s="166"/>
      <c r="C1721" s="164">
        <f t="shared" si="181"/>
        <v>6</v>
      </c>
      <c r="D1721" s="158" t="str">
        <f>VLOOKUP(C1721,DMSP!$A$1:$C$39,2,0)</f>
        <v>3.SPRAY </v>
      </c>
      <c r="E1721" s="159" t="str">
        <f>VLOOKUP(C1721,DMSP!$A$1:$C$39,3,0)</f>
        <v>KELPIT</v>
      </c>
      <c r="F1721" s="160">
        <f t="shared" si="176"/>
        <v>0</v>
      </c>
      <c r="G1721" s="176"/>
      <c r="H1721" s="176"/>
      <c r="I1721" s="176"/>
      <c r="J1721" s="176"/>
      <c r="K1721" s="176"/>
      <c r="L1721" s="176"/>
      <c r="M1721" s="176"/>
      <c r="N1721" s="176"/>
      <c r="O1721" s="176"/>
      <c r="P1721" s="176"/>
      <c r="Q1721" s="176"/>
      <c r="R1721" s="176"/>
      <c r="S1721" s="162">
        <f t="shared" si="182"/>
        <v>0</v>
      </c>
      <c r="T1721" s="167"/>
    </row>
    <row r="1722" customHeight="1" spans="2:20">
      <c r="B1722" s="166"/>
      <c r="C1722" s="164">
        <f t="shared" si="181"/>
        <v>7</v>
      </c>
      <c r="D1722" s="158" t="str">
        <f>VLOOKUP(C1722,DMSP!$A$1:$C$39,2,0)</f>
        <v>3.SPRAY </v>
      </c>
      <c r="E1722" s="159" t="str">
        <f>VLOOKUP(C1722,DMSP!$A$1:$C$39,3,0)</f>
        <v>SI-K</v>
      </c>
      <c r="F1722" s="160">
        <f t="shared" si="176"/>
        <v>0</v>
      </c>
      <c r="G1722" s="176"/>
      <c r="H1722" s="176"/>
      <c r="I1722" s="176"/>
      <c r="J1722" s="176"/>
      <c r="K1722" s="176"/>
      <c r="L1722" s="176"/>
      <c r="M1722" s="176"/>
      <c r="N1722" s="176"/>
      <c r="O1722" s="176"/>
      <c r="P1722" s="176"/>
      <c r="Q1722" s="176"/>
      <c r="R1722" s="176"/>
      <c r="S1722" s="162">
        <f t="shared" si="182"/>
        <v>0</v>
      </c>
      <c r="T1722" s="167"/>
    </row>
    <row r="1723" customHeight="1" spans="2:20">
      <c r="B1723" s="166"/>
      <c r="C1723" s="164">
        <f t="shared" si="181"/>
        <v>8</v>
      </c>
      <c r="D1723" s="158" t="str">
        <f>VLOOKUP(C1723,DMSP!$A$1:$C$39,2,0)</f>
        <v>3.SPRAY </v>
      </c>
      <c r="E1723" s="159" t="str">
        <f>VLOOKUP(C1723,DMSP!$A$1:$C$39,3,0)</f>
        <v>SPRAY PHOS 620</v>
      </c>
      <c r="F1723" s="160">
        <f t="shared" si="176"/>
        <v>0</v>
      </c>
      <c r="G1723" s="176"/>
      <c r="H1723" s="176"/>
      <c r="I1723" s="176"/>
      <c r="J1723" s="176"/>
      <c r="K1723" s="176"/>
      <c r="L1723" s="176"/>
      <c r="M1723" s="176"/>
      <c r="N1723" s="176"/>
      <c r="O1723" s="176"/>
      <c r="P1723" s="176"/>
      <c r="Q1723" s="176"/>
      <c r="R1723" s="176"/>
      <c r="S1723" s="162">
        <f t="shared" si="182"/>
        <v>0</v>
      </c>
      <c r="T1723" s="167"/>
    </row>
    <row r="1724" customHeight="1" spans="2:20">
      <c r="B1724" s="166"/>
      <c r="C1724" s="164">
        <f t="shared" si="181"/>
        <v>9</v>
      </c>
      <c r="D1724" s="158" t="str">
        <f>VLOOKUP(C1724,DMSP!$A$1:$C$39,2,0)</f>
        <v>4.DƯỠNG RỄ</v>
      </c>
      <c r="E1724" s="159" t="str">
        <f>VLOOKUP(C1724,DMSP!$A$1:$C$39,3,0)</f>
        <v>CHITOSAN</v>
      </c>
      <c r="F1724" s="160">
        <f t="shared" si="176"/>
        <v>0</v>
      </c>
      <c r="G1724" s="176"/>
      <c r="H1724" s="176"/>
      <c r="I1724" s="176"/>
      <c r="J1724" s="176"/>
      <c r="K1724" s="176"/>
      <c r="L1724" s="176"/>
      <c r="M1724" s="176"/>
      <c r="N1724" s="176"/>
      <c r="O1724" s="176"/>
      <c r="P1724" s="176"/>
      <c r="Q1724" s="176"/>
      <c r="R1724" s="176"/>
      <c r="S1724" s="162">
        <f t="shared" si="182"/>
        <v>0</v>
      </c>
      <c r="T1724" s="167"/>
    </row>
    <row r="1725" customHeight="1" spans="2:20">
      <c r="B1725" s="166"/>
      <c r="C1725" s="164">
        <f t="shared" si="181"/>
        <v>10</v>
      </c>
      <c r="D1725" s="158" t="str">
        <f>VLOOKUP(C1725,DMSP!$A$1:$C$39,2,0)</f>
        <v>4.DƯỠNG RỄ</v>
      </c>
      <c r="E1725" s="159" t="str">
        <f>VLOOKUP(C1725,DMSP!$A$1:$C$39,3,0)</f>
        <v>ĐẠM CÁ</v>
      </c>
      <c r="F1725" s="160">
        <f t="shared" si="176"/>
        <v>0</v>
      </c>
      <c r="G1725" s="176"/>
      <c r="H1725" s="176"/>
      <c r="I1725" s="176"/>
      <c r="J1725" s="176"/>
      <c r="K1725" s="176"/>
      <c r="L1725" s="176"/>
      <c r="M1725" s="176"/>
      <c r="N1725" s="176"/>
      <c r="O1725" s="176"/>
      <c r="P1725" s="176"/>
      <c r="Q1725" s="176"/>
      <c r="R1725" s="176"/>
      <c r="S1725" s="162">
        <f t="shared" si="182"/>
        <v>0</v>
      </c>
      <c r="T1725" s="167"/>
    </row>
    <row r="1726" customHeight="1" spans="2:20">
      <c r="B1726" s="166"/>
      <c r="C1726" s="164">
        <f t="shared" si="181"/>
        <v>11</v>
      </c>
      <c r="D1726" s="158" t="str">
        <f>VLOOKUP(C1726,DMSP!$A$1:$C$39,2,0)</f>
        <v>4.DƯỠNG RỄ</v>
      </c>
      <c r="E1726" s="159" t="str">
        <f>VLOOKUP(C1726,DMSP!$A$1:$C$39,3,0)</f>
        <v>ĐẠM TÔM</v>
      </c>
      <c r="F1726" s="160">
        <f t="shared" si="176"/>
        <v>0</v>
      </c>
      <c r="G1726" s="176"/>
      <c r="H1726" s="176"/>
      <c r="I1726" s="176"/>
      <c r="J1726" s="176"/>
      <c r="K1726" s="176"/>
      <c r="L1726" s="176"/>
      <c r="M1726" s="176"/>
      <c r="N1726" s="176"/>
      <c r="O1726" s="176"/>
      <c r="P1726" s="176"/>
      <c r="Q1726" s="176"/>
      <c r="R1726" s="176"/>
      <c r="S1726" s="162">
        <f t="shared" si="182"/>
        <v>0</v>
      </c>
      <c r="T1726" s="167"/>
    </row>
    <row r="1727" customHeight="1" spans="2:20">
      <c r="B1727" s="166"/>
      <c r="C1727" s="164">
        <f t="shared" si="181"/>
        <v>12</v>
      </c>
      <c r="D1727" s="158" t="str">
        <f>VLOOKUP(C1727,DMSP!$A$1:$C$39,2,0)</f>
        <v>4.DƯỠNG RỄ</v>
      </c>
      <c r="E1727" s="159" t="str">
        <f>VLOOKUP(C1727,DMSP!$A$1:$C$39,3,0)</f>
        <v>SUPERMIC</v>
      </c>
      <c r="F1727" s="160">
        <f t="shared" si="176"/>
        <v>0</v>
      </c>
      <c r="G1727" s="176"/>
      <c r="H1727" s="176"/>
      <c r="I1727" s="176"/>
      <c r="J1727" s="176"/>
      <c r="K1727" s="176"/>
      <c r="L1727" s="176"/>
      <c r="M1727" s="176"/>
      <c r="N1727" s="176"/>
      <c r="O1727" s="176"/>
      <c r="P1727" s="176"/>
      <c r="Q1727" s="176"/>
      <c r="R1727" s="176"/>
      <c r="S1727" s="162">
        <f t="shared" si="182"/>
        <v>0</v>
      </c>
      <c r="T1727" s="167"/>
    </row>
    <row r="1728" customHeight="1" spans="2:20">
      <c r="B1728" s="166"/>
      <c r="C1728" s="164">
        <f t="shared" si="181"/>
        <v>13</v>
      </c>
      <c r="D1728" s="158" t="str">
        <f>VLOOKUP(C1728,DMSP!$A$1:$C$39,2,0)</f>
        <v>5.TRUYỀN THỐNG</v>
      </c>
      <c r="E1728" s="159" t="str">
        <f>VLOOKUP(C1728,DMSP!$A$1:$C$39,3,0)</f>
        <v>CABO</v>
      </c>
      <c r="F1728" s="160">
        <f t="shared" si="176"/>
        <v>0</v>
      </c>
      <c r="G1728" s="176"/>
      <c r="H1728" s="176"/>
      <c r="I1728" s="176"/>
      <c r="J1728" s="176"/>
      <c r="K1728" s="176"/>
      <c r="L1728" s="176"/>
      <c r="M1728" s="176"/>
      <c r="N1728" s="176"/>
      <c r="O1728" s="176"/>
      <c r="P1728" s="176"/>
      <c r="Q1728" s="176"/>
      <c r="R1728" s="176"/>
      <c r="S1728" s="162">
        <f t="shared" si="182"/>
        <v>0</v>
      </c>
      <c r="T1728" s="167"/>
    </row>
    <row r="1729" customHeight="1" spans="2:20">
      <c r="B1729" s="166"/>
      <c r="C1729" s="164">
        <f t="shared" si="181"/>
        <v>14</v>
      </c>
      <c r="D1729" s="158" t="str">
        <f>VLOOKUP(C1729,DMSP!$A$1:$C$39,2,0)</f>
        <v>5.TRUYỀN THỐNG</v>
      </c>
      <c r="E1729" s="159" t="str">
        <f>VLOOKUP(C1729,DMSP!$A$1:$C$39,3,0)</f>
        <v>F94</v>
      </c>
      <c r="F1729" s="160">
        <f t="shared" si="176"/>
        <v>0</v>
      </c>
      <c r="G1729" s="176"/>
      <c r="H1729" s="176"/>
      <c r="I1729" s="176"/>
      <c r="J1729" s="176"/>
      <c r="K1729" s="176"/>
      <c r="L1729" s="176"/>
      <c r="M1729" s="176"/>
      <c r="N1729" s="176"/>
      <c r="O1729" s="176"/>
      <c r="P1729" s="176"/>
      <c r="Q1729" s="176"/>
      <c r="R1729" s="176"/>
      <c r="S1729" s="162">
        <f t="shared" si="182"/>
        <v>0</v>
      </c>
      <c r="T1729" s="167"/>
    </row>
    <row r="1730" customHeight="1" spans="2:20">
      <c r="B1730" s="166"/>
      <c r="C1730" s="164">
        <f t="shared" si="181"/>
        <v>15</v>
      </c>
      <c r="D1730" s="158" t="str">
        <f>VLOOKUP(C1730,DMSP!$A$1:$C$39,2,0)</f>
        <v>5.TRUYỀN THỐNG</v>
      </c>
      <c r="E1730" s="159" t="str">
        <f>VLOOKUP(C1730,DMSP!$A$1:$C$39,3,0)</f>
        <v>F95</v>
      </c>
      <c r="F1730" s="160">
        <f t="shared" si="176"/>
        <v>0</v>
      </c>
      <c r="G1730" s="176"/>
      <c r="H1730" s="176"/>
      <c r="I1730" s="176"/>
      <c r="J1730" s="176"/>
      <c r="K1730" s="176"/>
      <c r="L1730" s="176"/>
      <c r="M1730" s="176"/>
      <c r="N1730" s="176"/>
      <c r="O1730" s="176"/>
      <c r="P1730" s="176"/>
      <c r="Q1730" s="176"/>
      <c r="R1730" s="176"/>
      <c r="S1730" s="162">
        <f t="shared" si="182"/>
        <v>0</v>
      </c>
      <c r="T1730" s="167"/>
    </row>
    <row r="1731" customHeight="1" spans="2:20">
      <c r="B1731" s="166"/>
      <c r="C1731" s="164">
        <f t="shared" si="181"/>
        <v>16</v>
      </c>
      <c r="D1731" s="158" t="str">
        <f>VLOOKUP(C1731,DMSP!$A$1:$C$39,2,0)</f>
        <v>5.TRUYỀN THỐNG</v>
      </c>
      <c r="E1731" s="159" t="str">
        <f>VLOOKUP(C1731,DMSP!$A$1:$C$39,3,0)</f>
        <v>THIOURE</v>
      </c>
      <c r="F1731" s="160">
        <f t="shared" si="176"/>
        <v>0</v>
      </c>
      <c r="G1731" s="176"/>
      <c r="H1731" s="176"/>
      <c r="I1731" s="176"/>
      <c r="J1731" s="176"/>
      <c r="K1731" s="176"/>
      <c r="L1731" s="176"/>
      <c r="M1731" s="176"/>
      <c r="N1731" s="176"/>
      <c r="O1731" s="176"/>
      <c r="P1731" s="176"/>
      <c r="Q1731" s="176"/>
      <c r="R1731" s="176"/>
      <c r="S1731" s="162">
        <f t="shared" si="182"/>
        <v>0</v>
      </c>
      <c r="T1731" s="167"/>
    </row>
    <row r="1732" customHeight="1" spans="2:20">
      <c r="B1732" s="166"/>
      <c r="C1732" s="164">
        <f t="shared" si="181"/>
        <v>17</v>
      </c>
      <c r="D1732" s="158" t="str">
        <f>VLOOKUP(C1732,DMSP!$A$1:$C$39,2,0)</f>
        <v>5.TRUYỀN THỐNG</v>
      </c>
      <c r="E1732" s="159" t="str">
        <f>VLOOKUP(C1732,DMSP!$A$1:$C$39,3,0)</f>
        <v>TOBA JUM</v>
      </c>
      <c r="F1732" s="160">
        <f t="shared" si="176"/>
        <v>0</v>
      </c>
      <c r="G1732" s="176"/>
      <c r="H1732" s="176"/>
      <c r="I1732" s="176"/>
      <c r="J1732" s="176"/>
      <c r="K1732" s="176"/>
      <c r="L1732" s="176"/>
      <c r="M1732" s="176"/>
      <c r="N1732" s="176"/>
      <c r="O1732" s="176"/>
      <c r="P1732" s="176"/>
      <c r="Q1732" s="176"/>
      <c r="R1732" s="176"/>
      <c r="S1732" s="162">
        <f t="shared" si="182"/>
        <v>0</v>
      </c>
      <c r="T1732" s="167"/>
    </row>
    <row r="1733" customHeight="1" spans="2:20">
      <c r="B1733" s="166"/>
      <c r="C1733" s="164">
        <f t="shared" si="181"/>
        <v>18</v>
      </c>
      <c r="D1733" s="158" t="str">
        <f>VLOOKUP(C1733,DMSP!$A$1:$C$39,2,0)</f>
        <v>5.TRUYỀN THỐNG</v>
      </c>
      <c r="E1733" s="159" t="str">
        <f>VLOOKUP(C1733,DMSP!$A$1:$C$39,3,0)</f>
        <v>TOBA NET</v>
      </c>
      <c r="F1733" s="160">
        <f t="shared" si="176"/>
        <v>0</v>
      </c>
      <c r="G1733" s="176"/>
      <c r="H1733" s="176"/>
      <c r="I1733" s="176"/>
      <c r="J1733" s="176"/>
      <c r="K1733" s="176"/>
      <c r="L1733" s="176"/>
      <c r="M1733" s="176"/>
      <c r="N1733" s="176"/>
      <c r="O1733" s="176"/>
      <c r="P1733" s="176"/>
      <c r="Q1733" s="176"/>
      <c r="R1733" s="176"/>
      <c r="S1733" s="162">
        <f t="shared" si="182"/>
        <v>0</v>
      </c>
      <c r="T1733" s="167"/>
    </row>
    <row r="1734" customHeight="1" spans="2:20">
      <c r="B1734" s="166"/>
      <c r="C1734" s="164">
        <f t="shared" si="181"/>
        <v>19</v>
      </c>
      <c r="D1734" s="158" t="str">
        <f>VLOOKUP(C1734,DMSP!$A$1:$C$39,2,0)</f>
        <v>6.BVTV</v>
      </c>
      <c r="E1734" s="159" t="str">
        <f>VLOOKUP(C1734,DMSP!$A$1:$C$39,3,0)</f>
        <v>ABAFAX 1.8</v>
      </c>
      <c r="F1734" s="160">
        <f t="shared" si="176"/>
        <v>0</v>
      </c>
      <c r="G1734" s="176"/>
      <c r="H1734" s="176"/>
      <c r="I1734" s="176"/>
      <c r="J1734" s="176"/>
      <c r="K1734" s="176"/>
      <c r="L1734" s="176"/>
      <c r="M1734" s="176"/>
      <c r="N1734" s="176"/>
      <c r="O1734" s="176"/>
      <c r="P1734" s="176"/>
      <c r="Q1734" s="176"/>
      <c r="R1734" s="176"/>
      <c r="S1734" s="162">
        <f t="shared" si="182"/>
        <v>0</v>
      </c>
      <c r="T1734" s="167"/>
    </row>
    <row r="1735" customHeight="1" spans="2:20">
      <c r="B1735" s="166"/>
      <c r="C1735" s="164">
        <f t="shared" si="181"/>
        <v>20</v>
      </c>
      <c r="D1735" s="158" t="str">
        <f>VLOOKUP(C1735,DMSP!$A$1:$C$39,2,0)</f>
        <v>6.BVTV</v>
      </c>
      <c r="E1735" s="159" t="str">
        <f>VLOOKUP(C1735,DMSP!$A$1:$C$39,3,0)</f>
        <v>ABAFAX 3.6</v>
      </c>
      <c r="F1735" s="160">
        <f t="shared" ref="F1735:F1798" si="183">S1735</f>
        <v>0</v>
      </c>
      <c r="G1735" s="176"/>
      <c r="H1735" s="176"/>
      <c r="I1735" s="176"/>
      <c r="J1735" s="176"/>
      <c r="K1735" s="176"/>
      <c r="L1735" s="176"/>
      <c r="M1735" s="176"/>
      <c r="N1735" s="176"/>
      <c r="O1735" s="176"/>
      <c r="P1735" s="176"/>
      <c r="Q1735" s="176"/>
      <c r="R1735" s="176"/>
      <c r="S1735" s="162">
        <f t="shared" si="182"/>
        <v>0</v>
      </c>
      <c r="T1735" s="167"/>
    </row>
    <row r="1736" customHeight="1" spans="2:20">
      <c r="B1736" s="166"/>
      <c r="C1736" s="164">
        <f t="shared" si="181"/>
        <v>21</v>
      </c>
      <c r="D1736" s="158" t="str">
        <f>VLOOKUP(C1736,DMSP!$A$1:$C$39,2,0)</f>
        <v>6.BVTV</v>
      </c>
      <c r="E1736" s="159" t="str">
        <f>VLOOKUP(C1736,DMSP!$A$1:$C$39,3,0)</f>
        <v>AZET</v>
      </c>
      <c r="F1736" s="160">
        <f t="shared" si="183"/>
        <v>0</v>
      </c>
      <c r="G1736" s="176"/>
      <c r="H1736" s="176"/>
      <c r="I1736" s="176"/>
      <c r="J1736" s="176"/>
      <c r="K1736" s="176"/>
      <c r="L1736" s="176"/>
      <c r="M1736" s="176"/>
      <c r="N1736" s="176"/>
      <c r="O1736" s="176"/>
      <c r="P1736" s="176"/>
      <c r="Q1736" s="176"/>
      <c r="R1736" s="176"/>
      <c r="S1736" s="162">
        <f t="shared" si="182"/>
        <v>0</v>
      </c>
      <c r="T1736" s="167"/>
    </row>
    <row r="1737" customHeight="1" spans="2:20">
      <c r="B1737" s="166"/>
      <c r="C1737" s="164">
        <f t="shared" si="181"/>
        <v>22</v>
      </c>
      <c r="D1737" s="158" t="str">
        <f>VLOOKUP(C1737,DMSP!$A$1:$C$39,2,0)</f>
        <v>6.BVTV</v>
      </c>
      <c r="E1737" s="159" t="str">
        <f>VLOOKUP(C1737,DMSP!$A$1:$C$39,3,0)</f>
        <v>BACBA</v>
      </c>
      <c r="F1737" s="160">
        <f t="shared" si="183"/>
        <v>0</v>
      </c>
      <c r="G1737" s="176"/>
      <c r="H1737" s="176"/>
      <c r="I1737" s="176"/>
      <c r="J1737" s="176"/>
      <c r="K1737" s="176"/>
      <c r="L1737" s="176"/>
      <c r="M1737" s="176"/>
      <c r="N1737" s="176"/>
      <c r="O1737" s="176"/>
      <c r="P1737" s="176"/>
      <c r="Q1737" s="176"/>
      <c r="R1737" s="176"/>
      <c r="S1737" s="162">
        <f t="shared" si="182"/>
        <v>0</v>
      </c>
      <c r="T1737" s="167"/>
    </row>
    <row r="1738" customHeight="1" spans="2:20">
      <c r="B1738" s="166"/>
      <c r="C1738" s="164">
        <f t="shared" si="181"/>
        <v>23</v>
      </c>
      <c r="D1738" s="158" t="str">
        <f>VLOOKUP(C1738,DMSP!$A$1:$C$39,2,0)</f>
        <v>6.BVTV</v>
      </c>
      <c r="E1738" s="159" t="str">
        <f>VLOOKUP(C1738,DMSP!$A$1:$C$39,3,0)</f>
        <v>BIOROSAMIL</v>
      </c>
      <c r="F1738" s="160">
        <f t="shared" si="183"/>
        <v>0</v>
      </c>
      <c r="G1738" s="176"/>
      <c r="H1738" s="176"/>
      <c r="I1738" s="176"/>
      <c r="J1738" s="176"/>
      <c r="K1738" s="176"/>
      <c r="L1738" s="176"/>
      <c r="M1738" s="176"/>
      <c r="N1738" s="176"/>
      <c r="O1738" s="176"/>
      <c r="P1738" s="176"/>
      <c r="Q1738" s="176"/>
      <c r="R1738" s="176"/>
      <c r="S1738" s="162">
        <f t="shared" si="182"/>
        <v>0</v>
      </c>
      <c r="T1738" s="167"/>
    </row>
    <row r="1739" customHeight="1" spans="2:20">
      <c r="B1739" s="166"/>
      <c r="C1739" s="164">
        <f t="shared" si="181"/>
        <v>24</v>
      </c>
      <c r="D1739" s="158" t="str">
        <f>VLOOKUP(C1739,DMSP!$A$1:$C$39,2,0)</f>
        <v>6.BVTV</v>
      </c>
      <c r="E1739" s="159" t="str">
        <f>VLOOKUP(C1739,DMSP!$A$1:$C$39,3,0)</f>
        <v>COC 86</v>
      </c>
      <c r="F1739" s="160">
        <f t="shared" si="183"/>
        <v>0</v>
      </c>
      <c r="G1739" s="176"/>
      <c r="H1739" s="176"/>
      <c r="I1739" s="176"/>
      <c r="J1739" s="176"/>
      <c r="K1739" s="176"/>
      <c r="L1739" s="176"/>
      <c r="M1739" s="176"/>
      <c r="N1739" s="176"/>
      <c r="O1739" s="176"/>
      <c r="P1739" s="176"/>
      <c r="Q1739" s="176"/>
      <c r="R1739" s="176"/>
      <c r="S1739" s="162">
        <f t="shared" si="182"/>
        <v>0</v>
      </c>
      <c r="T1739" s="167"/>
    </row>
    <row r="1740" customHeight="1" spans="2:20">
      <c r="B1740" s="166"/>
      <c r="C1740" s="164">
        <f t="shared" si="181"/>
        <v>25</v>
      </c>
      <c r="D1740" s="158" t="str">
        <f>VLOOKUP(C1740,DMSP!$A$1:$C$39,2,0)</f>
        <v>6.BVTV</v>
      </c>
      <c r="E1740" s="159" t="str">
        <f>VLOOKUP(C1740,DMSP!$A$1:$C$39,3,0)</f>
        <v>HEXA 5</v>
      </c>
      <c r="F1740" s="160">
        <f t="shared" si="183"/>
        <v>0</v>
      </c>
      <c r="G1740" s="176"/>
      <c r="H1740" s="176"/>
      <c r="I1740" s="176"/>
      <c r="J1740" s="176"/>
      <c r="K1740" s="176"/>
      <c r="L1740" s="176"/>
      <c r="M1740" s="176"/>
      <c r="N1740" s="176"/>
      <c r="O1740" s="176"/>
      <c r="P1740" s="176"/>
      <c r="Q1740" s="176"/>
      <c r="R1740" s="176"/>
      <c r="S1740" s="162">
        <f t="shared" si="182"/>
        <v>0</v>
      </c>
      <c r="T1740" s="167"/>
    </row>
    <row r="1741" customHeight="1" spans="2:20">
      <c r="B1741" s="166"/>
      <c r="C1741" s="164">
        <f t="shared" si="181"/>
        <v>26</v>
      </c>
      <c r="D1741" s="158" t="str">
        <f>VLOOKUP(C1741,DMSP!$A$1:$C$39,2,0)</f>
        <v>6.BVTV</v>
      </c>
      <c r="E1741" s="159" t="str">
        <f>VLOOKUP(C1741,DMSP!$A$1:$C$39,3,0)</f>
        <v>TAMALA</v>
      </c>
      <c r="F1741" s="160">
        <f t="shared" si="183"/>
        <v>0</v>
      </c>
      <c r="G1741" s="176"/>
      <c r="H1741" s="176"/>
      <c r="I1741" s="176"/>
      <c r="J1741" s="176"/>
      <c r="K1741" s="176"/>
      <c r="L1741" s="176"/>
      <c r="M1741" s="176"/>
      <c r="N1741" s="176"/>
      <c r="O1741" s="176"/>
      <c r="P1741" s="176"/>
      <c r="Q1741" s="176"/>
      <c r="R1741" s="176"/>
      <c r="S1741" s="162">
        <f t="shared" si="182"/>
        <v>0</v>
      </c>
      <c r="T1741" s="167"/>
    </row>
    <row r="1742" customHeight="1" spans="2:20">
      <c r="B1742" s="166"/>
      <c r="C1742" s="164">
        <f t="shared" si="181"/>
        <v>27</v>
      </c>
      <c r="D1742" s="158" t="str">
        <f>VLOOKUP(C1742,DMSP!$A$1:$C$39,2,0)</f>
        <v>7.KHÁC</v>
      </c>
      <c r="E1742" s="159" t="str">
        <f>VLOOKUP(C1742,DMSP!$A$1:$C$39,3,0)</f>
        <v>KẼM VÀNG</v>
      </c>
      <c r="F1742" s="160">
        <f t="shared" si="183"/>
        <v>0</v>
      </c>
      <c r="G1742" s="176"/>
      <c r="H1742" s="176"/>
      <c r="I1742" s="176"/>
      <c r="J1742" s="176"/>
      <c r="K1742" s="176"/>
      <c r="L1742" s="176"/>
      <c r="M1742" s="176"/>
      <c r="N1742" s="176"/>
      <c r="O1742" s="176"/>
      <c r="P1742" s="176"/>
      <c r="Q1742" s="176"/>
      <c r="R1742" s="176"/>
      <c r="S1742" s="162">
        <f t="shared" si="182"/>
        <v>0</v>
      </c>
      <c r="T1742" s="167"/>
    </row>
    <row r="1743" customHeight="1" spans="2:20">
      <c r="B1743" s="166"/>
      <c r="C1743" s="164">
        <f t="shared" si="181"/>
        <v>28</v>
      </c>
      <c r="D1743" s="158" t="str">
        <f>VLOOKUP(C1743,DMSP!$A$1:$C$39,2,0)</f>
        <v>7.KHÁC</v>
      </c>
      <c r="E1743" s="159" t="str">
        <f>VLOOKUP(C1743,DMSP!$A$1:$C$39,3,0)</f>
        <v>KHÁC1</v>
      </c>
      <c r="F1743" s="160">
        <f t="shared" si="183"/>
        <v>0</v>
      </c>
      <c r="G1743" s="176"/>
      <c r="H1743" s="176"/>
      <c r="I1743" s="176"/>
      <c r="J1743" s="176"/>
      <c r="K1743" s="176"/>
      <c r="L1743" s="176"/>
      <c r="M1743" s="176"/>
      <c r="N1743" s="176"/>
      <c r="O1743" s="176"/>
      <c r="P1743" s="176"/>
      <c r="Q1743" s="176"/>
      <c r="R1743" s="176"/>
      <c r="S1743" s="162">
        <f t="shared" si="182"/>
        <v>0</v>
      </c>
      <c r="T1743" s="167"/>
    </row>
    <row r="1744" customHeight="1" spans="2:20">
      <c r="B1744" s="166"/>
      <c r="C1744" s="164">
        <f t="shared" si="181"/>
        <v>29</v>
      </c>
      <c r="D1744" s="158" t="str">
        <f>VLOOKUP(C1744,DMSP!$A$1:$C$39,2,0)</f>
        <v>7.KHÁC</v>
      </c>
      <c r="E1744" s="169" t="s">
        <v>13</v>
      </c>
      <c r="F1744" s="160">
        <f t="shared" si="183"/>
        <v>0</v>
      </c>
      <c r="G1744" s="176"/>
      <c r="H1744" s="176"/>
      <c r="I1744" s="176"/>
      <c r="J1744" s="176"/>
      <c r="K1744" s="176"/>
      <c r="L1744" s="176"/>
      <c r="M1744" s="176"/>
      <c r="N1744" s="176"/>
      <c r="O1744" s="176"/>
      <c r="P1744" s="176"/>
      <c r="Q1744" s="176"/>
      <c r="R1744" s="176"/>
      <c r="S1744" s="162">
        <f t="shared" si="182"/>
        <v>0</v>
      </c>
      <c r="T1744" s="167"/>
    </row>
    <row r="1745" customHeight="1" spans="2:20">
      <c r="B1745" s="166"/>
      <c r="C1745" s="164">
        <f t="shared" si="181"/>
        <v>30</v>
      </c>
      <c r="D1745" s="158" t="str">
        <f>VLOOKUP(C1745,DMSP!$A$1:$C$39,2,0)</f>
        <v>7.KHÁC</v>
      </c>
      <c r="E1745" s="159" t="str">
        <f>VLOOKUP(C1745,DMSP!$A$1:$C$39,3,0)</f>
        <v>RỬA RONG RÊU</v>
      </c>
      <c r="F1745" s="160">
        <f t="shared" si="183"/>
        <v>0</v>
      </c>
      <c r="G1745" s="176"/>
      <c r="H1745" s="176"/>
      <c r="I1745" s="176"/>
      <c r="J1745" s="176"/>
      <c r="K1745" s="176"/>
      <c r="L1745" s="176"/>
      <c r="M1745" s="176"/>
      <c r="N1745" s="176"/>
      <c r="O1745" s="176"/>
      <c r="P1745" s="176"/>
      <c r="Q1745" s="176"/>
      <c r="R1745" s="176"/>
      <c r="S1745" s="162">
        <f t="shared" si="182"/>
        <v>0</v>
      </c>
      <c r="T1745" s="167"/>
    </row>
    <row r="1746" customHeight="1" spans="2:20">
      <c r="B1746" s="166"/>
      <c r="C1746" s="164">
        <f t="shared" si="181"/>
        <v>31</v>
      </c>
      <c r="D1746" s="158" t="str">
        <f>VLOOKUP(C1746,DMSP!$A$1:$C$39,2,0)</f>
        <v>7.KHÁC</v>
      </c>
      <c r="E1746" s="159" t="str">
        <f>VLOOKUP(C1746,DMSP!$A$1:$C$39,3,0)</f>
        <v>TB BO</v>
      </c>
      <c r="F1746" s="160">
        <f t="shared" si="183"/>
        <v>0</v>
      </c>
      <c r="G1746" s="176"/>
      <c r="H1746" s="176"/>
      <c r="I1746" s="176"/>
      <c r="J1746" s="176"/>
      <c r="K1746" s="176"/>
      <c r="L1746" s="176"/>
      <c r="M1746" s="176"/>
      <c r="N1746" s="176"/>
      <c r="O1746" s="176"/>
      <c r="P1746" s="176"/>
      <c r="Q1746" s="176"/>
      <c r="R1746" s="176"/>
      <c r="S1746" s="162">
        <f t="shared" si="182"/>
        <v>0</v>
      </c>
      <c r="T1746" s="167"/>
    </row>
    <row r="1747" customHeight="1" spans="2:20">
      <c r="B1747" s="166"/>
      <c r="C1747" s="164">
        <f t="shared" si="181"/>
        <v>32</v>
      </c>
      <c r="D1747" s="158" t="str">
        <f>VLOOKUP(C1747,DMSP!$A$1:$C$39,2,0)</f>
        <v>7.KHÁC</v>
      </c>
      <c r="E1747" s="159" t="str">
        <f>VLOOKUP(C1747,DMSP!$A$1:$C$39,3,0)</f>
        <v>TB FRUIT</v>
      </c>
      <c r="F1747" s="160">
        <f t="shared" si="183"/>
        <v>0</v>
      </c>
      <c r="G1747" s="176"/>
      <c r="H1747" s="176"/>
      <c r="I1747" s="176"/>
      <c r="J1747" s="176"/>
      <c r="K1747" s="176"/>
      <c r="L1747" s="176"/>
      <c r="M1747" s="176"/>
      <c r="N1747" s="176"/>
      <c r="O1747" s="176"/>
      <c r="P1747" s="176"/>
      <c r="Q1747" s="176"/>
      <c r="R1747" s="176"/>
      <c r="S1747" s="162">
        <f t="shared" si="182"/>
        <v>0</v>
      </c>
      <c r="T1747" s="167"/>
    </row>
    <row r="1748" customHeight="1" spans="2:20">
      <c r="B1748" s="166"/>
      <c r="C1748" s="164">
        <f t="shared" si="181"/>
        <v>33</v>
      </c>
      <c r="D1748" s="158" t="str">
        <f>VLOOKUP(C1748,DMSP!$A$1:$C$39,2,0)</f>
        <v>7.KHÁC</v>
      </c>
      <c r="E1748" s="159" t="str">
        <f>VLOOKUP(C1748,DMSP!$A$1:$C$39,3,0)</f>
        <v>TB PHOS</v>
      </c>
      <c r="F1748" s="160">
        <f t="shared" si="183"/>
        <v>0</v>
      </c>
      <c r="G1748" s="176"/>
      <c r="H1748" s="176"/>
      <c r="I1748" s="176"/>
      <c r="J1748" s="176"/>
      <c r="K1748" s="176"/>
      <c r="L1748" s="176"/>
      <c r="M1748" s="176"/>
      <c r="N1748" s="176"/>
      <c r="O1748" s="176"/>
      <c r="P1748" s="176"/>
      <c r="Q1748" s="176"/>
      <c r="R1748" s="176"/>
      <c r="S1748" s="162">
        <f t="shared" si="182"/>
        <v>0</v>
      </c>
      <c r="T1748" s="167"/>
    </row>
    <row r="1749" customHeight="1" spans="2:20">
      <c r="B1749" s="166"/>
      <c r="C1749" s="164">
        <f t="shared" si="181"/>
        <v>34</v>
      </c>
      <c r="D1749" s="158" t="str">
        <f>VLOOKUP(C1749,DMSP!$A$1:$C$39,2,0)</f>
        <v>7.KHÁC</v>
      </c>
      <c r="E1749" s="159" t="str">
        <f>VLOOKUP(C1749,DMSP!$A$1:$C$39,3,0)</f>
        <v>TOBA BÁM DÍNH</v>
      </c>
      <c r="F1749" s="160">
        <f t="shared" si="183"/>
        <v>0</v>
      </c>
      <c r="G1749" s="176"/>
      <c r="H1749" s="176"/>
      <c r="I1749" s="176"/>
      <c r="J1749" s="176"/>
      <c r="K1749" s="176"/>
      <c r="L1749" s="176"/>
      <c r="M1749" s="176"/>
      <c r="N1749" s="176"/>
      <c r="O1749" s="176"/>
      <c r="P1749" s="176"/>
      <c r="Q1749" s="176"/>
      <c r="R1749" s="176"/>
      <c r="S1749" s="162">
        <f t="shared" si="182"/>
        <v>0</v>
      </c>
      <c r="T1749" s="167"/>
    </row>
    <row r="1750" customHeight="1" spans="2:20">
      <c r="B1750" s="166"/>
      <c r="C1750" s="164">
        <f t="shared" si="181"/>
        <v>35</v>
      </c>
      <c r="D1750" s="158" t="str">
        <f>VLOOKUP(C1750,DMSP!$A$1:$C$39,2,0)</f>
        <v>7.KHÁC</v>
      </c>
      <c r="E1750" s="159" t="str">
        <f>VLOOKUP(C1750,DMSP!$A$1:$C$39,3,0)</f>
        <v>VỌT HOA NHÃN</v>
      </c>
      <c r="F1750" s="160">
        <f t="shared" si="183"/>
        <v>0</v>
      </c>
      <c r="G1750" s="176"/>
      <c r="H1750" s="176"/>
      <c r="I1750" s="176"/>
      <c r="J1750" s="176"/>
      <c r="K1750" s="176"/>
      <c r="L1750" s="176"/>
      <c r="M1750" s="176"/>
      <c r="N1750" s="176"/>
      <c r="O1750" s="176"/>
      <c r="P1750" s="176"/>
      <c r="Q1750" s="176"/>
      <c r="R1750" s="176"/>
      <c r="S1750" s="162">
        <f t="shared" si="182"/>
        <v>0</v>
      </c>
      <c r="T1750" s="167"/>
    </row>
    <row r="1751" customHeight="1" spans="2:20">
      <c r="B1751" s="166"/>
      <c r="C1751" s="164">
        <f t="shared" si="181"/>
        <v>36</v>
      </c>
      <c r="D1751" s="158" t="str">
        <f>VLOOKUP(C1751,DMSP!$A$1:$C$39,2,0)</f>
        <v>7.KHÁC</v>
      </c>
      <c r="E1751" s="159" t="str">
        <f>VLOOKUP(C1751,DMSP!$A$1:$C$39,3,0)</f>
        <v>VỌT HOA XOÀI</v>
      </c>
      <c r="F1751" s="160">
        <f t="shared" si="183"/>
        <v>0</v>
      </c>
      <c r="G1751" s="176"/>
      <c r="H1751" s="176"/>
      <c r="I1751" s="176"/>
      <c r="J1751" s="176"/>
      <c r="K1751" s="176"/>
      <c r="L1751" s="176"/>
      <c r="M1751" s="176"/>
      <c r="N1751" s="176"/>
      <c r="O1751" s="176"/>
      <c r="P1751" s="176"/>
      <c r="Q1751" s="176"/>
      <c r="R1751" s="176"/>
      <c r="S1751" s="162">
        <f t="shared" si="182"/>
        <v>0</v>
      </c>
      <c r="T1751" s="167"/>
    </row>
    <row r="1752" customHeight="1" spans="2:20">
      <c r="B1752" s="166"/>
      <c r="C1752" s="164">
        <f t="shared" si="181"/>
        <v>37</v>
      </c>
      <c r="D1752" s="158" t="str">
        <f>VLOOKUP(C1752,DMSP!$A$1:$C$39,2,0)</f>
        <v>7.KHÁC</v>
      </c>
      <c r="E1752" s="159" t="str">
        <f>VLOOKUP(C1752,DMSP!$A$1:$C$39,3,0)</f>
        <v>VỌT HOA XOÀI</v>
      </c>
      <c r="F1752" s="160">
        <f t="shared" si="183"/>
        <v>0</v>
      </c>
      <c r="G1752" s="176"/>
      <c r="H1752" s="176"/>
      <c r="I1752" s="176"/>
      <c r="J1752" s="176"/>
      <c r="K1752" s="176"/>
      <c r="L1752" s="176"/>
      <c r="M1752" s="176"/>
      <c r="N1752" s="176"/>
      <c r="O1752" s="176"/>
      <c r="P1752" s="176"/>
      <c r="Q1752" s="176"/>
      <c r="R1752" s="176"/>
      <c r="S1752" s="162">
        <f t="shared" si="182"/>
        <v>0</v>
      </c>
      <c r="T1752" s="167"/>
    </row>
    <row r="1753" customHeight="1" spans="2:20">
      <c r="B1753" s="92"/>
      <c r="C1753" s="170">
        <f>B1716</f>
        <v>0</v>
      </c>
      <c r="D1753" s="171"/>
      <c r="E1753" s="172" t="str">
        <f>"TOTAL "&amp;B1716</f>
        <v>TOTAL </v>
      </c>
      <c r="F1753" s="173">
        <f t="shared" si="183"/>
        <v>0</v>
      </c>
      <c r="G1753" s="174">
        <f>SUM(G1716:G1752)</f>
        <v>0</v>
      </c>
      <c r="H1753" s="174">
        <f t="shared" ref="H1753:R1753" si="184">SUM(H1716:H1752)</f>
        <v>0</v>
      </c>
      <c r="I1753" s="174">
        <f t="shared" si="184"/>
        <v>0</v>
      </c>
      <c r="J1753" s="174">
        <f t="shared" si="184"/>
        <v>0</v>
      </c>
      <c r="K1753" s="174">
        <f t="shared" si="184"/>
        <v>0</v>
      </c>
      <c r="L1753" s="174">
        <f t="shared" si="184"/>
        <v>0</v>
      </c>
      <c r="M1753" s="174">
        <f t="shared" si="184"/>
        <v>0</v>
      </c>
      <c r="N1753" s="174">
        <f t="shared" si="184"/>
        <v>0</v>
      </c>
      <c r="O1753" s="174">
        <f t="shared" si="184"/>
        <v>0</v>
      </c>
      <c r="P1753" s="174">
        <f t="shared" si="184"/>
        <v>0</v>
      </c>
      <c r="Q1753" s="174">
        <f t="shared" si="184"/>
        <v>0</v>
      </c>
      <c r="R1753" s="174">
        <f t="shared" si="184"/>
        <v>0</v>
      </c>
      <c r="S1753" s="174">
        <f t="shared" si="182"/>
        <v>0</v>
      </c>
      <c r="T1753" s="175"/>
    </row>
    <row r="1754" customHeight="1" spans="2:20">
      <c r="B1754" s="156"/>
      <c r="C1754" s="157">
        <v>1</v>
      </c>
      <c r="D1754" s="158" t="str">
        <f>VLOOKUP(C1754,DMSP!$A$1:$C$39,2,0)</f>
        <v>1.TOBA XANH</v>
      </c>
      <c r="E1754" s="159" t="str">
        <f>VLOOKUP(C1754,DMSP!$A$1:$C$39,3,0)</f>
        <v>TOBA XANH</v>
      </c>
      <c r="F1754" s="160">
        <f t="shared" si="183"/>
        <v>0</v>
      </c>
      <c r="G1754" s="176"/>
      <c r="H1754" s="176"/>
      <c r="I1754" s="176"/>
      <c r="J1754" s="176"/>
      <c r="K1754" s="176"/>
      <c r="L1754" s="176"/>
      <c r="M1754" s="176"/>
      <c r="N1754" s="176"/>
      <c r="O1754" s="176"/>
      <c r="P1754" s="176"/>
      <c r="Q1754" s="176"/>
      <c r="R1754" s="176"/>
      <c r="S1754" s="162">
        <f t="shared" si="182"/>
        <v>0</v>
      </c>
      <c r="T1754" s="163">
        <f>S1791</f>
        <v>0</v>
      </c>
    </row>
    <row r="1755" customHeight="1" spans="2:20">
      <c r="B1755" s="166"/>
      <c r="C1755" s="164">
        <f t="shared" ref="C1755:C1790" si="185">C1754+1</f>
        <v>2</v>
      </c>
      <c r="D1755" s="158" t="str">
        <f>VLOOKUP(C1755,DMSP!$A$1:$C$39,2,0)</f>
        <v>2.HC</v>
      </c>
      <c r="E1755" s="159" t="str">
        <f>VLOOKUP(C1755,DMSP!$A$1:$C$39,3,0)</f>
        <v>HC BOOSTER</v>
      </c>
      <c r="F1755" s="160">
        <f t="shared" si="183"/>
        <v>0</v>
      </c>
      <c r="G1755" s="176"/>
      <c r="H1755" s="176"/>
      <c r="I1755" s="176"/>
      <c r="J1755" s="176"/>
      <c r="K1755" s="176"/>
      <c r="L1755" s="176"/>
      <c r="M1755" s="176"/>
      <c r="N1755" s="176"/>
      <c r="O1755" s="176"/>
      <c r="P1755" s="176"/>
      <c r="Q1755" s="176"/>
      <c r="R1755" s="176"/>
      <c r="S1755" s="162">
        <f t="shared" ref="S1755:S1792" si="186">SUM(G1755:R1755)</f>
        <v>0</v>
      </c>
      <c r="T1755" s="167"/>
    </row>
    <row r="1756" customHeight="1" spans="2:20">
      <c r="B1756" s="166"/>
      <c r="C1756" s="164">
        <f t="shared" si="185"/>
        <v>3</v>
      </c>
      <c r="D1756" s="158" t="str">
        <f>VLOOKUP(C1756,DMSP!$A$1:$C$39,2,0)</f>
        <v>2.HC</v>
      </c>
      <c r="E1756" s="159" t="str">
        <f>VLOOKUP(C1756,DMSP!$A$1:$C$39,3,0)</f>
        <v>HC KING-ROOT</v>
      </c>
      <c r="F1756" s="160">
        <f t="shared" si="183"/>
        <v>0</v>
      </c>
      <c r="G1756" s="176"/>
      <c r="H1756" s="176"/>
      <c r="I1756" s="176"/>
      <c r="J1756" s="176"/>
      <c r="K1756" s="176"/>
      <c r="L1756" s="176"/>
      <c r="M1756" s="176"/>
      <c r="N1756" s="176"/>
      <c r="O1756" s="176"/>
      <c r="P1756" s="176"/>
      <c r="Q1756" s="176"/>
      <c r="R1756" s="176"/>
      <c r="S1756" s="162">
        <f t="shared" si="186"/>
        <v>0</v>
      </c>
      <c r="T1756" s="167"/>
    </row>
    <row r="1757" customHeight="1" spans="2:20">
      <c r="B1757" s="166"/>
      <c r="C1757" s="164">
        <f t="shared" si="185"/>
        <v>4</v>
      </c>
      <c r="D1757" s="158" t="str">
        <f>VLOOKUP(C1757,DMSP!$A$1:$C$39,2,0)</f>
        <v>2.HC</v>
      </c>
      <c r="E1757" s="159" t="str">
        <f>VLOOKUP(C1757,DMSP!$A$1:$C$39,3,0)</f>
        <v>HAPPY FARM</v>
      </c>
      <c r="F1757" s="160">
        <f t="shared" si="183"/>
        <v>0</v>
      </c>
      <c r="G1757" s="176"/>
      <c r="H1757" s="176"/>
      <c r="I1757" s="176"/>
      <c r="J1757" s="176"/>
      <c r="K1757" s="176"/>
      <c r="L1757" s="176"/>
      <c r="M1757" s="176"/>
      <c r="N1757" s="176"/>
      <c r="O1757" s="176"/>
      <c r="P1757" s="176"/>
      <c r="Q1757" s="176"/>
      <c r="R1757" s="176"/>
      <c r="S1757" s="162">
        <f t="shared" si="186"/>
        <v>0</v>
      </c>
      <c r="T1757" s="167"/>
    </row>
    <row r="1758" customHeight="1" spans="2:20">
      <c r="B1758" s="166"/>
      <c r="C1758" s="164">
        <f t="shared" si="185"/>
        <v>5</v>
      </c>
      <c r="D1758" s="158" t="str">
        <f>VLOOKUP(C1758,DMSP!$A$1:$C$39,2,0)</f>
        <v>2.HC</v>
      </c>
      <c r="E1758" s="159" t="str">
        <f>VLOOKUP(C1758,DMSP!$A$1:$C$39,3,0)</f>
        <v>WOW</v>
      </c>
      <c r="F1758" s="160">
        <f t="shared" si="183"/>
        <v>0</v>
      </c>
      <c r="G1758" s="176"/>
      <c r="H1758" s="176"/>
      <c r="I1758" s="176"/>
      <c r="J1758" s="176"/>
      <c r="K1758" s="176"/>
      <c r="L1758" s="176"/>
      <c r="M1758" s="176"/>
      <c r="N1758" s="176"/>
      <c r="O1758" s="176"/>
      <c r="P1758" s="176"/>
      <c r="Q1758" s="176"/>
      <c r="R1758" s="176"/>
      <c r="S1758" s="162">
        <f t="shared" si="186"/>
        <v>0</v>
      </c>
      <c r="T1758" s="167"/>
    </row>
    <row r="1759" customHeight="1" spans="2:20">
      <c r="B1759" s="166"/>
      <c r="C1759" s="164">
        <f t="shared" si="185"/>
        <v>6</v>
      </c>
      <c r="D1759" s="158" t="str">
        <f>VLOOKUP(C1759,DMSP!$A$1:$C$39,2,0)</f>
        <v>3.SPRAY </v>
      </c>
      <c r="E1759" s="159" t="str">
        <f>VLOOKUP(C1759,DMSP!$A$1:$C$39,3,0)</f>
        <v>KELPIT</v>
      </c>
      <c r="F1759" s="160">
        <f t="shared" si="183"/>
        <v>0</v>
      </c>
      <c r="G1759" s="176"/>
      <c r="H1759" s="176"/>
      <c r="I1759" s="176"/>
      <c r="J1759" s="176"/>
      <c r="K1759" s="176"/>
      <c r="L1759" s="176"/>
      <c r="M1759" s="176"/>
      <c r="N1759" s="176"/>
      <c r="O1759" s="176"/>
      <c r="P1759" s="176"/>
      <c r="Q1759" s="176"/>
      <c r="R1759" s="176"/>
      <c r="S1759" s="162">
        <f t="shared" si="186"/>
        <v>0</v>
      </c>
      <c r="T1759" s="167"/>
    </row>
    <row r="1760" customHeight="1" spans="2:20">
      <c r="B1760" s="166"/>
      <c r="C1760" s="164">
        <f t="shared" si="185"/>
        <v>7</v>
      </c>
      <c r="D1760" s="158" t="str">
        <f>VLOOKUP(C1760,DMSP!$A$1:$C$39,2,0)</f>
        <v>3.SPRAY </v>
      </c>
      <c r="E1760" s="159" t="str">
        <f>VLOOKUP(C1760,DMSP!$A$1:$C$39,3,0)</f>
        <v>SI-K</v>
      </c>
      <c r="F1760" s="160">
        <f t="shared" si="183"/>
        <v>0</v>
      </c>
      <c r="G1760" s="176"/>
      <c r="H1760" s="176"/>
      <c r="I1760" s="176"/>
      <c r="J1760" s="176"/>
      <c r="K1760" s="176"/>
      <c r="L1760" s="176"/>
      <c r="M1760" s="176"/>
      <c r="N1760" s="176"/>
      <c r="O1760" s="176"/>
      <c r="P1760" s="176"/>
      <c r="Q1760" s="176"/>
      <c r="R1760" s="176"/>
      <c r="S1760" s="162">
        <f t="shared" si="186"/>
        <v>0</v>
      </c>
      <c r="T1760" s="167"/>
    </row>
    <row r="1761" customHeight="1" spans="2:20">
      <c r="B1761" s="166"/>
      <c r="C1761" s="164">
        <f t="shared" si="185"/>
        <v>8</v>
      </c>
      <c r="D1761" s="158" t="str">
        <f>VLOOKUP(C1761,DMSP!$A$1:$C$39,2,0)</f>
        <v>3.SPRAY </v>
      </c>
      <c r="E1761" s="159" t="str">
        <f>VLOOKUP(C1761,DMSP!$A$1:$C$39,3,0)</f>
        <v>SPRAY PHOS 620</v>
      </c>
      <c r="F1761" s="160">
        <f t="shared" si="183"/>
        <v>0</v>
      </c>
      <c r="G1761" s="176"/>
      <c r="H1761" s="176"/>
      <c r="I1761" s="176"/>
      <c r="J1761" s="176"/>
      <c r="K1761" s="176"/>
      <c r="L1761" s="176"/>
      <c r="M1761" s="176"/>
      <c r="N1761" s="176"/>
      <c r="O1761" s="176"/>
      <c r="P1761" s="176"/>
      <c r="Q1761" s="176"/>
      <c r="R1761" s="176"/>
      <c r="S1761" s="162">
        <f t="shared" si="186"/>
        <v>0</v>
      </c>
      <c r="T1761" s="167"/>
    </row>
    <row r="1762" customHeight="1" spans="2:20">
      <c r="B1762" s="166"/>
      <c r="C1762" s="164">
        <f t="shared" si="185"/>
        <v>9</v>
      </c>
      <c r="D1762" s="158" t="str">
        <f>VLOOKUP(C1762,DMSP!$A$1:$C$39,2,0)</f>
        <v>4.DƯỠNG RỄ</v>
      </c>
      <c r="E1762" s="159" t="str">
        <f>VLOOKUP(C1762,DMSP!$A$1:$C$39,3,0)</f>
        <v>CHITOSAN</v>
      </c>
      <c r="F1762" s="160">
        <f t="shared" si="183"/>
        <v>0</v>
      </c>
      <c r="G1762" s="176"/>
      <c r="H1762" s="176"/>
      <c r="I1762" s="176"/>
      <c r="J1762" s="176"/>
      <c r="K1762" s="176"/>
      <c r="L1762" s="176"/>
      <c r="M1762" s="176"/>
      <c r="N1762" s="176"/>
      <c r="O1762" s="176"/>
      <c r="P1762" s="176"/>
      <c r="Q1762" s="176"/>
      <c r="R1762" s="176"/>
      <c r="S1762" s="162">
        <f t="shared" si="186"/>
        <v>0</v>
      </c>
      <c r="T1762" s="167"/>
    </row>
    <row r="1763" customHeight="1" spans="2:20">
      <c r="B1763" s="166"/>
      <c r="C1763" s="164">
        <f t="shared" si="185"/>
        <v>10</v>
      </c>
      <c r="D1763" s="158" t="str">
        <f>VLOOKUP(C1763,DMSP!$A$1:$C$39,2,0)</f>
        <v>4.DƯỠNG RỄ</v>
      </c>
      <c r="E1763" s="159" t="str">
        <f>VLOOKUP(C1763,DMSP!$A$1:$C$39,3,0)</f>
        <v>ĐẠM CÁ</v>
      </c>
      <c r="F1763" s="160">
        <f t="shared" si="183"/>
        <v>0</v>
      </c>
      <c r="G1763" s="176"/>
      <c r="H1763" s="176"/>
      <c r="I1763" s="176"/>
      <c r="J1763" s="176"/>
      <c r="K1763" s="176"/>
      <c r="L1763" s="176"/>
      <c r="M1763" s="176"/>
      <c r="N1763" s="176"/>
      <c r="O1763" s="176"/>
      <c r="P1763" s="176"/>
      <c r="Q1763" s="176"/>
      <c r="R1763" s="176"/>
      <c r="S1763" s="162">
        <f t="shared" si="186"/>
        <v>0</v>
      </c>
      <c r="T1763" s="167"/>
    </row>
    <row r="1764" customHeight="1" spans="2:20">
      <c r="B1764" s="166"/>
      <c r="C1764" s="164">
        <f t="shared" si="185"/>
        <v>11</v>
      </c>
      <c r="D1764" s="158" t="str">
        <f>VLOOKUP(C1764,DMSP!$A$1:$C$39,2,0)</f>
        <v>4.DƯỠNG RỄ</v>
      </c>
      <c r="E1764" s="159" t="str">
        <f>VLOOKUP(C1764,DMSP!$A$1:$C$39,3,0)</f>
        <v>ĐẠM TÔM</v>
      </c>
      <c r="F1764" s="160">
        <f t="shared" si="183"/>
        <v>0</v>
      </c>
      <c r="G1764" s="176"/>
      <c r="H1764" s="176"/>
      <c r="I1764" s="176"/>
      <c r="J1764" s="176"/>
      <c r="K1764" s="176"/>
      <c r="L1764" s="176"/>
      <c r="M1764" s="176"/>
      <c r="N1764" s="176"/>
      <c r="O1764" s="176"/>
      <c r="P1764" s="176"/>
      <c r="Q1764" s="176"/>
      <c r="R1764" s="176"/>
      <c r="S1764" s="162">
        <f t="shared" si="186"/>
        <v>0</v>
      </c>
      <c r="T1764" s="167"/>
    </row>
    <row r="1765" customHeight="1" spans="2:20">
      <c r="B1765" s="166"/>
      <c r="C1765" s="164">
        <f t="shared" si="185"/>
        <v>12</v>
      </c>
      <c r="D1765" s="158" t="str">
        <f>VLOOKUP(C1765,DMSP!$A$1:$C$39,2,0)</f>
        <v>4.DƯỠNG RỄ</v>
      </c>
      <c r="E1765" s="159" t="str">
        <f>VLOOKUP(C1765,DMSP!$A$1:$C$39,3,0)</f>
        <v>SUPERMIC</v>
      </c>
      <c r="F1765" s="160">
        <f t="shared" si="183"/>
        <v>0</v>
      </c>
      <c r="G1765" s="176"/>
      <c r="H1765" s="176"/>
      <c r="I1765" s="176"/>
      <c r="J1765" s="176"/>
      <c r="K1765" s="176"/>
      <c r="L1765" s="176"/>
      <c r="M1765" s="176"/>
      <c r="N1765" s="176"/>
      <c r="O1765" s="176"/>
      <c r="P1765" s="176"/>
      <c r="Q1765" s="176"/>
      <c r="R1765" s="176"/>
      <c r="S1765" s="162">
        <f t="shared" si="186"/>
        <v>0</v>
      </c>
      <c r="T1765" s="167"/>
    </row>
    <row r="1766" customHeight="1" spans="2:20">
      <c r="B1766" s="166"/>
      <c r="C1766" s="164">
        <f t="shared" si="185"/>
        <v>13</v>
      </c>
      <c r="D1766" s="158" t="str">
        <f>VLOOKUP(C1766,DMSP!$A$1:$C$39,2,0)</f>
        <v>5.TRUYỀN THỐNG</v>
      </c>
      <c r="E1766" s="159" t="str">
        <f>VLOOKUP(C1766,DMSP!$A$1:$C$39,3,0)</f>
        <v>CABO</v>
      </c>
      <c r="F1766" s="160">
        <f t="shared" si="183"/>
        <v>0</v>
      </c>
      <c r="G1766" s="176"/>
      <c r="H1766" s="176"/>
      <c r="I1766" s="176"/>
      <c r="J1766" s="176"/>
      <c r="K1766" s="176"/>
      <c r="L1766" s="176"/>
      <c r="M1766" s="176"/>
      <c r="N1766" s="176"/>
      <c r="O1766" s="176"/>
      <c r="P1766" s="176"/>
      <c r="Q1766" s="176"/>
      <c r="R1766" s="176"/>
      <c r="S1766" s="162">
        <f t="shared" si="186"/>
        <v>0</v>
      </c>
      <c r="T1766" s="167"/>
    </row>
    <row r="1767" customHeight="1" spans="2:20">
      <c r="B1767" s="166"/>
      <c r="C1767" s="164">
        <f t="shared" si="185"/>
        <v>14</v>
      </c>
      <c r="D1767" s="158" t="str">
        <f>VLOOKUP(C1767,DMSP!$A$1:$C$39,2,0)</f>
        <v>5.TRUYỀN THỐNG</v>
      </c>
      <c r="E1767" s="159" t="str">
        <f>VLOOKUP(C1767,DMSP!$A$1:$C$39,3,0)</f>
        <v>F94</v>
      </c>
      <c r="F1767" s="160">
        <f t="shared" si="183"/>
        <v>0</v>
      </c>
      <c r="G1767" s="176"/>
      <c r="H1767" s="176"/>
      <c r="I1767" s="176"/>
      <c r="J1767" s="176"/>
      <c r="K1767" s="176"/>
      <c r="L1767" s="176"/>
      <c r="M1767" s="176"/>
      <c r="N1767" s="176"/>
      <c r="O1767" s="176"/>
      <c r="P1767" s="176"/>
      <c r="Q1767" s="176"/>
      <c r="R1767" s="176"/>
      <c r="S1767" s="162">
        <f t="shared" si="186"/>
        <v>0</v>
      </c>
      <c r="T1767" s="167"/>
    </row>
    <row r="1768" customHeight="1" spans="2:20">
      <c r="B1768" s="166"/>
      <c r="C1768" s="164">
        <f t="shared" si="185"/>
        <v>15</v>
      </c>
      <c r="D1768" s="158" t="str">
        <f>VLOOKUP(C1768,DMSP!$A$1:$C$39,2,0)</f>
        <v>5.TRUYỀN THỐNG</v>
      </c>
      <c r="E1768" s="159" t="str">
        <f>VLOOKUP(C1768,DMSP!$A$1:$C$39,3,0)</f>
        <v>F95</v>
      </c>
      <c r="F1768" s="160">
        <f t="shared" si="183"/>
        <v>0</v>
      </c>
      <c r="G1768" s="176"/>
      <c r="H1768" s="176"/>
      <c r="I1768" s="176"/>
      <c r="J1768" s="176"/>
      <c r="K1768" s="176"/>
      <c r="L1768" s="176"/>
      <c r="M1768" s="176"/>
      <c r="N1768" s="176"/>
      <c r="O1768" s="176"/>
      <c r="P1768" s="176"/>
      <c r="Q1768" s="176"/>
      <c r="R1768" s="176"/>
      <c r="S1768" s="162">
        <f t="shared" si="186"/>
        <v>0</v>
      </c>
      <c r="T1768" s="167"/>
    </row>
    <row r="1769" customHeight="1" spans="2:20">
      <c r="B1769" s="166"/>
      <c r="C1769" s="164">
        <f t="shared" si="185"/>
        <v>16</v>
      </c>
      <c r="D1769" s="158" t="str">
        <f>VLOOKUP(C1769,DMSP!$A$1:$C$39,2,0)</f>
        <v>5.TRUYỀN THỐNG</v>
      </c>
      <c r="E1769" s="159" t="str">
        <f>VLOOKUP(C1769,DMSP!$A$1:$C$39,3,0)</f>
        <v>THIOURE</v>
      </c>
      <c r="F1769" s="160">
        <f t="shared" si="183"/>
        <v>0</v>
      </c>
      <c r="G1769" s="176"/>
      <c r="H1769" s="176"/>
      <c r="I1769" s="176"/>
      <c r="J1769" s="176"/>
      <c r="K1769" s="176"/>
      <c r="L1769" s="176"/>
      <c r="M1769" s="176"/>
      <c r="N1769" s="176"/>
      <c r="O1769" s="176"/>
      <c r="P1769" s="176"/>
      <c r="Q1769" s="176"/>
      <c r="R1769" s="176"/>
      <c r="S1769" s="162">
        <f t="shared" si="186"/>
        <v>0</v>
      </c>
      <c r="T1769" s="167"/>
    </row>
    <row r="1770" customHeight="1" spans="2:20">
      <c r="B1770" s="166"/>
      <c r="C1770" s="164">
        <f t="shared" si="185"/>
        <v>17</v>
      </c>
      <c r="D1770" s="158" t="str">
        <f>VLOOKUP(C1770,DMSP!$A$1:$C$39,2,0)</f>
        <v>5.TRUYỀN THỐNG</v>
      </c>
      <c r="E1770" s="159" t="str">
        <f>VLOOKUP(C1770,DMSP!$A$1:$C$39,3,0)</f>
        <v>TOBA JUM</v>
      </c>
      <c r="F1770" s="160">
        <f t="shared" si="183"/>
        <v>0</v>
      </c>
      <c r="G1770" s="176"/>
      <c r="H1770" s="176"/>
      <c r="I1770" s="176"/>
      <c r="J1770" s="176"/>
      <c r="K1770" s="176"/>
      <c r="L1770" s="176"/>
      <c r="M1770" s="176"/>
      <c r="N1770" s="176"/>
      <c r="O1770" s="176"/>
      <c r="P1770" s="176"/>
      <c r="Q1770" s="176"/>
      <c r="R1770" s="176"/>
      <c r="S1770" s="162">
        <f t="shared" si="186"/>
        <v>0</v>
      </c>
      <c r="T1770" s="167"/>
    </row>
    <row r="1771" customHeight="1" spans="2:20">
      <c r="B1771" s="166"/>
      <c r="C1771" s="164">
        <f t="shared" si="185"/>
        <v>18</v>
      </c>
      <c r="D1771" s="158" t="str">
        <f>VLOOKUP(C1771,DMSP!$A$1:$C$39,2,0)</f>
        <v>5.TRUYỀN THỐNG</v>
      </c>
      <c r="E1771" s="159" t="str">
        <f>VLOOKUP(C1771,DMSP!$A$1:$C$39,3,0)</f>
        <v>TOBA NET</v>
      </c>
      <c r="F1771" s="160">
        <f t="shared" si="183"/>
        <v>0</v>
      </c>
      <c r="G1771" s="176"/>
      <c r="H1771" s="176"/>
      <c r="I1771" s="176"/>
      <c r="J1771" s="176"/>
      <c r="K1771" s="176"/>
      <c r="L1771" s="176"/>
      <c r="M1771" s="176"/>
      <c r="N1771" s="176"/>
      <c r="O1771" s="176"/>
      <c r="P1771" s="176"/>
      <c r="Q1771" s="176"/>
      <c r="R1771" s="176"/>
      <c r="S1771" s="162">
        <f t="shared" si="186"/>
        <v>0</v>
      </c>
      <c r="T1771" s="167"/>
    </row>
    <row r="1772" customHeight="1" spans="2:20">
      <c r="B1772" s="166"/>
      <c r="C1772" s="164">
        <f t="shared" si="185"/>
        <v>19</v>
      </c>
      <c r="D1772" s="158" t="str">
        <f>VLOOKUP(C1772,DMSP!$A$1:$C$39,2,0)</f>
        <v>6.BVTV</v>
      </c>
      <c r="E1772" s="159" t="str">
        <f>VLOOKUP(C1772,DMSP!$A$1:$C$39,3,0)</f>
        <v>ABAFAX 1.8</v>
      </c>
      <c r="F1772" s="160">
        <f t="shared" si="183"/>
        <v>0</v>
      </c>
      <c r="G1772" s="176"/>
      <c r="H1772" s="176"/>
      <c r="I1772" s="176"/>
      <c r="J1772" s="176"/>
      <c r="K1772" s="176"/>
      <c r="L1772" s="176"/>
      <c r="M1772" s="176"/>
      <c r="N1772" s="176"/>
      <c r="O1772" s="176"/>
      <c r="P1772" s="176"/>
      <c r="Q1772" s="176"/>
      <c r="R1772" s="176"/>
      <c r="S1772" s="162">
        <f t="shared" si="186"/>
        <v>0</v>
      </c>
      <c r="T1772" s="167"/>
    </row>
    <row r="1773" customHeight="1" spans="2:20">
      <c r="B1773" s="166"/>
      <c r="C1773" s="164">
        <f t="shared" si="185"/>
        <v>20</v>
      </c>
      <c r="D1773" s="158" t="str">
        <f>VLOOKUP(C1773,DMSP!$A$1:$C$39,2,0)</f>
        <v>6.BVTV</v>
      </c>
      <c r="E1773" s="159" t="str">
        <f>VLOOKUP(C1773,DMSP!$A$1:$C$39,3,0)</f>
        <v>ABAFAX 3.6</v>
      </c>
      <c r="F1773" s="160">
        <f t="shared" si="183"/>
        <v>0</v>
      </c>
      <c r="G1773" s="176"/>
      <c r="H1773" s="176"/>
      <c r="I1773" s="176"/>
      <c r="J1773" s="176"/>
      <c r="K1773" s="176"/>
      <c r="L1773" s="176"/>
      <c r="M1773" s="176"/>
      <c r="N1773" s="176"/>
      <c r="O1773" s="176"/>
      <c r="P1773" s="176"/>
      <c r="Q1773" s="176"/>
      <c r="R1773" s="176"/>
      <c r="S1773" s="162">
        <f t="shared" si="186"/>
        <v>0</v>
      </c>
      <c r="T1773" s="167"/>
    </row>
    <row r="1774" customHeight="1" spans="2:20">
      <c r="B1774" s="166"/>
      <c r="C1774" s="164">
        <f t="shared" si="185"/>
        <v>21</v>
      </c>
      <c r="D1774" s="158" t="str">
        <f>VLOOKUP(C1774,DMSP!$A$1:$C$39,2,0)</f>
        <v>6.BVTV</v>
      </c>
      <c r="E1774" s="159" t="str">
        <f>VLOOKUP(C1774,DMSP!$A$1:$C$39,3,0)</f>
        <v>AZET</v>
      </c>
      <c r="F1774" s="160">
        <f t="shared" si="183"/>
        <v>0</v>
      </c>
      <c r="G1774" s="176"/>
      <c r="H1774" s="176"/>
      <c r="I1774" s="176"/>
      <c r="J1774" s="176"/>
      <c r="K1774" s="176"/>
      <c r="L1774" s="176"/>
      <c r="M1774" s="176"/>
      <c r="N1774" s="176"/>
      <c r="O1774" s="176"/>
      <c r="P1774" s="176"/>
      <c r="Q1774" s="176"/>
      <c r="R1774" s="176"/>
      <c r="S1774" s="162">
        <f t="shared" si="186"/>
        <v>0</v>
      </c>
      <c r="T1774" s="167"/>
    </row>
    <row r="1775" customHeight="1" spans="2:20">
      <c r="B1775" s="166"/>
      <c r="C1775" s="164">
        <f t="shared" si="185"/>
        <v>22</v>
      </c>
      <c r="D1775" s="158" t="str">
        <f>VLOOKUP(C1775,DMSP!$A$1:$C$39,2,0)</f>
        <v>6.BVTV</v>
      </c>
      <c r="E1775" s="159" t="str">
        <f>VLOOKUP(C1775,DMSP!$A$1:$C$39,3,0)</f>
        <v>BACBA</v>
      </c>
      <c r="F1775" s="160">
        <f t="shared" si="183"/>
        <v>0</v>
      </c>
      <c r="G1775" s="176"/>
      <c r="H1775" s="176"/>
      <c r="I1775" s="176"/>
      <c r="J1775" s="176"/>
      <c r="K1775" s="176"/>
      <c r="L1775" s="176"/>
      <c r="M1775" s="176"/>
      <c r="N1775" s="176"/>
      <c r="O1775" s="176"/>
      <c r="P1775" s="176"/>
      <c r="Q1775" s="176"/>
      <c r="R1775" s="176"/>
      <c r="S1775" s="162">
        <f t="shared" si="186"/>
        <v>0</v>
      </c>
      <c r="T1775" s="167"/>
    </row>
    <row r="1776" customHeight="1" spans="2:20">
      <c r="B1776" s="166"/>
      <c r="C1776" s="164">
        <f t="shared" si="185"/>
        <v>23</v>
      </c>
      <c r="D1776" s="158" t="str">
        <f>VLOOKUP(C1776,DMSP!$A$1:$C$39,2,0)</f>
        <v>6.BVTV</v>
      </c>
      <c r="E1776" s="159" t="str">
        <f>VLOOKUP(C1776,DMSP!$A$1:$C$39,3,0)</f>
        <v>BIOROSAMIL</v>
      </c>
      <c r="F1776" s="160">
        <f t="shared" si="183"/>
        <v>0</v>
      </c>
      <c r="G1776" s="176"/>
      <c r="H1776" s="176"/>
      <c r="I1776" s="176"/>
      <c r="J1776" s="176"/>
      <c r="K1776" s="176"/>
      <c r="L1776" s="176"/>
      <c r="M1776" s="176"/>
      <c r="N1776" s="176"/>
      <c r="O1776" s="176"/>
      <c r="P1776" s="176"/>
      <c r="Q1776" s="176"/>
      <c r="R1776" s="176"/>
      <c r="S1776" s="162">
        <f t="shared" si="186"/>
        <v>0</v>
      </c>
      <c r="T1776" s="167"/>
    </row>
    <row r="1777" customHeight="1" spans="2:20">
      <c r="B1777" s="166"/>
      <c r="C1777" s="164">
        <f t="shared" si="185"/>
        <v>24</v>
      </c>
      <c r="D1777" s="158" t="str">
        <f>VLOOKUP(C1777,DMSP!$A$1:$C$39,2,0)</f>
        <v>6.BVTV</v>
      </c>
      <c r="E1777" s="159" t="str">
        <f>VLOOKUP(C1777,DMSP!$A$1:$C$39,3,0)</f>
        <v>COC 86</v>
      </c>
      <c r="F1777" s="160">
        <f t="shared" si="183"/>
        <v>0</v>
      </c>
      <c r="G1777" s="176"/>
      <c r="H1777" s="176"/>
      <c r="I1777" s="176"/>
      <c r="J1777" s="176"/>
      <c r="K1777" s="176"/>
      <c r="L1777" s="176"/>
      <c r="M1777" s="176"/>
      <c r="N1777" s="176"/>
      <c r="O1777" s="176"/>
      <c r="P1777" s="176"/>
      <c r="Q1777" s="176"/>
      <c r="R1777" s="176"/>
      <c r="S1777" s="162">
        <f t="shared" si="186"/>
        <v>0</v>
      </c>
      <c r="T1777" s="167"/>
    </row>
    <row r="1778" customHeight="1" spans="2:20">
      <c r="B1778" s="166"/>
      <c r="C1778" s="164">
        <f t="shared" si="185"/>
        <v>25</v>
      </c>
      <c r="D1778" s="158" t="str">
        <f>VLOOKUP(C1778,DMSP!$A$1:$C$39,2,0)</f>
        <v>6.BVTV</v>
      </c>
      <c r="E1778" s="159" t="str">
        <f>VLOOKUP(C1778,DMSP!$A$1:$C$39,3,0)</f>
        <v>HEXA 5</v>
      </c>
      <c r="F1778" s="160">
        <f t="shared" si="183"/>
        <v>0</v>
      </c>
      <c r="G1778" s="176"/>
      <c r="H1778" s="176"/>
      <c r="I1778" s="176"/>
      <c r="J1778" s="176"/>
      <c r="K1778" s="176"/>
      <c r="L1778" s="176"/>
      <c r="M1778" s="176"/>
      <c r="N1778" s="176"/>
      <c r="O1778" s="176"/>
      <c r="P1778" s="176"/>
      <c r="Q1778" s="176"/>
      <c r="R1778" s="176"/>
      <c r="S1778" s="162">
        <f t="shared" si="186"/>
        <v>0</v>
      </c>
      <c r="T1778" s="167"/>
    </row>
    <row r="1779" customHeight="1" spans="2:20">
      <c r="B1779" s="166"/>
      <c r="C1779" s="164">
        <f t="shared" si="185"/>
        <v>26</v>
      </c>
      <c r="D1779" s="158" t="str">
        <f>VLOOKUP(C1779,DMSP!$A$1:$C$39,2,0)</f>
        <v>6.BVTV</v>
      </c>
      <c r="E1779" s="159" t="str">
        <f>VLOOKUP(C1779,DMSP!$A$1:$C$39,3,0)</f>
        <v>TAMALA</v>
      </c>
      <c r="F1779" s="160">
        <f t="shared" si="183"/>
        <v>0</v>
      </c>
      <c r="G1779" s="176"/>
      <c r="H1779" s="176"/>
      <c r="I1779" s="176"/>
      <c r="J1779" s="176"/>
      <c r="K1779" s="176"/>
      <c r="L1779" s="176"/>
      <c r="M1779" s="176"/>
      <c r="N1779" s="176"/>
      <c r="O1779" s="176"/>
      <c r="P1779" s="176"/>
      <c r="Q1779" s="176"/>
      <c r="R1779" s="176"/>
      <c r="S1779" s="162">
        <f t="shared" si="186"/>
        <v>0</v>
      </c>
      <c r="T1779" s="167"/>
    </row>
    <row r="1780" customHeight="1" spans="2:20">
      <c r="B1780" s="166"/>
      <c r="C1780" s="164">
        <f t="shared" si="185"/>
        <v>27</v>
      </c>
      <c r="D1780" s="158" t="str">
        <f>VLOOKUP(C1780,DMSP!$A$1:$C$39,2,0)</f>
        <v>7.KHÁC</v>
      </c>
      <c r="E1780" s="159" t="str">
        <f>VLOOKUP(C1780,DMSP!$A$1:$C$39,3,0)</f>
        <v>KẼM VÀNG</v>
      </c>
      <c r="F1780" s="160">
        <f t="shared" si="183"/>
        <v>0</v>
      </c>
      <c r="G1780" s="176"/>
      <c r="H1780" s="176"/>
      <c r="I1780" s="176"/>
      <c r="J1780" s="176"/>
      <c r="K1780" s="176"/>
      <c r="L1780" s="176"/>
      <c r="M1780" s="176"/>
      <c r="N1780" s="176"/>
      <c r="O1780" s="176"/>
      <c r="P1780" s="176"/>
      <c r="Q1780" s="176"/>
      <c r="R1780" s="176"/>
      <c r="S1780" s="162">
        <f t="shared" si="186"/>
        <v>0</v>
      </c>
      <c r="T1780" s="167"/>
    </row>
    <row r="1781" customHeight="1" spans="2:20">
      <c r="B1781" s="166"/>
      <c r="C1781" s="164">
        <f t="shared" si="185"/>
        <v>28</v>
      </c>
      <c r="D1781" s="158" t="str">
        <f>VLOOKUP(C1781,DMSP!$A$1:$C$39,2,0)</f>
        <v>7.KHÁC</v>
      </c>
      <c r="E1781" s="159" t="str">
        <f>VLOOKUP(C1781,DMSP!$A$1:$C$39,3,0)</f>
        <v>KHÁC1</v>
      </c>
      <c r="F1781" s="160">
        <f t="shared" si="183"/>
        <v>0</v>
      </c>
      <c r="G1781" s="176"/>
      <c r="H1781" s="176"/>
      <c r="I1781" s="176"/>
      <c r="J1781" s="176"/>
      <c r="K1781" s="176"/>
      <c r="L1781" s="176"/>
      <c r="M1781" s="176"/>
      <c r="N1781" s="176"/>
      <c r="O1781" s="176"/>
      <c r="P1781" s="176"/>
      <c r="Q1781" s="176"/>
      <c r="R1781" s="176"/>
      <c r="S1781" s="162">
        <f t="shared" si="186"/>
        <v>0</v>
      </c>
      <c r="T1781" s="167"/>
    </row>
    <row r="1782" customHeight="1" spans="2:20">
      <c r="B1782" s="166"/>
      <c r="C1782" s="164">
        <f t="shared" si="185"/>
        <v>29</v>
      </c>
      <c r="D1782" s="158" t="str">
        <f>VLOOKUP(C1782,DMSP!$A$1:$C$39,2,0)</f>
        <v>7.KHÁC</v>
      </c>
      <c r="E1782" s="169" t="s">
        <v>13</v>
      </c>
      <c r="F1782" s="160">
        <f t="shared" si="183"/>
        <v>0</v>
      </c>
      <c r="G1782" s="176"/>
      <c r="H1782" s="176"/>
      <c r="I1782" s="176"/>
      <c r="J1782" s="176"/>
      <c r="K1782" s="176"/>
      <c r="L1782" s="176"/>
      <c r="M1782" s="176"/>
      <c r="N1782" s="176"/>
      <c r="O1782" s="176"/>
      <c r="P1782" s="176"/>
      <c r="Q1782" s="176"/>
      <c r="R1782" s="176"/>
      <c r="S1782" s="162">
        <f t="shared" si="186"/>
        <v>0</v>
      </c>
      <c r="T1782" s="167"/>
    </row>
    <row r="1783" customHeight="1" spans="2:20">
      <c r="B1783" s="166"/>
      <c r="C1783" s="164">
        <f t="shared" si="185"/>
        <v>30</v>
      </c>
      <c r="D1783" s="158" t="str">
        <f>VLOOKUP(C1783,DMSP!$A$1:$C$39,2,0)</f>
        <v>7.KHÁC</v>
      </c>
      <c r="E1783" s="159" t="str">
        <f>VLOOKUP(C1783,DMSP!$A$1:$C$39,3,0)</f>
        <v>RỬA RONG RÊU</v>
      </c>
      <c r="F1783" s="160">
        <f t="shared" si="183"/>
        <v>0</v>
      </c>
      <c r="G1783" s="176"/>
      <c r="H1783" s="176"/>
      <c r="I1783" s="176"/>
      <c r="J1783" s="176"/>
      <c r="K1783" s="176"/>
      <c r="L1783" s="176"/>
      <c r="M1783" s="176"/>
      <c r="N1783" s="176"/>
      <c r="O1783" s="176"/>
      <c r="P1783" s="176"/>
      <c r="Q1783" s="176"/>
      <c r="R1783" s="176"/>
      <c r="S1783" s="162">
        <f t="shared" si="186"/>
        <v>0</v>
      </c>
      <c r="T1783" s="167"/>
    </row>
    <row r="1784" customHeight="1" spans="2:20">
      <c r="B1784" s="166"/>
      <c r="C1784" s="164">
        <f t="shared" si="185"/>
        <v>31</v>
      </c>
      <c r="D1784" s="158" t="str">
        <f>VLOOKUP(C1784,DMSP!$A$1:$C$39,2,0)</f>
        <v>7.KHÁC</v>
      </c>
      <c r="E1784" s="159" t="str">
        <f>VLOOKUP(C1784,DMSP!$A$1:$C$39,3,0)</f>
        <v>TB BO</v>
      </c>
      <c r="F1784" s="160">
        <f t="shared" si="183"/>
        <v>0</v>
      </c>
      <c r="G1784" s="176"/>
      <c r="H1784" s="176"/>
      <c r="I1784" s="176"/>
      <c r="J1784" s="176"/>
      <c r="K1784" s="176"/>
      <c r="L1784" s="176"/>
      <c r="M1784" s="176"/>
      <c r="N1784" s="176"/>
      <c r="O1784" s="176"/>
      <c r="P1784" s="176"/>
      <c r="Q1784" s="176"/>
      <c r="R1784" s="176"/>
      <c r="S1784" s="162">
        <f t="shared" si="186"/>
        <v>0</v>
      </c>
      <c r="T1784" s="167"/>
    </row>
    <row r="1785" customHeight="1" spans="2:20">
      <c r="B1785" s="166"/>
      <c r="C1785" s="164">
        <f t="shared" si="185"/>
        <v>32</v>
      </c>
      <c r="D1785" s="158" t="str">
        <f>VLOOKUP(C1785,DMSP!$A$1:$C$39,2,0)</f>
        <v>7.KHÁC</v>
      </c>
      <c r="E1785" s="159" t="str">
        <f>VLOOKUP(C1785,DMSP!$A$1:$C$39,3,0)</f>
        <v>TB FRUIT</v>
      </c>
      <c r="F1785" s="160">
        <f t="shared" si="183"/>
        <v>0</v>
      </c>
      <c r="G1785" s="176"/>
      <c r="H1785" s="176"/>
      <c r="I1785" s="176"/>
      <c r="J1785" s="176"/>
      <c r="K1785" s="176"/>
      <c r="L1785" s="176"/>
      <c r="M1785" s="176"/>
      <c r="N1785" s="176"/>
      <c r="O1785" s="176"/>
      <c r="P1785" s="176"/>
      <c r="Q1785" s="176"/>
      <c r="R1785" s="176"/>
      <c r="S1785" s="162">
        <f t="shared" si="186"/>
        <v>0</v>
      </c>
      <c r="T1785" s="167"/>
    </row>
    <row r="1786" customHeight="1" spans="2:20">
      <c r="B1786" s="166"/>
      <c r="C1786" s="164">
        <f t="shared" si="185"/>
        <v>33</v>
      </c>
      <c r="D1786" s="158" t="str">
        <f>VLOOKUP(C1786,DMSP!$A$1:$C$39,2,0)</f>
        <v>7.KHÁC</v>
      </c>
      <c r="E1786" s="159" t="str">
        <f>VLOOKUP(C1786,DMSP!$A$1:$C$39,3,0)</f>
        <v>TB PHOS</v>
      </c>
      <c r="F1786" s="160">
        <f t="shared" si="183"/>
        <v>0</v>
      </c>
      <c r="G1786" s="176"/>
      <c r="H1786" s="176"/>
      <c r="I1786" s="176"/>
      <c r="J1786" s="176"/>
      <c r="K1786" s="176"/>
      <c r="L1786" s="176"/>
      <c r="M1786" s="176"/>
      <c r="N1786" s="176"/>
      <c r="O1786" s="176"/>
      <c r="P1786" s="176"/>
      <c r="Q1786" s="176"/>
      <c r="R1786" s="176"/>
      <c r="S1786" s="162">
        <f t="shared" si="186"/>
        <v>0</v>
      </c>
      <c r="T1786" s="167"/>
    </row>
    <row r="1787" customHeight="1" spans="2:20">
      <c r="B1787" s="166"/>
      <c r="C1787" s="164">
        <f t="shared" si="185"/>
        <v>34</v>
      </c>
      <c r="D1787" s="158" t="str">
        <f>VLOOKUP(C1787,DMSP!$A$1:$C$39,2,0)</f>
        <v>7.KHÁC</v>
      </c>
      <c r="E1787" s="159" t="str">
        <f>VLOOKUP(C1787,DMSP!$A$1:$C$39,3,0)</f>
        <v>TOBA BÁM DÍNH</v>
      </c>
      <c r="F1787" s="160">
        <f t="shared" si="183"/>
        <v>0</v>
      </c>
      <c r="G1787" s="176"/>
      <c r="H1787" s="176"/>
      <c r="I1787" s="176"/>
      <c r="J1787" s="176"/>
      <c r="K1787" s="176"/>
      <c r="L1787" s="176"/>
      <c r="M1787" s="176"/>
      <c r="N1787" s="176"/>
      <c r="O1787" s="176"/>
      <c r="P1787" s="176"/>
      <c r="Q1787" s="176"/>
      <c r="R1787" s="176"/>
      <c r="S1787" s="162">
        <f t="shared" si="186"/>
        <v>0</v>
      </c>
      <c r="T1787" s="167"/>
    </row>
    <row r="1788" customHeight="1" spans="2:20">
      <c r="B1788" s="166"/>
      <c r="C1788" s="164">
        <f t="shared" si="185"/>
        <v>35</v>
      </c>
      <c r="D1788" s="158" t="str">
        <f>VLOOKUP(C1788,DMSP!$A$1:$C$39,2,0)</f>
        <v>7.KHÁC</v>
      </c>
      <c r="E1788" s="159" t="str">
        <f>VLOOKUP(C1788,DMSP!$A$1:$C$39,3,0)</f>
        <v>VỌT HOA NHÃN</v>
      </c>
      <c r="F1788" s="160">
        <f t="shared" si="183"/>
        <v>0</v>
      </c>
      <c r="G1788" s="176"/>
      <c r="H1788" s="176"/>
      <c r="I1788" s="176"/>
      <c r="J1788" s="176"/>
      <c r="K1788" s="176"/>
      <c r="L1788" s="176"/>
      <c r="M1788" s="176"/>
      <c r="N1788" s="176"/>
      <c r="O1788" s="176"/>
      <c r="P1788" s="176"/>
      <c r="Q1788" s="176"/>
      <c r="R1788" s="176"/>
      <c r="S1788" s="162">
        <f t="shared" si="186"/>
        <v>0</v>
      </c>
      <c r="T1788" s="167"/>
    </row>
    <row r="1789" customHeight="1" spans="2:20">
      <c r="B1789" s="166"/>
      <c r="C1789" s="164">
        <f t="shared" si="185"/>
        <v>36</v>
      </c>
      <c r="D1789" s="158" t="str">
        <f>VLOOKUP(C1789,DMSP!$A$1:$C$39,2,0)</f>
        <v>7.KHÁC</v>
      </c>
      <c r="E1789" s="159" t="str">
        <f>VLOOKUP(C1789,DMSP!$A$1:$C$39,3,0)</f>
        <v>VỌT HOA XOÀI</v>
      </c>
      <c r="F1789" s="160">
        <f t="shared" si="183"/>
        <v>0</v>
      </c>
      <c r="G1789" s="176"/>
      <c r="H1789" s="176"/>
      <c r="I1789" s="176"/>
      <c r="J1789" s="176"/>
      <c r="K1789" s="176"/>
      <c r="L1789" s="176"/>
      <c r="M1789" s="176"/>
      <c r="N1789" s="176"/>
      <c r="O1789" s="176"/>
      <c r="P1789" s="176"/>
      <c r="Q1789" s="176"/>
      <c r="R1789" s="176"/>
      <c r="S1789" s="162">
        <f t="shared" si="186"/>
        <v>0</v>
      </c>
      <c r="T1789" s="167"/>
    </row>
    <row r="1790" customHeight="1" spans="2:20">
      <c r="B1790" s="166"/>
      <c r="C1790" s="164">
        <f t="shared" si="185"/>
        <v>37</v>
      </c>
      <c r="D1790" s="158" t="str">
        <f>VLOOKUP(C1790,DMSP!$A$1:$C$39,2,0)</f>
        <v>7.KHÁC</v>
      </c>
      <c r="E1790" s="159" t="str">
        <f>VLOOKUP(C1790,DMSP!$A$1:$C$39,3,0)</f>
        <v>VỌT HOA XOÀI</v>
      </c>
      <c r="F1790" s="160">
        <f t="shared" si="183"/>
        <v>0</v>
      </c>
      <c r="G1790" s="176"/>
      <c r="H1790" s="176"/>
      <c r="I1790" s="176"/>
      <c r="J1790" s="176"/>
      <c r="K1790" s="176"/>
      <c r="L1790" s="176"/>
      <c r="M1790" s="176"/>
      <c r="N1790" s="176"/>
      <c r="O1790" s="176"/>
      <c r="P1790" s="176"/>
      <c r="Q1790" s="176"/>
      <c r="R1790" s="176"/>
      <c r="S1790" s="162">
        <f t="shared" si="186"/>
        <v>0</v>
      </c>
      <c r="T1790" s="167"/>
    </row>
    <row r="1791" customHeight="1" spans="2:20">
      <c r="B1791" s="92"/>
      <c r="C1791" s="170">
        <f>B1754</f>
        <v>0</v>
      </c>
      <c r="D1791" s="171"/>
      <c r="E1791" s="172" t="str">
        <f>"TOTAL "&amp;B1754</f>
        <v>TOTAL </v>
      </c>
      <c r="F1791" s="173">
        <f t="shared" si="183"/>
        <v>0</v>
      </c>
      <c r="G1791" s="174">
        <f>SUM(G1754:G1790)</f>
        <v>0</v>
      </c>
      <c r="H1791" s="174">
        <f t="shared" ref="H1791:R1791" si="187">SUM(H1754:H1790)</f>
        <v>0</v>
      </c>
      <c r="I1791" s="174">
        <f t="shared" si="187"/>
        <v>0</v>
      </c>
      <c r="J1791" s="174">
        <f t="shared" si="187"/>
        <v>0</v>
      </c>
      <c r="K1791" s="174">
        <f t="shared" si="187"/>
        <v>0</v>
      </c>
      <c r="L1791" s="174">
        <f t="shared" si="187"/>
        <v>0</v>
      </c>
      <c r="M1791" s="174">
        <f t="shared" si="187"/>
        <v>0</v>
      </c>
      <c r="N1791" s="174">
        <f t="shared" si="187"/>
        <v>0</v>
      </c>
      <c r="O1791" s="174">
        <f t="shared" si="187"/>
        <v>0</v>
      </c>
      <c r="P1791" s="174">
        <f t="shared" si="187"/>
        <v>0</v>
      </c>
      <c r="Q1791" s="174">
        <f t="shared" si="187"/>
        <v>0</v>
      </c>
      <c r="R1791" s="174">
        <f t="shared" si="187"/>
        <v>0</v>
      </c>
      <c r="S1791" s="174">
        <f t="shared" si="186"/>
        <v>0</v>
      </c>
      <c r="T1791" s="175"/>
    </row>
    <row r="1792" customHeight="1" spans="2:20">
      <c r="B1792" s="156"/>
      <c r="C1792" s="157">
        <v>1</v>
      </c>
      <c r="D1792" s="158" t="str">
        <f>VLOOKUP(C1792,DMSP!$A$1:$C$39,2,0)</f>
        <v>1.TOBA XANH</v>
      </c>
      <c r="E1792" s="159" t="str">
        <f>VLOOKUP(C1792,DMSP!$A$1:$C$39,3,0)</f>
        <v>TOBA XANH</v>
      </c>
      <c r="F1792" s="160">
        <f t="shared" si="183"/>
        <v>0</v>
      </c>
      <c r="G1792" s="176"/>
      <c r="H1792" s="176"/>
      <c r="I1792" s="176"/>
      <c r="J1792" s="176"/>
      <c r="K1792" s="176"/>
      <c r="L1792" s="176"/>
      <c r="M1792" s="176"/>
      <c r="N1792" s="176"/>
      <c r="O1792" s="176"/>
      <c r="P1792" s="176"/>
      <c r="Q1792" s="176"/>
      <c r="R1792" s="176"/>
      <c r="S1792" s="162">
        <f t="shared" si="186"/>
        <v>0</v>
      </c>
      <c r="T1792" s="163">
        <f>S1829</f>
        <v>0</v>
      </c>
    </row>
    <row r="1793" customHeight="1" spans="2:20">
      <c r="B1793" s="166"/>
      <c r="C1793" s="164">
        <f t="shared" ref="C1793:C1856" si="188">C1792+1</f>
        <v>2</v>
      </c>
      <c r="D1793" s="158" t="str">
        <f>VLOOKUP(C1793,DMSP!$A$1:$C$39,2,0)</f>
        <v>2.HC</v>
      </c>
      <c r="E1793" s="159" t="str">
        <f>VLOOKUP(C1793,DMSP!$A$1:$C$39,3,0)</f>
        <v>HC BOOSTER</v>
      </c>
      <c r="F1793" s="160">
        <f t="shared" si="183"/>
        <v>0</v>
      </c>
      <c r="G1793" s="176"/>
      <c r="H1793" s="176"/>
      <c r="I1793" s="176"/>
      <c r="J1793" s="176"/>
      <c r="K1793" s="176"/>
      <c r="L1793" s="176"/>
      <c r="M1793" s="176"/>
      <c r="N1793" s="176"/>
      <c r="O1793" s="176"/>
      <c r="P1793" s="176"/>
      <c r="Q1793" s="176"/>
      <c r="R1793" s="176"/>
      <c r="S1793" s="162">
        <f t="shared" ref="S1793:S1830" si="189">SUM(G1793:R1793)</f>
        <v>0</v>
      </c>
      <c r="T1793" s="167"/>
    </row>
    <row r="1794" customHeight="1" spans="2:20">
      <c r="B1794" s="166"/>
      <c r="C1794" s="164">
        <f t="shared" si="188"/>
        <v>3</v>
      </c>
      <c r="D1794" s="158" t="str">
        <f>VLOOKUP(C1794,DMSP!$A$1:$C$39,2,0)</f>
        <v>2.HC</v>
      </c>
      <c r="E1794" s="159" t="str">
        <f>VLOOKUP(C1794,DMSP!$A$1:$C$39,3,0)</f>
        <v>HC KING-ROOT</v>
      </c>
      <c r="F1794" s="160">
        <f t="shared" si="183"/>
        <v>0</v>
      </c>
      <c r="G1794" s="176"/>
      <c r="H1794" s="176"/>
      <c r="I1794" s="176"/>
      <c r="J1794" s="176"/>
      <c r="K1794" s="176"/>
      <c r="L1794" s="176"/>
      <c r="M1794" s="176"/>
      <c r="N1794" s="176"/>
      <c r="O1794" s="176"/>
      <c r="P1794" s="176"/>
      <c r="Q1794" s="176"/>
      <c r="R1794" s="176"/>
      <c r="S1794" s="162">
        <f t="shared" si="189"/>
        <v>0</v>
      </c>
      <c r="T1794" s="167"/>
    </row>
    <row r="1795" customHeight="1" spans="2:20">
      <c r="B1795" s="166"/>
      <c r="C1795" s="164">
        <f t="shared" si="188"/>
        <v>4</v>
      </c>
      <c r="D1795" s="158" t="str">
        <f>VLOOKUP(C1795,DMSP!$A$1:$C$39,2,0)</f>
        <v>2.HC</v>
      </c>
      <c r="E1795" s="159" t="str">
        <f>VLOOKUP(C1795,DMSP!$A$1:$C$39,3,0)</f>
        <v>HAPPY FARM</v>
      </c>
      <c r="F1795" s="160">
        <f t="shared" si="183"/>
        <v>0</v>
      </c>
      <c r="G1795" s="176"/>
      <c r="H1795" s="176"/>
      <c r="I1795" s="176"/>
      <c r="J1795" s="176"/>
      <c r="K1795" s="176"/>
      <c r="L1795" s="176"/>
      <c r="M1795" s="176"/>
      <c r="N1795" s="176"/>
      <c r="O1795" s="176"/>
      <c r="P1795" s="176"/>
      <c r="Q1795" s="176"/>
      <c r="R1795" s="176"/>
      <c r="S1795" s="162">
        <f t="shared" si="189"/>
        <v>0</v>
      </c>
      <c r="T1795" s="167"/>
    </row>
    <row r="1796" customHeight="1" spans="2:20">
      <c r="B1796" s="166"/>
      <c r="C1796" s="164">
        <f t="shared" si="188"/>
        <v>5</v>
      </c>
      <c r="D1796" s="158" t="str">
        <f>VLOOKUP(C1796,DMSP!$A$1:$C$39,2,0)</f>
        <v>2.HC</v>
      </c>
      <c r="E1796" s="159" t="str">
        <f>VLOOKUP(C1796,DMSP!$A$1:$C$39,3,0)</f>
        <v>WOW</v>
      </c>
      <c r="F1796" s="160">
        <f t="shared" si="183"/>
        <v>0</v>
      </c>
      <c r="G1796" s="176"/>
      <c r="H1796" s="176"/>
      <c r="I1796" s="176"/>
      <c r="J1796" s="176"/>
      <c r="K1796" s="176"/>
      <c r="L1796" s="176"/>
      <c r="M1796" s="176"/>
      <c r="N1796" s="176"/>
      <c r="O1796" s="176"/>
      <c r="P1796" s="176"/>
      <c r="Q1796" s="176"/>
      <c r="R1796" s="176"/>
      <c r="S1796" s="162">
        <f t="shared" si="189"/>
        <v>0</v>
      </c>
      <c r="T1796" s="167"/>
    </row>
    <row r="1797" customHeight="1" spans="2:20">
      <c r="B1797" s="166"/>
      <c r="C1797" s="164">
        <f t="shared" si="188"/>
        <v>6</v>
      </c>
      <c r="D1797" s="158" t="str">
        <f>VLOOKUP(C1797,DMSP!$A$1:$C$39,2,0)</f>
        <v>3.SPRAY </v>
      </c>
      <c r="E1797" s="159" t="str">
        <f>VLOOKUP(C1797,DMSP!$A$1:$C$39,3,0)</f>
        <v>KELPIT</v>
      </c>
      <c r="F1797" s="160">
        <f t="shared" si="183"/>
        <v>0</v>
      </c>
      <c r="G1797" s="176"/>
      <c r="H1797" s="176"/>
      <c r="I1797" s="176"/>
      <c r="J1797" s="176"/>
      <c r="K1797" s="176"/>
      <c r="L1797" s="176"/>
      <c r="M1797" s="176"/>
      <c r="N1797" s="176"/>
      <c r="O1797" s="176"/>
      <c r="P1797" s="176"/>
      <c r="Q1797" s="176"/>
      <c r="R1797" s="176"/>
      <c r="S1797" s="162">
        <f t="shared" si="189"/>
        <v>0</v>
      </c>
      <c r="T1797" s="167"/>
    </row>
    <row r="1798" customHeight="1" spans="2:20">
      <c r="B1798" s="166"/>
      <c r="C1798" s="164">
        <f t="shared" si="188"/>
        <v>7</v>
      </c>
      <c r="D1798" s="158" t="str">
        <f>VLOOKUP(C1798,DMSP!$A$1:$C$39,2,0)</f>
        <v>3.SPRAY </v>
      </c>
      <c r="E1798" s="159" t="str">
        <f>VLOOKUP(C1798,DMSP!$A$1:$C$39,3,0)</f>
        <v>SI-K</v>
      </c>
      <c r="F1798" s="160">
        <f t="shared" si="183"/>
        <v>0</v>
      </c>
      <c r="G1798" s="176"/>
      <c r="H1798" s="176"/>
      <c r="I1798" s="176"/>
      <c r="J1798" s="176"/>
      <c r="K1798" s="176"/>
      <c r="L1798" s="176"/>
      <c r="M1798" s="176"/>
      <c r="N1798" s="176"/>
      <c r="O1798" s="176"/>
      <c r="P1798" s="176"/>
      <c r="Q1798" s="176"/>
      <c r="R1798" s="176"/>
      <c r="S1798" s="162">
        <f t="shared" si="189"/>
        <v>0</v>
      </c>
      <c r="T1798" s="167"/>
    </row>
    <row r="1799" customHeight="1" spans="2:20">
      <c r="B1799" s="166"/>
      <c r="C1799" s="164">
        <f t="shared" si="188"/>
        <v>8</v>
      </c>
      <c r="D1799" s="158" t="str">
        <f>VLOOKUP(C1799,DMSP!$A$1:$C$39,2,0)</f>
        <v>3.SPRAY </v>
      </c>
      <c r="E1799" s="159" t="str">
        <f>VLOOKUP(C1799,DMSP!$A$1:$C$39,3,0)</f>
        <v>SPRAY PHOS 620</v>
      </c>
      <c r="F1799" s="160">
        <f t="shared" ref="F1799:F1862" si="190">S1799</f>
        <v>0</v>
      </c>
      <c r="G1799" s="176"/>
      <c r="H1799" s="176"/>
      <c r="I1799" s="176"/>
      <c r="J1799" s="176"/>
      <c r="K1799" s="176"/>
      <c r="L1799" s="176"/>
      <c r="M1799" s="176"/>
      <c r="N1799" s="176"/>
      <c r="O1799" s="176"/>
      <c r="P1799" s="176"/>
      <c r="Q1799" s="176"/>
      <c r="R1799" s="176"/>
      <c r="S1799" s="162">
        <f t="shared" si="189"/>
        <v>0</v>
      </c>
      <c r="T1799" s="167"/>
    </row>
    <row r="1800" customHeight="1" spans="2:20">
      <c r="B1800" s="166"/>
      <c r="C1800" s="164">
        <f t="shared" si="188"/>
        <v>9</v>
      </c>
      <c r="D1800" s="158" t="str">
        <f>VLOOKUP(C1800,DMSP!$A$1:$C$39,2,0)</f>
        <v>4.DƯỠNG RỄ</v>
      </c>
      <c r="E1800" s="159" t="str">
        <f>VLOOKUP(C1800,DMSP!$A$1:$C$39,3,0)</f>
        <v>CHITOSAN</v>
      </c>
      <c r="F1800" s="160">
        <f t="shared" si="190"/>
        <v>0</v>
      </c>
      <c r="G1800" s="176"/>
      <c r="H1800" s="176"/>
      <c r="I1800" s="176"/>
      <c r="J1800" s="176"/>
      <c r="K1800" s="176"/>
      <c r="L1800" s="176"/>
      <c r="M1800" s="176"/>
      <c r="N1800" s="176"/>
      <c r="O1800" s="176"/>
      <c r="P1800" s="176"/>
      <c r="Q1800" s="176"/>
      <c r="R1800" s="176"/>
      <c r="S1800" s="162">
        <f t="shared" si="189"/>
        <v>0</v>
      </c>
      <c r="T1800" s="167"/>
    </row>
    <row r="1801" customHeight="1" spans="2:20">
      <c r="B1801" s="166"/>
      <c r="C1801" s="164">
        <f t="shared" si="188"/>
        <v>10</v>
      </c>
      <c r="D1801" s="158" t="str">
        <f>VLOOKUP(C1801,DMSP!$A$1:$C$39,2,0)</f>
        <v>4.DƯỠNG RỄ</v>
      </c>
      <c r="E1801" s="159" t="str">
        <f>VLOOKUP(C1801,DMSP!$A$1:$C$39,3,0)</f>
        <v>ĐẠM CÁ</v>
      </c>
      <c r="F1801" s="160">
        <f t="shared" si="190"/>
        <v>0</v>
      </c>
      <c r="G1801" s="176"/>
      <c r="H1801" s="176"/>
      <c r="I1801" s="176"/>
      <c r="J1801" s="176"/>
      <c r="K1801" s="176"/>
      <c r="L1801" s="176"/>
      <c r="M1801" s="176"/>
      <c r="N1801" s="176"/>
      <c r="O1801" s="176"/>
      <c r="P1801" s="176"/>
      <c r="Q1801" s="176"/>
      <c r="R1801" s="176"/>
      <c r="S1801" s="162">
        <f t="shared" si="189"/>
        <v>0</v>
      </c>
      <c r="T1801" s="167"/>
    </row>
    <row r="1802" customHeight="1" spans="2:20">
      <c r="B1802" s="166"/>
      <c r="C1802" s="164">
        <f t="shared" si="188"/>
        <v>11</v>
      </c>
      <c r="D1802" s="158" t="str">
        <f>VLOOKUP(C1802,DMSP!$A$1:$C$39,2,0)</f>
        <v>4.DƯỠNG RỄ</v>
      </c>
      <c r="E1802" s="159" t="str">
        <f>VLOOKUP(C1802,DMSP!$A$1:$C$39,3,0)</f>
        <v>ĐẠM TÔM</v>
      </c>
      <c r="F1802" s="160">
        <f t="shared" si="190"/>
        <v>0</v>
      </c>
      <c r="G1802" s="176"/>
      <c r="H1802" s="176"/>
      <c r="I1802" s="176"/>
      <c r="J1802" s="176"/>
      <c r="K1802" s="176"/>
      <c r="L1802" s="176"/>
      <c r="M1802" s="176"/>
      <c r="N1802" s="176"/>
      <c r="O1802" s="176"/>
      <c r="P1802" s="176"/>
      <c r="Q1802" s="176"/>
      <c r="R1802" s="176"/>
      <c r="S1802" s="162">
        <f t="shared" si="189"/>
        <v>0</v>
      </c>
      <c r="T1802" s="167"/>
    </row>
    <row r="1803" customHeight="1" spans="2:20">
      <c r="B1803" s="166"/>
      <c r="C1803" s="164">
        <f t="shared" si="188"/>
        <v>12</v>
      </c>
      <c r="D1803" s="158" t="str">
        <f>VLOOKUP(C1803,DMSP!$A$1:$C$39,2,0)</f>
        <v>4.DƯỠNG RỄ</v>
      </c>
      <c r="E1803" s="159" t="str">
        <f>VLOOKUP(C1803,DMSP!$A$1:$C$39,3,0)</f>
        <v>SUPERMIC</v>
      </c>
      <c r="F1803" s="160">
        <f t="shared" si="190"/>
        <v>0</v>
      </c>
      <c r="G1803" s="176"/>
      <c r="H1803" s="176"/>
      <c r="I1803" s="176"/>
      <c r="J1803" s="176"/>
      <c r="K1803" s="176"/>
      <c r="L1803" s="176"/>
      <c r="M1803" s="176"/>
      <c r="N1803" s="176"/>
      <c r="O1803" s="176"/>
      <c r="P1803" s="176"/>
      <c r="Q1803" s="176"/>
      <c r="R1803" s="176"/>
      <c r="S1803" s="162">
        <f t="shared" si="189"/>
        <v>0</v>
      </c>
      <c r="T1803" s="167"/>
    </row>
    <row r="1804" customHeight="1" spans="2:20">
      <c r="B1804" s="166"/>
      <c r="C1804" s="164">
        <f t="shared" si="188"/>
        <v>13</v>
      </c>
      <c r="D1804" s="158" t="str">
        <f>VLOOKUP(C1804,DMSP!$A$1:$C$39,2,0)</f>
        <v>5.TRUYỀN THỐNG</v>
      </c>
      <c r="E1804" s="159" t="str">
        <f>VLOOKUP(C1804,DMSP!$A$1:$C$39,3,0)</f>
        <v>CABO</v>
      </c>
      <c r="F1804" s="160">
        <f t="shared" si="190"/>
        <v>0</v>
      </c>
      <c r="G1804" s="176"/>
      <c r="H1804" s="176"/>
      <c r="I1804" s="176"/>
      <c r="J1804" s="176"/>
      <c r="K1804" s="176"/>
      <c r="L1804" s="176"/>
      <c r="M1804" s="176"/>
      <c r="N1804" s="176"/>
      <c r="O1804" s="176"/>
      <c r="P1804" s="176"/>
      <c r="Q1804" s="176"/>
      <c r="R1804" s="176"/>
      <c r="S1804" s="162">
        <f t="shared" si="189"/>
        <v>0</v>
      </c>
      <c r="T1804" s="167"/>
    </row>
    <row r="1805" customHeight="1" spans="2:20">
      <c r="B1805" s="166"/>
      <c r="C1805" s="164">
        <f t="shared" si="188"/>
        <v>14</v>
      </c>
      <c r="D1805" s="158" t="str">
        <f>VLOOKUP(C1805,DMSP!$A$1:$C$39,2,0)</f>
        <v>5.TRUYỀN THỐNG</v>
      </c>
      <c r="E1805" s="159" t="str">
        <f>VLOOKUP(C1805,DMSP!$A$1:$C$39,3,0)</f>
        <v>F94</v>
      </c>
      <c r="F1805" s="160">
        <f t="shared" si="190"/>
        <v>0</v>
      </c>
      <c r="G1805" s="176"/>
      <c r="H1805" s="176"/>
      <c r="I1805" s="176"/>
      <c r="J1805" s="176"/>
      <c r="K1805" s="176"/>
      <c r="L1805" s="176"/>
      <c r="M1805" s="176"/>
      <c r="N1805" s="176"/>
      <c r="O1805" s="176"/>
      <c r="P1805" s="176"/>
      <c r="Q1805" s="176"/>
      <c r="R1805" s="176"/>
      <c r="S1805" s="162">
        <f t="shared" si="189"/>
        <v>0</v>
      </c>
      <c r="T1805" s="167"/>
    </row>
    <row r="1806" customHeight="1" spans="2:20">
      <c r="B1806" s="166"/>
      <c r="C1806" s="164">
        <f t="shared" si="188"/>
        <v>15</v>
      </c>
      <c r="D1806" s="158" t="str">
        <f>VLOOKUP(C1806,DMSP!$A$1:$C$39,2,0)</f>
        <v>5.TRUYỀN THỐNG</v>
      </c>
      <c r="E1806" s="159" t="str">
        <f>VLOOKUP(C1806,DMSP!$A$1:$C$39,3,0)</f>
        <v>F95</v>
      </c>
      <c r="F1806" s="160">
        <f t="shared" si="190"/>
        <v>0</v>
      </c>
      <c r="G1806" s="176"/>
      <c r="H1806" s="176"/>
      <c r="I1806" s="176"/>
      <c r="J1806" s="176"/>
      <c r="K1806" s="176"/>
      <c r="L1806" s="176"/>
      <c r="M1806" s="176"/>
      <c r="N1806" s="176"/>
      <c r="O1806" s="176"/>
      <c r="P1806" s="176"/>
      <c r="Q1806" s="176"/>
      <c r="R1806" s="176"/>
      <c r="S1806" s="162">
        <f t="shared" si="189"/>
        <v>0</v>
      </c>
      <c r="T1806" s="167"/>
    </row>
    <row r="1807" customHeight="1" spans="2:20">
      <c r="B1807" s="166"/>
      <c r="C1807" s="164">
        <f t="shared" si="188"/>
        <v>16</v>
      </c>
      <c r="D1807" s="158" t="str">
        <f>VLOOKUP(C1807,DMSP!$A$1:$C$39,2,0)</f>
        <v>5.TRUYỀN THỐNG</v>
      </c>
      <c r="E1807" s="159" t="str">
        <f>VLOOKUP(C1807,DMSP!$A$1:$C$39,3,0)</f>
        <v>THIOURE</v>
      </c>
      <c r="F1807" s="160">
        <f t="shared" si="190"/>
        <v>0</v>
      </c>
      <c r="G1807" s="176"/>
      <c r="H1807" s="176"/>
      <c r="I1807" s="176"/>
      <c r="J1807" s="176"/>
      <c r="K1807" s="176"/>
      <c r="L1807" s="176"/>
      <c r="M1807" s="176"/>
      <c r="N1807" s="176"/>
      <c r="O1807" s="176"/>
      <c r="P1807" s="176"/>
      <c r="Q1807" s="176"/>
      <c r="R1807" s="176"/>
      <c r="S1807" s="162">
        <f t="shared" si="189"/>
        <v>0</v>
      </c>
      <c r="T1807" s="167"/>
    </row>
    <row r="1808" customHeight="1" spans="2:20">
      <c r="B1808" s="166"/>
      <c r="C1808" s="164">
        <f t="shared" si="188"/>
        <v>17</v>
      </c>
      <c r="D1808" s="158" t="str">
        <f>VLOOKUP(C1808,DMSP!$A$1:$C$39,2,0)</f>
        <v>5.TRUYỀN THỐNG</v>
      </c>
      <c r="E1808" s="159" t="str">
        <f>VLOOKUP(C1808,DMSP!$A$1:$C$39,3,0)</f>
        <v>TOBA JUM</v>
      </c>
      <c r="F1808" s="160">
        <f t="shared" si="190"/>
        <v>0</v>
      </c>
      <c r="G1808" s="176"/>
      <c r="H1808" s="176"/>
      <c r="I1808" s="176"/>
      <c r="J1808" s="176"/>
      <c r="K1808" s="176"/>
      <c r="L1808" s="176"/>
      <c r="M1808" s="176"/>
      <c r="N1808" s="176"/>
      <c r="O1808" s="176"/>
      <c r="P1808" s="176"/>
      <c r="Q1808" s="176"/>
      <c r="R1808" s="176"/>
      <c r="S1808" s="162">
        <f t="shared" si="189"/>
        <v>0</v>
      </c>
      <c r="T1808" s="167"/>
    </row>
    <row r="1809" customHeight="1" spans="2:20">
      <c r="B1809" s="166"/>
      <c r="C1809" s="164">
        <f t="shared" si="188"/>
        <v>18</v>
      </c>
      <c r="D1809" s="158" t="str">
        <f>VLOOKUP(C1809,DMSP!$A$1:$C$39,2,0)</f>
        <v>5.TRUYỀN THỐNG</v>
      </c>
      <c r="E1809" s="159" t="str">
        <f>VLOOKUP(C1809,DMSP!$A$1:$C$39,3,0)</f>
        <v>TOBA NET</v>
      </c>
      <c r="F1809" s="160">
        <f t="shared" si="190"/>
        <v>0</v>
      </c>
      <c r="G1809" s="176"/>
      <c r="H1809" s="176"/>
      <c r="I1809" s="176"/>
      <c r="J1809" s="176"/>
      <c r="K1809" s="176"/>
      <c r="L1809" s="176"/>
      <c r="M1809" s="176"/>
      <c r="N1809" s="176"/>
      <c r="O1809" s="176"/>
      <c r="P1809" s="176"/>
      <c r="Q1809" s="176"/>
      <c r="R1809" s="176"/>
      <c r="S1809" s="162">
        <f t="shared" si="189"/>
        <v>0</v>
      </c>
      <c r="T1809" s="167"/>
    </row>
    <row r="1810" customHeight="1" spans="2:20">
      <c r="B1810" s="166"/>
      <c r="C1810" s="164">
        <f t="shared" si="188"/>
        <v>19</v>
      </c>
      <c r="D1810" s="158" t="str">
        <f>VLOOKUP(C1810,DMSP!$A$1:$C$39,2,0)</f>
        <v>6.BVTV</v>
      </c>
      <c r="E1810" s="159" t="str">
        <f>VLOOKUP(C1810,DMSP!$A$1:$C$39,3,0)</f>
        <v>ABAFAX 1.8</v>
      </c>
      <c r="F1810" s="160">
        <f t="shared" si="190"/>
        <v>0</v>
      </c>
      <c r="G1810" s="176"/>
      <c r="H1810" s="176"/>
      <c r="I1810" s="176"/>
      <c r="J1810" s="176"/>
      <c r="K1810" s="176"/>
      <c r="L1810" s="176"/>
      <c r="M1810" s="176"/>
      <c r="N1810" s="176"/>
      <c r="O1810" s="176"/>
      <c r="P1810" s="176"/>
      <c r="Q1810" s="176"/>
      <c r="R1810" s="176"/>
      <c r="S1810" s="162">
        <f t="shared" si="189"/>
        <v>0</v>
      </c>
      <c r="T1810" s="167"/>
    </row>
    <row r="1811" customHeight="1" spans="2:20">
      <c r="B1811" s="166"/>
      <c r="C1811" s="164">
        <f t="shared" si="188"/>
        <v>20</v>
      </c>
      <c r="D1811" s="158" t="str">
        <f>VLOOKUP(C1811,DMSP!$A$1:$C$39,2,0)</f>
        <v>6.BVTV</v>
      </c>
      <c r="E1811" s="159" t="str">
        <f>VLOOKUP(C1811,DMSP!$A$1:$C$39,3,0)</f>
        <v>ABAFAX 3.6</v>
      </c>
      <c r="F1811" s="160">
        <f t="shared" si="190"/>
        <v>0</v>
      </c>
      <c r="G1811" s="176"/>
      <c r="H1811" s="176"/>
      <c r="I1811" s="176"/>
      <c r="J1811" s="176"/>
      <c r="K1811" s="176"/>
      <c r="L1811" s="176"/>
      <c r="M1811" s="176"/>
      <c r="N1811" s="176"/>
      <c r="O1811" s="176"/>
      <c r="P1811" s="176"/>
      <c r="Q1811" s="176"/>
      <c r="R1811" s="176"/>
      <c r="S1811" s="162">
        <f t="shared" si="189"/>
        <v>0</v>
      </c>
      <c r="T1811" s="167"/>
    </row>
    <row r="1812" customHeight="1" spans="2:20">
      <c r="B1812" s="166"/>
      <c r="C1812" s="164">
        <f t="shared" si="188"/>
        <v>21</v>
      </c>
      <c r="D1812" s="158" t="str">
        <f>VLOOKUP(C1812,DMSP!$A$1:$C$39,2,0)</f>
        <v>6.BVTV</v>
      </c>
      <c r="E1812" s="159" t="str">
        <f>VLOOKUP(C1812,DMSP!$A$1:$C$39,3,0)</f>
        <v>AZET</v>
      </c>
      <c r="F1812" s="160">
        <f t="shared" si="190"/>
        <v>0</v>
      </c>
      <c r="G1812" s="176"/>
      <c r="H1812" s="176"/>
      <c r="I1812" s="176"/>
      <c r="J1812" s="176"/>
      <c r="K1812" s="176"/>
      <c r="L1812" s="176"/>
      <c r="M1812" s="176"/>
      <c r="N1812" s="176"/>
      <c r="O1812" s="176"/>
      <c r="P1812" s="176"/>
      <c r="Q1812" s="176"/>
      <c r="R1812" s="176"/>
      <c r="S1812" s="162">
        <f t="shared" si="189"/>
        <v>0</v>
      </c>
      <c r="T1812" s="167"/>
    </row>
    <row r="1813" customHeight="1" spans="2:20">
      <c r="B1813" s="166"/>
      <c r="C1813" s="164">
        <f t="shared" si="188"/>
        <v>22</v>
      </c>
      <c r="D1813" s="158" t="str">
        <f>VLOOKUP(C1813,DMSP!$A$1:$C$39,2,0)</f>
        <v>6.BVTV</v>
      </c>
      <c r="E1813" s="159" t="str">
        <f>VLOOKUP(C1813,DMSP!$A$1:$C$39,3,0)</f>
        <v>BACBA</v>
      </c>
      <c r="F1813" s="160">
        <f t="shared" si="190"/>
        <v>0</v>
      </c>
      <c r="G1813" s="176"/>
      <c r="H1813" s="176"/>
      <c r="I1813" s="176"/>
      <c r="J1813" s="176"/>
      <c r="K1813" s="176"/>
      <c r="L1813" s="176"/>
      <c r="M1813" s="176"/>
      <c r="N1813" s="176"/>
      <c r="O1813" s="176"/>
      <c r="P1813" s="176"/>
      <c r="Q1813" s="176"/>
      <c r="R1813" s="176"/>
      <c r="S1813" s="162">
        <f t="shared" si="189"/>
        <v>0</v>
      </c>
      <c r="T1813" s="167"/>
    </row>
    <row r="1814" customHeight="1" spans="2:20">
      <c r="B1814" s="166"/>
      <c r="C1814" s="164">
        <f t="shared" si="188"/>
        <v>23</v>
      </c>
      <c r="D1814" s="158" t="str">
        <f>VLOOKUP(C1814,DMSP!$A$1:$C$39,2,0)</f>
        <v>6.BVTV</v>
      </c>
      <c r="E1814" s="159" t="str">
        <f>VLOOKUP(C1814,DMSP!$A$1:$C$39,3,0)</f>
        <v>BIOROSAMIL</v>
      </c>
      <c r="F1814" s="160">
        <f t="shared" si="190"/>
        <v>0</v>
      </c>
      <c r="G1814" s="176"/>
      <c r="H1814" s="176"/>
      <c r="I1814" s="176"/>
      <c r="J1814" s="176"/>
      <c r="K1814" s="176"/>
      <c r="L1814" s="176"/>
      <c r="M1814" s="176"/>
      <c r="N1814" s="176"/>
      <c r="O1814" s="176"/>
      <c r="P1814" s="176"/>
      <c r="Q1814" s="176"/>
      <c r="R1814" s="176"/>
      <c r="S1814" s="162">
        <f t="shared" si="189"/>
        <v>0</v>
      </c>
      <c r="T1814" s="167"/>
    </row>
    <row r="1815" customHeight="1" spans="2:20">
      <c r="B1815" s="166"/>
      <c r="C1815" s="164">
        <f t="shared" si="188"/>
        <v>24</v>
      </c>
      <c r="D1815" s="158" t="str">
        <f>VLOOKUP(C1815,DMSP!$A$1:$C$39,2,0)</f>
        <v>6.BVTV</v>
      </c>
      <c r="E1815" s="159" t="str">
        <f>VLOOKUP(C1815,DMSP!$A$1:$C$39,3,0)</f>
        <v>COC 86</v>
      </c>
      <c r="F1815" s="160">
        <f t="shared" si="190"/>
        <v>0</v>
      </c>
      <c r="G1815" s="176"/>
      <c r="H1815" s="176"/>
      <c r="I1815" s="176"/>
      <c r="J1815" s="176"/>
      <c r="K1815" s="176"/>
      <c r="L1815" s="176"/>
      <c r="M1815" s="176"/>
      <c r="N1815" s="176"/>
      <c r="O1815" s="176"/>
      <c r="P1815" s="176"/>
      <c r="Q1815" s="176"/>
      <c r="R1815" s="176"/>
      <c r="S1815" s="162">
        <f t="shared" si="189"/>
        <v>0</v>
      </c>
      <c r="T1815" s="167"/>
    </row>
    <row r="1816" customHeight="1" spans="2:20">
      <c r="B1816" s="166"/>
      <c r="C1816" s="164">
        <f t="shared" si="188"/>
        <v>25</v>
      </c>
      <c r="D1816" s="158" t="str">
        <f>VLOOKUP(C1816,DMSP!$A$1:$C$39,2,0)</f>
        <v>6.BVTV</v>
      </c>
      <c r="E1816" s="159" t="str">
        <f>VLOOKUP(C1816,DMSP!$A$1:$C$39,3,0)</f>
        <v>HEXA 5</v>
      </c>
      <c r="F1816" s="160">
        <f t="shared" si="190"/>
        <v>0</v>
      </c>
      <c r="G1816" s="176"/>
      <c r="H1816" s="176"/>
      <c r="I1816" s="176"/>
      <c r="J1816" s="176"/>
      <c r="K1816" s="176"/>
      <c r="L1816" s="176"/>
      <c r="M1816" s="176"/>
      <c r="N1816" s="176"/>
      <c r="O1816" s="176"/>
      <c r="P1816" s="176"/>
      <c r="Q1816" s="176"/>
      <c r="R1816" s="176"/>
      <c r="S1816" s="162">
        <f t="shared" si="189"/>
        <v>0</v>
      </c>
      <c r="T1816" s="167"/>
    </row>
    <row r="1817" customHeight="1" spans="2:20">
      <c r="B1817" s="166"/>
      <c r="C1817" s="164">
        <f t="shared" si="188"/>
        <v>26</v>
      </c>
      <c r="D1817" s="158" t="str">
        <f>VLOOKUP(C1817,DMSP!$A$1:$C$39,2,0)</f>
        <v>6.BVTV</v>
      </c>
      <c r="E1817" s="159" t="str">
        <f>VLOOKUP(C1817,DMSP!$A$1:$C$39,3,0)</f>
        <v>TAMALA</v>
      </c>
      <c r="F1817" s="160">
        <f t="shared" si="190"/>
        <v>0</v>
      </c>
      <c r="G1817" s="176"/>
      <c r="H1817" s="176"/>
      <c r="I1817" s="176"/>
      <c r="J1817" s="176"/>
      <c r="K1817" s="176"/>
      <c r="L1817" s="176"/>
      <c r="M1817" s="176"/>
      <c r="N1817" s="176"/>
      <c r="O1817" s="176"/>
      <c r="P1817" s="176"/>
      <c r="Q1817" s="176"/>
      <c r="R1817" s="176"/>
      <c r="S1817" s="162">
        <f t="shared" si="189"/>
        <v>0</v>
      </c>
      <c r="T1817" s="167"/>
    </row>
    <row r="1818" customHeight="1" spans="2:20">
      <c r="B1818" s="166"/>
      <c r="C1818" s="164">
        <f t="shared" si="188"/>
        <v>27</v>
      </c>
      <c r="D1818" s="158" t="str">
        <f>VLOOKUP(C1818,DMSP!$A$1:$C$39,2,0)</f>
        <v>7.KHÁC</v>
      </c>
      <c r="E1818" s="159" t="str">
        <f>VLOOKUP(C1818,DMSP!$A$1:$C$39,3,0)</f>
        <v>KẼM VÀNG</v>
      </c>
      <c r="F1818" s="160">
        <f t="shared" si="190"/>
        <v>0</v>
      </c>
      <c r="G1818" s="176"/>
      <c r="H1818" s="176"/>
      <c r="I1818" s="176"/>
      <c r="J1818" s="176"/>
      <c r="K1818" s="176"/>
      <c r="L1818" s="176"/>
      <c r="M1818" s="176"/>
      <c r="N1818" s="176"/>
      <c r="O1818" s="176"/>
      <c r="P1818" s="176"/>
      <c r="Q1818" s="176"/>
      <c r="R1818" s="176"/>
      <c r="S1818" s="162">
        <f t="shared" si="189"/>
        <v>0</v>
      </c>
      <c r="T1818" s="167"/>
    </row>
    <row r="1819" customHeight="1" spans="2:20">
      <c r="B1819" s="166"/>
      <c r="C1819" s="164">
        <f t="shared" si="188"/>
        <v>28</v>
      </c>
      <c r="D1819" s="158" t="str">
        <f>VLOOKUP(C1819,DMSP!$A$1:$C$39,2,0)</f>
        <v>7.KHÁC</v>
      </c>
      <c r="E1819" s="159" t="str">
        <f>VLOOKUP(C1819,DMSP!$A$1:$C$39,3,0)</f>
        <v>KHÁC1</v>
      </c>
      <c r="F1819" s="160">
        <f t="shared" si="190"/>
        <v>0</v>
      </c>
      <c r="G1819" s="176"/>
      <c r="H1819" s="176"/>
      <c r="I1819" s="176"/>
      <c r="J1819" s="176"/>
      <c r="K1819" s="176"/>
      <c r="L1819" s="176"/>
      <c r="M1819" s="176"/>
      <c r="N1819" s="176"/>
      <c r="O1819" s="176"/>
      <c r="P1819" s="176"/>
      <c r="Q1819" s="176"/>
      <c r="R1819" s="176"/>
      <c r="S1819" s="162">
        <f t="shared" si="189"/>
        <v>0</v>
      </c>
      <c r="T1819" s="167"/>
    </row>
    <row r="1820" customHeight="1" spans="2:20">
      <c r="B1820" s="166"/>
      <c r="C1820" s="164">
        <f t="shared" si="188"/>
        <v>29</v>
      </c>
      <c r="D1820" s="158" t="str">
        <f>VLOOKUP(C1820,DMSP!$A$1:$C$39,2,0)</f>
        <v>7.KHÁC</v>
      </c>
      <c r="E1820" s="169" t="s">
        <v>13</v>
      </c>
      <c r="F1820" s="160">
        <f t="shared" si="190"/>
        <v>0</v>
      </c>
      <c r="G1820" s="176"/>
      <c r="H1820" s="176"/>
      <c r="I1820" s="176"/>
      <c r="J1820" s="176"/>
      <c r="K1820" s="176"/>
      <c r="L1820" s="176"/>
      <c r="M1820" s="176"/>
      <c r="N1820" s="176"/>
      <c r="O1820" s="176"/>
      <c r="P1820" s="176"/>
      <c r="Q1820" s="176"/>
      <c r="R1820" s="176"/>
      <c r="S1820" s="162">
        <f t="shared" si="189"/>
        <v>0</v>
      </c>
      <c r="T1820" s="167"/>
    </row>
    <row r="1821" customHeight="1" spans="2:20">
      <c r="B1821" s="166"/>
      <c r="C1821" s="164">
        <f t="shared" si="188"/>
        <v>30</v>
      </c>
      <c r="D1821" s="158" t="str">
        <f>VLOOKUP(C1821,DMSP!$A$1:$C$39,2,0)</f>
        <v>7.KHÁC</v>
      </c>
      <c r="E1821" s="159" t="str">
        <f>VLOOKUP(C1821,DMSP!$A$1:$C$39,3,0)</f>
        <v>RỬA RONG RÊU</v>
      </c>
      <c r="F1821" s="160">
        <f t="shared" si="190"/>
        <v>0</v>
      </c>
      <c r="G1821" s="176"/>
      <c r="H1821" s="176"/>
      <c r="I1821" s="176"/>
      <c r="J1821" s="176"/>
      <c r="K1821" s="176"/>
      <c r="L1821" s="176"/>
      <c r="M1821" s="176"/>
      <c r="N1821" s="176"/>
      <c r="O1821" s="176"/>
      <c r="P1821" s="176"/>
      <c r="Q1821" s="176"/>
      <c r="R1821" s="176"/>
      <c r="S1821" s="162">
        <f t="shared" si="189"/>
        <v>0</v>
      </c>
      <c r="T1821" s="167"/>
    </row>
    <row r="1822" customHeight="1" spans="2:20">
      <c r="B1822" s="166"/>
      <c r="C1822" s="164">
        <f t="shared" si="188"/>
        <v>31</v>
      </c>
      <c r="D1822" s="158" t="str">
        <f>VLOOKUP(C1822,DMSP!$A$1:$C$39,2,0)</f>
        <v>7.KHÁC</v>
      </c>
      <c r="E1822" s="159" t="str">
        <f>VLOOKUP(C1822,DMSP!$A$1:$C$39,3,0)</f>
        <v>TB BO</v>
      </c>
      <c r="F1822" s="160">
        <f t="shared" si="190"/>
        <v>0</v>
      </c>
      <c r="G1822" s="176"/>
      <c r="H1822" s="176"/>
      <c r="I1822" s="176"/>
      <c r="J1822" s="176"/>
      <c r="K1822" s="176"/>
      <c r="L1822" s="176"/>
      <c r="M1822" s="176"/>
      <c r="N1822" s="176"/>
      <c r="O1822" s="176"/>
      <c r="P1822" s="176"/>
      <c r="Q1822" s="176"/>
      <c r="R1822" s="176"/>
      <c r="S1822" s="162">
        <f t="shared" si="189"/>
        <v>0</v>
      </c>
      <c r="T1822" s="167"/>
    </row>
    <row r="1823" customHeight="1" spans="2:20">
      <c r="B1823" s="166"/>
      <c r="C1823" s="164">
        <f t="shared" si="188"/>
        <v>32</v>
      </c>
      <c r="D1823" s="158" t="str">
        <f>VLOOKUP(C1823,DMSP!$A$1:$C$39,2,0)</f>
        <v>7.KHÁC</v>
      </c>
      <c r="E1823" s="159" t="str">
        <f>VLOOKUP(C1823,DMSP!$A$1:$C$39,3,0)</f>
        <v>TB FRUIT</v>
      </c>
      <c r="F1823" s="160">
        <f t="shared" si="190"/>
        <v>0</v>
      </c>
      <c r="G1823" s="176"/>
      <c r="H1823" s="176"/>
      <c r="I1823" s="176"/>
      <c r="J1823" s="176"/>
      <c r="K1823" s="176"/>
      <c r="L1823" s="176"/>
      <c r="M1823" s="176"/>
      <c r="N1823" s="176"/>
      <c r="O1823" s="176"/>
      <c r="P1823" s="176"/>
      <c r="Q1823" s="176"/>
      <c r="R1823" s="176"/>
      <c r="S1823" s="162">
        <f t="shared" si="189"/>
        <v>0</v>
      </c>
      <c r="T1823" s="167"/>
    </row>
    <row r="1824" customHeight="1" spans="2:20">
      <c r="B1824" s="166"/>
      <c r="C1824" s="164">
        <f t="shared" si="188"/>
        <v>33</v>
      </c>
      <c r="D1824" s="158" t="str">
        <f>VLOOKUP(C1824,DMSP!$A$1:$C$39,2,0)</f>
        <v>7.KHÁC</v>
      </c>
      <c r="E1824" s="159" t="str">
        <f>VLOOKUP(C1824,DMSP!$A$1:$C$39,3,0)</f>
        <v>TB PHOS</v>
      </c>
      <c r="F1824" s="160">
        <f t="shared" si="190"/>
        <v>0</v>
      </c>
      <c r="G1824" s="176"/>
      <c r="H1824" s="176"/>
      <c r="I1824" s="176"/>
      <c r="J1824" s="176"/>
      <c r="K1824" s="176"/>
      <c r="L1824" s="176"/>
      <c r="M1824" s="176"/>
      <c r="N1824" s="176"/>
      <c r="O1824" s="176"/>
      <c r="P1824" s="176"/>
      <c r="Q1824" s="176"/>
      <c r="R1824" s="176"/>
      <c r="S1824" s="162">
        <f t="shared" si="189"/>
        <v>0</v>
      </c>
      <c r="T1824" s="167"/>
    </row>
    <row r="1825" customHeight="1" spans="2:20">
      <c r="B1825" s="166"/>
      <c r="C1825" s="164">
        <f t="shared" si="188"/>
        <v>34</v>
      </c>
      <c r="D1825" s="158" t="str">
        <f>VLOOKUP(C1825,DMSP!$A$1:$C$39,2,0)</f>
        <v>7.KHÁC</v>
      </c>
      <c r="E1825" s="159" t="str">
        <f>VLOOKUP(C1825,DMSP!$A$1:$C$39,3,0)</f>
        <v>TOBA BÁM DÍNH</v>
      </c>
      <c r="F1825" s="160">
        <f t="shared" si="190"/>
        <v>0</v>
      </c>
      <c r="G1825" s="176"/>
      <c r="H1825" s="176"/>
      <c r="I1825" s="176"/>
      <c r="J1825" s="176"/>
      <c r="K1825" s="176"/>
      <c r="L1825" s="176"/>
      <c r="M1825" s="176"/>
      <c r="N1825" s="176"/>
      <c r="O1825" s="176"/>
      <c r="P1825" s="176"/>
      <c r="Q1825" s="176"/>
      <c r="R1825" s="176"/>
      <c r="S1825" s="162">
        <f t="shared" si="189"/>
        <v>0</v>
      </c>
      <c r="T1825" s="167"/>
    </row>
    <row r="1826" customHeight="1" spans="2:20">
      <c r="B1826" s="166"/>
      <c r="C1826" s="164">
        <f t="shared" si="188"/>
        <v>35</v>
      </c>
      <c r="D1826" s="158" t="str">
        <f>VLOOKUP(C1826,DMSP!$A$1:$C$39,2,0)</f>
        <v>7.KHÁC</v>
      </c>
      <c r="E1826" s="159" t="str">
        <f>VLOOKUP(C1826,DMSP!$A$1:$C$39,3,0)</f>
        <v>VỌT HOA NHÃN</v>
      </c>
      <c r="F1826" s="160">
        <f t="shared" si="190"/>
        <v>0</v>
      </c>
      <c r="G1826" s="176"/>
      <c r="H1826" s="176"/>
      <c r="I1826" s="176"/>
      <c r="J1826" s="176"/>
      <c r="K1826" s="176"/>
      <c r="L1826" s="176"/>
      <c r="M1826" s="176"/>
      <c r="N1826" s="176"/>
      <c r="O1826" s="176"/>
      <c r="P1826" s="176"/>
      <c r="Q1826" s="176"/>
      <c r="R1826" s="176"/>
      <c r="S1826" s="162">
        <f t="shared" si="189"/>
        <v>0</v>
      </c>
      <c r="T1826" s="167"/>
    </row>
    <row r="1827" customHeight="1" spans="2:20">
      <c r="B1827" s="166"/>
      <c r="C1827" s="164">
        <f t="shared" si="188"/>
        <v>36</v>
      </c>
      <c r="D1827" s="158" t="str">
        <f>VLOOKUP(C1827,DMSP!$A$1:$C$39,2,0)</f>
        <v>7.KHÁC</v>
      </c>
      <c r="E1827" s="159" t="str">
        <f>VLOOKUP(C1827,DMSP!$A$1:$C$39,3,0)</f>
        <v>VỌT HOA XOÀI</v>
      </c>
      <c r="F1827" s="160">
        <f t="shared" si="190"/>
        <v>0</v>
      </c>
      <c r="G1827" s="176"/>
      <c r="H1827" s="176"/>
      <c r="I1827" s="176"/>
      <c r="J1827" s="176"/>
      <c r="K1827" s="176"/>
      <c r="L1827" s="176"/>
      <c r="M1827" s="176"/>
      <c r="N1827" s="176"/>
      <c r="O1827" s="176"/>
      <c r="P1827" s="176"/>
      <c r="Q1827" s="176"/>
      <c r="R1827" s="176"/>
      <c r="S1827" s="162">
        <f t="shared" si="189"/>
        <v>0</v>
      </c>
      <c r="T1827" s="167"/>
    </row>
    <row r="1828" customHeight="1" spans="2:20">
      <c r="B1828" s="166"/>
      <c r="C1828" s="164">
        <f t="shared" si="188"/>
        <v>37</v>
      </c>
      <c r="D1828" s="158" t="str">
        <f>VLOOKUP(C1828,DMSP!$A$1:$C$39,2,0)</f>
        <v>7.KHÁC</v>
      </c>
      <c r="E1828" s="159" t="str">
        <f>VLOOKUP(C1828,DMSP!$A$1:$C$39,3,0)</f>
        <v>VỌT HOA XOÀI</v>
      </c>
      <c r="F1828" s="160">
        <f t="shared" si="190"/>
        <v>0</v>
      </c>
      <c r="G1828" s="176"/>
      <c r="H1828" s="176"/>
      <c r="I1828" s="176"/>
      <c r="J1828" s="176"/>
      <c r="K1828" s="176"/>
      <c r="L1828" s="176"/>
      <c r="M1828" s="176"/>
      <c r="N1828" s="176"/>
      <c r="O1828" s="176"/>
      <c r="P1828" s="176"/>
      <c r="Q1828" s="176"/>
      <c r="R1828" s="176"/>
      <c r="S1828" s="162">
        <f t="shared" si="189"/>
        <v>0</v>
      </c>
      <c r="T1828" s="167"/>
    </row>
    <row r="1829" customHeight="1" spans="2:20">
      <c r="B1829" s="92"/>
      <c r="C1829" s="170">
        <f t="shared" ref="C1829" si="191">B1792</f>
        <v>0</v>
      </c>
      <c r="D1829" s="171"/>
      <c r="E1829" s="172" t="str">
        <f>"TOTAL "&amp;B1792</f>
        <v>TOTAL </v>
      </c>
      <c r="F1829" s="173">
        <f t="shared" si="190"/>
        <v>0</v>
      </c>
      <c r="G1829" s="174">
        <f>SUM(G1792:G1828)</f>
        <v>0</v>
      </c>
      <c r="H1829" s="174">
        <f t="shared" ref="H1829:R1829" si="192">SUM(H1792:H1828)</f>
        <v>0</v>
      </c>
      <c r="I1829" s="174">
        <f t="shared" si="192"/>
        <v>0</v>
      </c>
      <c r="J1829" s="174">
        <f t="shared" si="192"/>
        <v>0</v>
      </c>
      <c r="K1829" s="174">
        <f t="shared" si="192"/>
        <v>0</v>
      </c>
      <c r="L1829" s="174">
        <f t="shared" si="192"/>
        <v>0</v>
      </c>
      <c r="M1829" s="174">
        <f t="shared" si="192"/>
        <v>0</v>
      </c>
      <c r="N1829" s="174">
        <f t="shared" si="192"/>
        <v>0</v>
      </c>
      <c r="O1829" s="174">
        <f t="shared" si="192"/>
        <v>0</v>
      </c>
      <c r="P1829" s="174">
        <f t="shared" si="192"/>
        <v>0</v>
      </c>
      <c r="Q1829" s="174">
        <f t="shared" si="192"/>
        <v>0</v>
      </c>
      <c r="R1829" s="174">
        <f t="shared" si="192"/>
        <v>0</v>
      </c>
      <c r="S1829" s="174">
        <f t="shared" si="189"/>
        <v>0</v>
      </c>
      <c r="T1829" s="175"/>
    </row>
    <row r="1830" customHeight="1" spans="2:20">
      <c r="B1830" s="156"/>
      <c r="C1830" s="157">
        <v>1</v>
      </c>
      <c r="D1830" s="158" t="str">
        <f>VLOOKUP(C1830,DMSP!$A$1:$C$39,2,0)</f>
        <v>1.TOBA XANH</v>
      </c>
      <c r="E1830" s="159" t="str">
        <f>VLOOKUP(C1830,DMSP!$A$1:$C$39,3,0)</f>
        <v>TOBA XANH</v>
      </c>
      <c r="F1830" s="160">
        <f t="shared" si="190"/>
        <v>0</v>
      </c>
      <c r="G1830" s="176"/>
      <c r="H1830" s="176"/>
      <c r="I1830" s="176"/>
      <c r="J1830" s="176"/>
      <c r="K1830" s="176"/>
      <c r="L1830" s="176"/>
      <c r="M1830" s="176"/>
      <c r="N1830" s="176"/>
      <c r="O1830" s="176"/>
      <c r="P1830" s="176"/>
      <c r="Q1830" s="176"/>
      <c r="R1830" s="176"/>
      <c r="S1830" s="162">
        <f t="shared" si="189"/>
        <v>0</v>
      </c>
      <c r="T1830" s="163">
        <f>S1867</f>
        <v>0</v>
      </c>
    </row>
    <row r="1831" customHeight="1" spans="2:20">
      <c r="B1831" s="166"/>
      <c r="C1831" s="164">
        <f t="shared" si="188"/>
        <v>2</v>
      </c>
      <c r="D1831" s="158" t="str">
        <f>VLOOKUP(C1831,DMSP!$A$1:$C$39,2,0)</f>
        <v>2.HC</v>
      </c>
      <c r="E1831" s="159" t="str">
        <f>VLOOKUP(C1831,DMSP!$A$1:$C$39,3,0)</f>
        <v>HC BOOSTER</v>
      </c>
      <c r="F1831" s="160">
        <f t="shared" si="190"/>
        <v>0</v>
      </c>
      <c r="G1831" s="176"/>
      <c r="H1831" s="176"/>
      <c r="I1831" s="176"/>
      <c r="J1831" s="176"/>
      <c r="K1831" s="176"/>
      <c r="L1831" s="176"/>
      <c r="M1831" s="176"/>
      <c r="N1831" s="176"/>
      <c r="O1831" s="176"/>
      <c r="P1831" s="176"/>
      <c r="Q1831" s="176"/>
      <c r="R1831" s="176"/>
      <c r="S1831" s="162">
        <f t="shared" ref="S1831:S1868" si="193">SUM(G1831:R1831)</f>
        <v>0</v>
      </c>
      <c r="T1831" s="167"/>
    </row>
    <row r="1832" customHeight="1" spans="2:20">
      <c r="B1832" s="166"/>
      <c r="C1832" s="164">
        <f t="shared" si="188"/>
        <v>3</v>
      </c>
      <c r="D1832" s="158" t="str">
        <f>VLOOKUP(C1832,DMSP!$A$1:$C$39,2,0)</f>
        <v>2.HC</v>
      </c>
      <c r="E1832" s="159" t="str">
        <f>VLOOKUP(C1832,DMSP!$A$1:$C$39,3,0)</f>
        <v>HC KING-ROOT</v>
      </c>
      <c r="F1832" s="160">
        <f t="shared" si="190"/>
        <v>0</v>
      </c>
      <c r="G1832" s="176"/>
      <c r="H1832" s="176"/>
      <c r="I1832" s="176"/>
      <c r="J1832" s="176"/>
      <c r="K1832" s="176"/>
      <c r="L1832" s="176"/>
      <c r="M1832" s="176"/>
      <c r="N1832" s="176"/>
      <c r="O1832" s="176"/>
      <c r="P1832" s="176"/>
      <c r="Q1832" s="176"/>
      <c r="R1832" s="176"/>
      <c r="S1832" s="162">
        <f t="shared" si="193"/>
        <v>0</v>
      </c>
      <c r="T1832" s="167"/>
    </row>
    <row r="1833" customHeight="1" spans="2:20">
      <c r="B1833" s="166"/>
      <c r="C1833" s="164">
        <f t="shared" si="188"/>
        <v>4</v>
      </c>
      <c r="D1833" s="158" t="str">
        <f>VLOOKUP(C1833,DMSP!$A$1:$C$39,2,0)</f>
        <v>2.HC</v>
      </c>
      <c r="E1833" s="159" t="str">
        <f>VLOOKUP(C1833,DMSP!$A$1:$C$39,3,0)</f>
        <v>HAPPY FARM</v>
      </c>
      <c r="F1833" s="160">
        <f t="shared" si="190"/>
        <v>0</v>
      </c>
      <c r="G1833" s="176"/>
      <c r="H1833" s="176"/>
      <c r="I1833" s="176"/>
      <c r="J1833" s="176"/>
      <c r="K1833" s="176"/>
      <c r="L1833" s="176"/>
      <c r="M1833" s="176"/>
      <c r="N1833" s="176"/>
      <c r="O1833" s="176"/>
      <c r="P1833" s="176"/>
      <c r="Q1833" s="176"/>
      <c r="R1833" s="176"/>
      <c r="S1833" s="162">
        <f t="shared" si="193"/>
        <v>0</v>
      </c>
      <c r="T1833" s="167"/>
    </row>
    <row r="1834" customHeight="1" spans="2:20">
      <c r="B1834" s="166"/>
      <c r="C1834" s="164">
        <f t="shared" si="188"/>
        <v>5</v>
      </c>
      <c r="D1834" s="158" t="str">
        <f>VLOOKUP(C1834,DMSP!$A$1:$C$39,2,0)</f>
        <v>2.HC</v>
      </c>
      <c r="E1834" s="159" t="str">
        <f>VLOOKUP(C1834,DMSP!$A$1:$C$39,3,0)</f>
        <v>WOW</v>
      </c>
      <c r="F1834" s="160">
        <f t="shared" si="190"/>
        <v>0</v>
      </c>
      <c r="G1834" s="176"/>
      <c r="H1834" s="176"/>
      <c r="I1834" s="176"/>
      <c r="J1834" s="176"/>
      <c r="K1834" s="176"/>
      <c r="L1834" s="176"/>
      <c r="M1834" s="176"/>
      <c r="N1834" s="176"/>
      <c r="O1834" s="176"/>
      <c r="P1834" s="176"/>
      <c r="Q1834" s="176"/>
      <c r="R1834" s="176"/>
      <c r="S1834" s="162">
        <f t="shared" si="193"/>
        <v>0</v>
      </c>
      <c r="T1834" s="167"/>
    </row>
    <row r="1835" customHeight="1" spans="2:20">
      <c r="B1835" s="166"/>
      <c r="C1835" s="164">
        <f t="shared" si="188"/>
        <v>6</v>
      </c>
      <c r="D1835" s="158" t="str">
        <f>VLOOKUP(C1835,DMSP!$A$1:$C$39,2,0)</f>
        <v>3.SPRAY </v>
      </c>
      <c r="E1835" s="159" t="str">
        <f>VLOOKUP(C1835,DMSP!$A$1:$C$39,3,0)</f>
        <v>KELPIT</v>
      </c>
      <c r="F1835" s="160">
        <f t="shared" si="190"/>
        <v>0</v>
      </c>
      <c r="G1835" s="176"/>
      <c r="H1835" s="176"/>
      <c r="I1835" s="176"/>
      <c r="J1835" s="176"/>
      <c r="K1835" s="176"/>
      <c r="L1835" s="176"/>
      <c r="M1835" s="176"/>
      <c r="N1835" s="176"/>
      <c r="O1835" s="176"/>
      <c r="P1835" s="176"/>
      <c r="Q1835" s="176"/>
      <c r="R1835" s="176"/>
      <c r="S1835" s="162">
        <f t="shared" si="193"/>
        <v>0</v>
      </c>
      <c r="T1835" s="167"/>
    </row>
    <row r="1836" customHeight="1" spans="2:20">
      <c r="B1836" s="166"/>
      <c r="C1836" s="164">
        <f t="shared" si="188"/>
        <v>7</v>
      </c>
      <c r="D1836" s="158" t="str">
        <f>VLOOKUP(C1836,DMSP!$A$1:$C$39,2,0)</f>
        <v>3.SPRAY </v>
      </c>
      <c r="E1836" s="159" t="str">
        <f>VLOOKUP(C1836,DMSP!$A$1:$C$39,3,0)</f>
        <v>SI-K</v>
      </c>
      <c r="F1836" s="160">
        <f t="shared" si="190"/>
        <v>0</v>
      </c>
      <c r="G1836" s="176"/>
      <c r="H1836" s="176"/>
      <c r="I1836" s="176"/>
      <c r="J1836" s="176"/>
      <c r="K1836" s="176"/>
      <c r="L1836" s="176"/>
      <c r="M1836" s="176"/>
      <c r="N1836" s="176"/>
      <c r="O1836" s="176"/>
      <c r="P1836" s="176"/>
      <c r="Q1836" s="176"/>
      <c r="R1836" s="176"/>
      <c r="S1836" s="162">
        <f t="shared" si="193"/>
        <v>0</v>
      </c>
      <c r="T1836" s="167"/>
    </row>
    <row r="1837" customHeight="1" spans="2:20">
      <c r="B1837" s="166"/>
      <c r="C1837" s="164">
        <f t="shared" si="188"/>
        <v>8</v>
      </c>
      <c r="D1837" s="158" t="str">
        <f>VLOOKUP(C1837,DMSP!$A$1:$C$39,2,0)</f>
        <v>3.SPRAY </v>
      </c>
      <c r="E1837" s="159" t="str">
        <f>VLOOKUP(C1837,DMSP!$A$1:$C$39,3,0)</f>
        <v>SPRAY PHOS 620</v>
      </c>
      <c r="F1837" s="160">
        <f t="shared" si="190"/>
        <v>0</v>
      </c>
      <c r="G1837" s="176"/>
      <c r="H1837" s="176"/>
      <c r="I1837" s="176"/>
      <c r="J1837" s="176"/>
      <c r="K1837" s="176"/>
      <c r="L1837" s="176"/>
      <c r="M1837" s="176"/>
      <c r="N1837" s="176"/>
      <c r="O1837" s="176"/>
      <c r="P1837" s="176"/>
      <c r="Q1837" s="176"/>
      <c r="R1837" s="176"/>
      <c r="S1837" s="162">
        <f t="shared" si="193"/>
        <v>0</v>
      </c>
      <c r="T1837" s="167"/>
    </row>
    <row r="1838" customHeight="1" spans="2:20">
      <c r="B1838" s="166"/>
      <c r="C1838" s="164">
        <f t="shared" si="188"/>
        <v>9</v>
      </c>
      <c r="D1838" s="158" t="str">
        <f>VLOOKUP(C1838,DMSP!$A$1:$C$39,2,0)</f>
        <v>4.DƯỠNG RỄ</v>
      </c>
      <c r="E1838" s="159" t="str">
        <f>VLOOKUP(C1838,DMSP!$A$1:$C$39,3,0)</f>
        <v>CHITOSAN</v>
      </c>
      <c r="F1838" s="160">
        <f t="shared" si="190"/>
        <v>0</v>
      </c>
      <c r="G1838" s="176"/>
      <c r="H1838" s="176"/>
      <c r="I1838" s="176"/>
      <c r="J1838" s="176"/>
      <c r="K1838" s="176"/>
      <c r="L1838" s="176"/>
      <c r="M1838" s="176"/>
      <c r="N1838" s="176"/>
      <c r="O1838" s="176"/>
      <c r="P1838" s="176"/>
      <c r="Q1838" s="176"/>
      <c r="R1838" s="176"/>
      <c r="S1838" s="162">
        <f t="shared" si="193"/>
        <v>0</v>
      </c>
      <c r="T1838" s="167"/>
    </row>
    <row r="1839" customHeight="1" spans="2:20">
      <c r="B1839" s="166"/>
      <c r="C1839" s="164">
        <f t="shared" si="188"/>
        <v>10</v>
      </c>
      <c r="D1839" s="158" t="str">
        <f>VLOOKUP(C1839,DMSP!$A$1:$C$39,2,0)</f>
        <v>4.DƯỠNG RỄ</v>
      </c>
      <c r="E1839" s="159" t="str">
        <f>VLOOKUP(C1839,DMSP!$A$1:$C$39,3,0)</f>
        <v>ĐẠM CÁ</v>
      </c>
      <c r="F1839" s="160">
        <f t="shared" si="190"/>
        <v>0</v>
      </c>
      <c r="G1839" s="176"/>
      <c r="H1839" s="176"/>
      <c r="I1839" s="176"/>
      <c r="J1839" s="176"/>
      <c r="K1839" s="176"/>
      <c r="L1839" s="176"/>
      <c r="M1839" s="176"/>
      <c r="N1839" s="176"/>
      <c r="O1839" s="176"/>
      <c r="P1839" s="176"/>
      <c r="Q1839" s="176"/>
      <c r="R1839" s="176"/>
      <c r="S1839" s="162">
        <f t="shared" si="193"/>
        <v>0</v>
      </c>
      <c r="T1839" s="167"/>
    </row>
    <row r="1840" customHeight="1" spans="2:20">
      <c r="B1840" s="166"/>
      <c r="C1840" s="164">
        <f t="shared" si="188"/>
        <v>11</v>
      </c>
      <c r="D1840" s="158" t="str">
        <f>VLOOKUP(C1840,DMSP!$A$1:$C$39,2,0)</f>
        <v>4.DƯỠNG RỄ</v>
      </c>
      <c r="E1840" s="159" t="str">
        <f>VLOOKUP(C1840,DMSP!$A$1:$C$39,3,0)</f>
        <v>ĐẠM TÔM</v>
      </c>
      <c r="F1840" s="160">
        <f t="shared" si="190"/>
        <v>0</v>
      </c>
      <c r="G1840" s="176"/>
      <c r="H1840" s="176"/>
      <c r="I1840" s="176"/>
      <c r="J1840" s="176"/>
      <c r="K1840" s="176"/>
      <c r="L1840" s="176"/>
      <c r="M1840" s="176"/>
      <c r="N1840" s="176"/>
      <c r="O1840" s="176"/>
      <c r="P1840" s="176"/>
      <c r="Q1840" s="176"/>
      <c r="R1840" s="176"/>
      <c r="S1840" s="162">
        <f t="shared" si="193"/>
        <v>0</v>
      </c>
      <c r="T1840" s="167"/>
    </row>
    <row r="1841" customHeight="1" spans="2:20">
      <c r="B1841" s="166"/>
      <c r="C1841" s="164">
        <f t="shared" si="188"/>
        <v>12</v>
      </c>
      <c r="D1841" s="158" t="str">
        <f>VLOOKUP(C1841,DMSP!$A$1:$C$39,2,0)</f>
        <v>4.DƯỠNG RỄ</v>
      </c>
      <c r="E1841" s="159" t="str">
        <f>VLOOKUP(C1841,DMSP!$A$1:$C$39,3,0)</f>
        <v>SUPERMIC</v>
      </c>
      <c r="F1841" s="160">
        <f t="shared" si="190"/>
        <v>0</v>
      </c>
      <c r="G1841" s="176"/>
      <c r="H1841" s="176"/>
      <c r="I1841" s="176"/>
      <c r="J1841" s="176"/>
      <c r="K1841" s="176"/>
      <c r="L1841" s="176"/>
      <c r="M1841" s="176"/>
      <c r="N1841" s="176"/>
      <c r="O1841" s="176"/>
      <c r="P1841" s="176"/>
      <c r="Q1841" s="176"/>
      <c r="R1841" s="176"/>
      <c r="S1841" s="162">
        <f t="shared" si="193"/>
        <v>0</v>
      </c>
      <c r="T1841" s="167"/>
    </row>
    <row r="1842" customHeight="1" spans="2:20">
      <c r="B1842" s="166"/>
      <c r="C1842" s="164">
        <f t="shared" si="188"/>
        <v>13</v>
      </c>
      <c r="D1842" s="158" t="str">
        <f>VLOOKUP(C1842,DMSP!$A$1:$C$39,2,0)</f>
        <v>5.TRUYỀN THỐNG</v>
      </c>
      <c r="E1842" s="159" t="str">
        <f>VLOOKUP(C1842,DMSP!$A$1:$C$39,3,0)</f>
        <v>CABO</v>
      </c>
      <c r="F1842" s="160">
        <f t="shared" si="190"/>
        <v>0</v>
      </c>
      <c r="G1842" s="176"/>
      <c r="H1842" s="176"/>
      <c r="I1842" s="176"/>
      <c r="J1842" s="176"/>
      <c r="K1842" s="176"/>
      <c r="L1842" s="176"/>
      <c r="M1842" s="176"/>
      <c r="N1842" s="176"/>
      <c r="O1842" s="176"/>
      <c r="P1842" s="176"/>
      <c r="Q1842" s="176"/>
      <c r="R1842" s="176"/>
      <c r="S1842" s="162">
        <f t="shared" si="193"/>
        <v>0</v>
      </c>
      <c r="T1842" s="167"/>
    </row>
    <row r="1843" customHeight="1" spans="2:20">
      <c r="B1843" s="166"/>
      <c r="C1843" s="164">
        <f t="shared" si="188"/>
        <v>14</v>
      </c>
      <c r="D1843" s="158" t="str">
        <f>VLOOKUP(C1843,DMSP!$A$1:$C$39,2,0)</f>
        <v>5.TRUYỀN THỐNG</v>
      </c>
      <c r="E1843" s="159" t="str">
        <f>VLOOKUP(C1843,DMSP!$A$1:$C$39,3,0)</f>
        <v>F94</v>
      </c>
      <c r="F1843" s="160">
        <f t="shared" si="190"/>
        <v>0</v>
      </c>
      <c r="G1843" s="176"/>
      <c r="H1843" s="176"/>
      <c r="I1843" s="176"/>
      <c r="J1843" s="176"/>
      <c r="K1843" s="176"/>
      <c r="L1843" s="176"/>
      <c r="M1843" s="176"/>
      <c r="N1843" s="176"/>
      <c r="O1843" s="176"/>
      <c r="P1843" s="176"/>
      <c r="Q1843" s="176"/>
      <c r="R1843" s="176"/>
      <c r="S1843" s="162">
        <f t="shared" si="193"/>
        <v>0</v>
      </c>
      <c r="T1843" s="167"/>
    </row>
    <row r="1844" customHeight="1" spans="2:20">
      <c r="B1844" s="166"/>
      <c r="C1844" s="164">
        <f t="shared" si="188"/>
        <v>15</v>
      </c>
      <c r="D1844" s="158" t="str">
        <f>VLOOKUP(C1844,DMSP!$A$1:$C$39,2,0)</f>
        <v>5.TRUYỀN THỐNG</v>
      </c>
      <c r="E1844" s="159" t="str">
        <f>VLOOKUP(C1844,DMSP!$A$1:$C$39,3,0)</f>
        <v>F95</v>
      </c>
      <c r="F1844" s="160">
        <f t="shared" si="190"/>
        <v>0</v>
      </c>
      <c r="G1844" s="176"/>
      <c r="H1844" s="176"/>
      <c r="I1844" s="176"/>
      <c r="J1844" s="176"/>
      <c r="K1844" s="176"/>
      <c r="L1844" s="176"/>
      <c r="M1844" s="176"/>
      <c r="N1844" s="176"/>
      <c r="O1844" s="176"/>
      <c r="P1844" s="176"/>
      <c r="Q1844" s="176"/>
      <c r="R1844" s="176"/>
      <c r="S1844" s="162">
        <f t="shared" si="193"/>
        <v>0</v>
      </c>
      <c r="T1844" s="167"/>
    </row>
    <row r="1845" customHeight="1" spans="2:20">
      <c r="B1845" s="166"/>
      <c r="C1845" s="164">
        <f t="shared" si="188"/>
        <v>16</v>
      </c>
      <c r="D1845" s="158" t="str">
        <f>VLOOKUP(C1845,DMSP!$A$1:$C$39,2,0)</f>
        <v>5.TRUYỀN THỐNG</v>
      </c>
      <c r="E1845" s="159" t="str">
        <f>VLOOKUP(C1845,DMSP!$A$1:$C$39,3,0)</f>
        <v>THIOURE</v>
      </c>
      <c r="F1845" s="160">
        <f t="shared" si="190"/>
        <v>0</v>
      </c>
      <c r="G1845" s="176"/>
      <c r="H1845" s="176"/>
      <c r="I1845" s="176"/>
      <c r="J1845" s="176"/>
      <c r="K1845" s="176"/>
      <c r="L1845" s="176"/>
      <c r="M1845" s="176"/>
      <c r="N1845" s="176"/>
      <c r="O1845" s="176"/>
      <c r="P1845" s="176"/>
      <c r="Q1845" s="176"/>
      <c r="R1845" s="176"/>
      <c r="S1845" s="162">
        <f t="shared" si="193"/>
        <v>0</v>
      </c>
      <c r="T1845" s="167"/>
    </row>
    <row r="1846" customHeight="1" spans="2:20">
      <c r="B1846" s="166"/>
      <c r="C1846" s="164">
        <f t="shared" si="188"/>
        <v>17</v>
      </c>
      <c r="D1846" s="158" t="str">
        <f>VLOOKUP(C1846,DMSP!$A$1:$C$39,2,0)</f>
        <v>5.TRUYỀN THỐNG</v>
      </c>
      <c r="E1846" s="159" t="str">
        <f>VLOOKUP(C1846,DMSP!$A$1:$C$39,3,0)</f>
        <v>TOBA JUM</v>
      </c>
      <c r="F1846" s="160">
        <f t="shared" si="190"/>
        <v>0</v>
      </c>
      <c r="G1846" s="176"/>
      <c r="H1846" s="176"/>
      <c r="I1846" s="176"/>
      <c r="J1846" s="176"/>
      <c r="K1846" s="176"/>
      <c r="L1846" s="176"/>
      <c r="M1846" s="176"/>
      <c r="N1846" s="176"/>
      <c r="O1846" s="176"/>
      <c r="P1846" s="176"/>
      <c r="Q1846" s="176"/>
      <c r="R1846" s="176"/>
      <c r="S1846" s="162">
        <f t="shared" si="193"/>
        <v>0</v>
      </c>
      <c r="T1846" s="167"/>
    </row>
    <row r="1847" customHeight="1" spans="2:20">
      <c r="B1847" s="166"/>
      <c r="C1847" s="164">
        <f t="shared" si="188"/>
        <v>18</v>
      </c>
      <c r="D1847" s="158" t="str">
        <f>VLOOKUP(C1847,DMSP!$A$1:$C$39,2,0)</f>
        <v>5.TRUYỀN THỐNG</v>
      </c>
      <c r="E1847" s="159" t="str">
        <f>VLOOKUP(C1847,DMSP!$A$1:$C$39,3,0)</f>
        <v>TOBA NET</v>
      </c>
      <c r="F1847" s="160">
        <f t="shared" si="190"/>
        <v>0</v>
      </c>
      <c r="G1847" s="176"/>
      <c r="H1847" s="176"/>
      <c r="I1847" s="176"/>
      <c r="J1847" s="176"/>
      <c r="K1847" s="176"/>
      <c r="L1847" s="176"/>
      <c r="M1847" s="176"/>
      <c r="N1847" s="176"/>
      <c r="O1847" s="176"/>
      <c r="P1847" s="176"/>
      <c r="Q1847" s="176"/>
      <c r="R1847" s="176"/>
      <c r="S1847" s="162">
        <f t="shared" si="193"/>
        <v>0</v>
      </c>
      <c r="T1847" s="167"/>
    </row>
    <row r="1848" customHeight="1" spans="2:20">
      <c r="B1848" s="166"/>
      <c r="C1848" s="164">
        <f t="shared" si="188"/>
        <v>19</v>
      </c>
      <c r="D1848" s="158" t="str">
        <f>VLOOKUP(C1848,DMSP!$A$1:$C$39,2,0)</f>
        <v>6.BVTV</v>
      </c>
      <c r="E1848" s="159" t="str">
        <f>VLOOKUP(C1848,DMSP!$A$1:$C$39,3,0)</f>
        <v>ABAFAX 1.8</v>
      </c>
      <c r="F1848" s="160">
        <f t="shared" si="190"/>
        <v>0</v>
      </c>
      <c r="G1848" s="176"/>
      <c r="H1848" s="176"/>
      <c r="I1848" s="176"/>
      <c r="J1848" s="176"/>
      <c r="K1848" s="176"/>
      <c r="L1848" s="176"/>
      <c r="M1848" s="176"/>
      <c r="N1848" s="176"/>
      <c r="O1848" s="176"/>
      <c r="P1848" s="176"/>
      <c r="Q1848" s="176"/>
      <c r="R1848" s="176"/>
      <c r="S1848" s="162">
        <f t="shared" si="193"/>
        <v>0</v>
      </c>
      <c r="T1848" s="167"/>
    </row>
    <row r="1849" customHeight="1" spans="2:20">
      <c r="B1849" s="166"/>
      <c r="C1849" s="164">
        <f t="shared" si="188"/>
        <v>20</v>
      </c>
      <c r="D1849" s="158" t="str">
        <f>VLOOKUP(C1849,DMSP!$A$1:$C$39,2,0)</f>
        <v>6.BVTV</v>
      </c>
      <c r="E1849" s="159" t="str">
        <f>VLOOKUP(C1849,DMSP!$A$1:$C$39,3,0)</f>
        <v>ABAFAX 3.6</v>
      </c>
      <c r="F1849" s="160">
        <f t="shared" si="190"/>
        <v>0</v>
      </c>
      <c r="G1849" s="176"/>
      <c r="H1849" s="176"/>
      <c r="I1849" s="176"/>
      <c r="J1849" s="176"/>
      <c r="K1849" s="176"/>
      <c r="L1849" s="176"/>
      <c r="M1849" s="176"/>
      <c r="N1849" s="176"/>
      <c r="O1849" s="176"/>
      <c r="P1849" s="176"/>
      <c r="Q1849" s="176"/>
      <c r="R1849" s="176"/>
      <c r="S1849" s="162">
        <f t="shared" si="193"/>
        <v>0</v>
      </c>
      <c r="T1849" s="167"/>
    </row>
    <row r="1850" customHeight="1" spans="2:20">
      <c r="B1850" s="166"/>
      <c r="C1850" s="164">
        <f t="shared" si="188"/>
        <v>21</v>
      </c>
      <c r="D1850" s="158" t="str">
        <f>VLOOKUP(C1850,DMSP!$A$1:$C$39,2,0)</f>
        <v>6.BVTV</v>
      </c>
      <c r="E1850" s="159" t="str">
        <f>VLOOKUP(C1850,DMSP!$A$1:$C$39,3,0)</f>
        <v>AZET</v>
      </c>
      <c r="F1850" s="160">
        <f t="shared" si="190"/>
        <v>0</v>
      </c>
      <c r="G1850" s="176"/>
      <c r="H1850" s="176"/>
      <c r="I1850" s="176"/>
      <c r="J1850" s="176"/>
      <c r="K1850" s="176"/>
      <c r="L1850" s="176"/>
      <c r="M1850" s="176"/>
      <c r="N1850" s="176"/>
      <c r="O1850" s="176"/>
      <c r="P1850" s="176"/>
      <c r="Q1850" s="176"/>
      <c r="R1850" s="176"/>
      <c r="S1850" s="162">
        <f t="shared" si="193"/>
        <v>0</v>
      </c>
      <c r="T1850" s="167"/>
    </row>
    <row r="1851" customHeight="1" spans="2:20">
      <c r="B1851" s="166"/>
      <c r="C1851" s="164">
        <f t="shared" si="188"/>
        <v>22</v>
      </c>
      <c r="D1851" s="158" t="str">
        <f>VLOOKUP(C1851,DMSP!$A$1:$C$39,2,0)</f>
        <v>6.BVTV</v>
      </c>
      <c r="E1851" s="159" t="str">
        <f>VLOOKUP(C1851,DMSP!$A$1:$C$39,3,0)</f>
        <v>BACBA</v>
      </c>
      <c r="F1851" s="160">
        <f t="shared" si="190"/>
        <v>0</v>
      </c>
      <c r="G1851" s="176"/>
      <c r="H1851" s="176"/>
      <c r="I1851" s="176"/>
      <c r="J1851" s="176"/>
      <c r="K1851" s="176"/>
      <c r="L1851" s="176"/>
      <c r="M1851" s="176"/>
      <c r="N1851" s="176"/>
      <c r="O1851" s="176"/>
      <c r="P1851" s="176"/>
      <c r="Q1851" s="176"/>
      <c r="R1851" s="176"/>
      <c r="S1851" s="162">
        <f t="shared" si="193"/>
        <v>0</v>
      </c>
      <c r="T1851" s="167"/>
    </row>
    <row r="1852" customHeight="1" spans="2:20">
      <c r="B1852" s="166"/>
      <c r="C1852" s="164">
        <f t="shared" si="188"/>
        <v>23</v>
      </c>
      <c r="D1852" s="158" t="str">
        <f>VLOOKUP(C1852,DMSP!$A$1:$C$39,2,0)</f>
        <v>6.BVTV</v>
      </c>
      <c r="E1852" s="159" t="str">
        <f>VLOOKUP(C1852,DMSP!$A$1:$C$39,3,0)</f>
        <v>BIOROSAMIL</v>
      </c>
      <c r="F1852" s="160">
        <f t="shared" si="190"/>
        <v>0</v>
      </c>
      <c r="G1852" s="176"/>
      <c r="H1852" s="176"/>
      <c r="I1852" s="176"/>
      <c r="J1852" s="176"/>
      <c r="K1852" s="176"/>
      <c r="L1852" s="176"/>
      <c r="M1852" s="176"/>
      <c r="N1852" s="176"/>
      <c r="O1852" s="176"/>
      <c r="P1852" s="176"/>
      <c r="Q1852" s="176"/>
      <c r="R1852" s="176"/>
      <c r="S1852" s="162">
        <f t="shared" si="193"/>
        <v>0</v>
      </c>
      <c r="T1852" s="167"/>
    </row>
    <row r="1853" customHeight="1" spans="2:20">
      <c r="B1853" s="166"/>
      <c r="C1853" s="164">
        <f t="shared" si="188"/>
        <v>24</v>
      </c>
      <c r="D1853" s="158" t="str">
        <f>VLOOKUP(C1853,DMSP!$A$1:$C$39,2,0)</f>
        <v>6.BVTV</v>
      </c>
      <c r="E1853" s="159" t="str">
        <f>VLOOKUP(C1853,DMSP!$A$1:$C$39,3,0)</f>
        <v>COC 86</v>
      </c>
      <c r="F1853" s="160">
        <f t="shared" si="190"/>
        <v>0</v>
      </c>
      <c r="G1853" s="176"/>
      <c r="H1853" s="176"/>
      <c r="I1853" s="176"/>
      <c r="J1853" s="176"/>
      <c r="K1853" s="176"/>
      <c r="L1853" s="176"/>
      <c r="M1853" s="176"/>
      <c r="N1853" s="176"/>
      <c r="O1853" s="176"/>
      <c r="P1853" s="176"/>
      <c r="Q1853" s="176"/>
      <c r="R1853" s="176"/>
      <c r="S1853" s="162">
        <f t="shared" si="193"/>
        <v>0</v>
      </c>
      <c r="T1853" s="167"/>
    </row>
    <row r="1854" customHeight="1" spans="2:20">
      <c r="B1854" s="166"/>
      <c r="C1854" s="164">
        <f t="shared" si="188"/>
        <v>25</v>
      </c>
      <c r="D1854" s="158" t="str">
        <f>VLOOKUP(C1854,DMSP!$A$1:$C$39,2,0)</f>
        <v>6.BVTV</v>
      </c>
      <c r="E1854" s="159" t="str">
        <f>VLOOKUP(C1854,DMSP!$A$1:$C$39,3,0)</f>
        <v>HEXA 5</v>
      </c>
      <c r="F1854" s="160">
        <f t="shared" si="190"/>
        <v>0</v>
      </c>
      <c r="G1854" s="176"/>
      <c r="H1854" s="176"/>
      <c r="I1854" s="176"/>
      <c r="J1854" s="176"/>
      <c r="K1854" s="176"/>
      <c r="L1854" s="176"/>
      <c r="M1854" s="176"/>
      <c r="N1854" s="176"/>
      <c r="O1854" s="176"/>
      <c r="P1854" s="176"/>
      <c r="Q1854" s="176"/>
      <c r="R1854" s="176"/>
      <c r="S1854" s="162">
        <f t="shared" si="193"/>
        <v>0</v>
      </c>
      <c r="T1854" s="167"/>
    </row>
    <row r="1855" customHeight="1" spans="2:20">
      <c r="B1855" s="166"/>
      <c r="C1855" s="164">
        <f t="shared" si="188"/>
        <v>26</v>
      </c>
      <c r="D1855" s="158" t="str">
        <f>VLOOKUP(C1855,DMSP!$A$1:$C$39,2,0)</f>
        <v>6.BVTV</v>
      </c>
      <c r="E1855" s="159" t="str">
        <f>VLOOKUP(C1855,DMSP!$A$1:$C$39,3,0)</f>
        <v>TAMALA</v>
      </c>
      <c r="F1855" s="160">
        <f t="shared" si="190"/>
        <v>0</v>
      </c>
      <c r="G1855" s="176"/>
      <c r="H1855" s="176"/>
      <c r="I1855" s="176"/>
      <c r="J1855" s="176"/>
      <c r="K1855" s="176"/>
      <c r="L1855" s="176"/>
      <c r="M1855" s="176"/>
      <c r="N1855" s="176"/>
      <c r="O1855" s="176"/>
      <c r="P1855" s="176"/>
      <c r="Q1855" s="176"/>
      <c r="R1855" s="176"/>
      <c r="S1855" s="162">
        <f t="shared" si="193"/>
        <v>0</v>
      </c>
      <c r="T1855" s="167"/>
    </row>
    <row r="1856" customHeight="1" spans="2:20">
      <c r="B1856" s="166"/>
      <c r="C1856" s="164">
        <f t="shared" si="188"/>
        <v>27</v>
      </c>
      <c r="D1856" s="158" t="str">
        <f>VLOOKUP(C1856,DMSP!$A$1:$C$39,2,0)</f>
        <v>7.KHÁC</v>
      </c>
      <c r="E1856" s="159" t="str">
        <f>VLOOKUP(C1856,DMSP!$A$1:$C$39,3,0)</f>
        <v>KẼM VÀNG</v>
      </c>
      <c r="F1856" s="160">
        <f t="shared" si="190"/>
        <v>0</v>
      </c>
      <c r="G1856" s="176"/>
      <c r="H1856" s="176"/>
      <c r="I1856" s="176"/>
      <c r="J1856" s="176"/>
      <c r="K1856" s="176"/>
      <c r="L1856" s="176"/>
      <c r="M1856" s="176"/>
      <c r="N1856" s="176"/>
      <c r="O1856" s="176"/>
      <c r="P1856" s="176"/>
      <c r="Q1856" s="176"/>
      <c r="R1856" s="176"/>
      <c r="S1856" s="162">
        <f t="shared" si="193"/>
        <v>0</v>
      </c>
      <c r="T1856" s="167"/>
    </row>
    <row r="1857" customHeight="1" spans="2:20">
      <c r="B1857" s="166"/>
      <c r="C1857" s="164">
        <f t="shared" ref="C1857:C1866" si="194">C1856+1</f>
        <v>28</v>
      </c>
      <c r="D1857" s="158" t="str">
        <f>VLOOKUP(C1857,DMSP!$A$1:$C$39,2,0)</f>
        <v>7.KHÁC</v>
      </c>
      <c r="E1857" s="159" t="str">
        <f>VLOOKUP(C1857,DMSP!$A$1:$C$39,3,0)</f>
        <v>KHÁC1</v>
      </c>
      <c r="F1857" s="160">
        <f t="shared" si="190"/>
        <v>0</v>
      </c>
      <c r="G1857" s="176"/>
      <c r="H1857" s="176"/>
      <c r="I1857" s="176"/>
      <c r="J1857" s="176"/>
      <c r="K1857" s="176"/>
      <c r="L1857" s="176"/>
      <c r="M1857" s="176"/>
      <c r="N1857" s="176"/>
      <c r="O1857" s="176"/>
      <c r="P1857" s="176"/>
      <c r="Q1857" s="176"/>
      <c r="R1857" s="176"/>
      <c r="S1857" s="162">
        <f t="shared" si="193"/>
        <v>0</v>
      </c>
      <c r="T1857" s="167"/>
    </row>
    <row r="1858" customHeight="1" spans="2:20">
      <c r="B1858" s="166"/>
      <c r="C1858" s="164">
        <f t="shared" si="194"/>
        <v>29</v>
      </c>
      <c r="D1858" s="158" t="str">
        <f>VLOOKUP(C1858,DMSP!$A$1:$C$39,2,0)</f>
        <v>7.KHÁC</v>
      </c>
      <c r="E1858" s="169" t="s">
        <v>13</v>
      </c>
      <c r="F1858" s="160">
        <f t="shared" si="190"/>
        <v>0</v>
      </c>
      <c r="G1858" s="176"/>
      <c r="H1858" s="176"/>
      <c r="I1858" s="176"/>
      <c r="J1858" s="176"/>
      <c r="K1858" s="176"/>
      <c r="L1858" s="176"/>
      <c r="M1858" s="176"/>
      <c r="N1858" s="176"/>
      <c r="O1858" s="176"/>
      <c r="P1858" s="176"/>
      <c r="Q1858" s="176"/>
      <c r="R1858" s="176"/>
      <c r="S1858" s="162">
        <f t="shared" si="193"/>
        <v>0</v>
      </c>
      <c r="T1858" s="167"/>
    </row>
    <row r="1859" customHeight="1" spans="2:20">
      <c r="B1859" s="166"/>
      <c r="C1859" s="164">
        <f t="shared" si="194"/>
        <v>30</v>
      </c>
      <c r="D1859" s="158" t="str">
        <f>VLOOKUP(C1859,DMSP!$A$1:$C$39,2,0)</f>
        <v>7.KHÁC</v>
      </c>
      <c r="E1859" s="159" t="str">
        <f>VLOOKUP(C1859,DMSP!$A$1:$C$39,3,0)</f>
        <v>RỬA RONG RÊU</v>
      </c>
      <c r="F1859" s="160">
        <f t="shared" si="190"/>
        <v>0</v>
      </c>
      <c r="G1859" s="176"/>
      <c r="H1859" s="176"/>
      <c r="I1859" s="176"/>
      <c r="J1859" s="176"/>
      <c r="K1859" s="176"/>
      <c r="L1859" s="176"/>
      <c r="M1859" s="176"/>
      <c r="N1859" s="176"/>
      <c r="O1859" s="176"/>
      <c r="P1859" s="176"/>
      <c r="Q1859" s="176"/>
      <c r="R1859" s="176"/>
      <c r="S1859" s="162">
        <f t="shared" si="193"/>
        <v>0</v>
      </c>
      <c r="T1859" s="167"/>
    </row>
    <row r="1860" customHeight="1" spans="2:20">
      <c r="B1860" s="166"/>
      <c r="C1860" s="164">
        <f t="shared" si="194"/>
        <v>31</v>
      </c>
      <c r="D1860" s="158" t="str">
        <f>VLOOKUP(C1860,DMSP!$A$1:$C$39,2,0)</f>
        <v>7.KHÁC</v>
      </c>
      <c r="E1860" s="159" t="str">
        <f>VLOOKUP(C1860,DMSP!$A$1:$C$39,3,0)</f>
        <v>TB BO</v>
      </c>
      <c r="F1860" s="160">
        <f t="shared" si="190"/>
        <v>0</v>
      </c>
      <c r="G1860" s="176"/>
      <c r="H1860" s="176"/>
      <c r="I1860" s="176"/>
      <c r="J1860" s="176"/>
      <c r="K1860" s="176"/>
      <c r="L1860" s="176"/>
      <c r="M1860" s="176"/>
      <c r="N1860" s="176"/>
      <c r="O1860" s="176"/>
      <c r="P1860" s="176"/>
      <c r="Q1860" s="176"/>
      <c r="R1860" s="176"/>
      <c r="S1860" s="162">
        <f t="shared" si="193"/>
        <v>0</v>
      </c>
      <c r="T1860" s="167"/>
    </row>
    <row r="1861" customHeight="1" spans="2:20">
      <c r="B1861" s="166"/>
      <c r="C1861" s="164">
        <f t="shared" si="194"/>
        <v>32</v>
      </c>
      <c r="D1861" s="158" t="str">
        <f>VLOOKUP(C1861,DMSP!$A$1:$C$39,2,0)</f>
        <v>7.KHÁC</v>
      </c>
      <c r="E1861" s="159" t="str">
        <f>VLOOKUP(C1861,DMSP!$A$1:$C$39,3,0)</f>
        <v>TB FRUIT</v>
      </c>
      <c r="F1861" s="160">
        <f t="shared" si="190"/>
        <v>0</v>
      </c>
      <c r="G1861" s="176"/>
      <c r="H1861" s="176"/>
      <c r="I1861" s="176"/>
      <c r="J1861" s="176"/>
      <c r="K1861" s="176"/>
      <c r="L1861" s="176"/>
      <c r="M1861" s="176"/>
      <c r="N1861" s="176"/>
      <c r="O1861" s="176"/>
      <c r="P1861" s="176"/>
      <c r="Q1861" s="176"/>
      <c r="R1861" s="176"/>
      <c r="S1861" s="162">
        <f t="shared" si="193"/>
        <v>0</v>
      </c>
      <c r="T1861" s="167"/>
    </row>
    <row r="1862" customHeight="1" spans="2:20">
      <c r="B1862" s="166"/>
      <c r="C1862" s="164">
        <f t="shared" si="194"/>
        <v>33</v>
      </c>
      <c r="D1862" s="158" t="str">
        <f>VLOOKUP(C1862,DMSP!$A$1:$C$39,2,0)</f>
        <v>7.KHÁC</v>
      </c>
      <c r="E1862" s="159" t="str">
        <f>VLOOKUP(C1862,DMSP!$A$1:$C$39,3,0)</f>
        <v>TB PHOS</v>
      </c>
      <c r="F1862" s="160">
        <f t="shared" si="190"/>
        <v>0</v>
      </c>
      <c r="G1862" s="176"/>
      <c r="H1862" s="176"/>
      <c r="I1862" s="176"/>
      <c r="J1862" s="176"/>
      <c r="K1862" s="176"/>
      <c r="L1862" s="176"/>
      <c r="M1862" s="176"/>
      <c r="N1862" s="176"/>
      <c r="O1862" s="176"/>
      <c r="P1862" s="176"/>
      <c r="Q1862" s="176"/>
      <c r="R1862" s="176"/>
      <c r="S1862" s="162">
        <f t="shared" si="193"/>
        <v>0</v>
      </c>
      <c r="T1862" s="167"/>
    </row>
    <row r="1863" customHeight="1" spans="2:20">
      <c r="B1863" s="166"/>
      <c r="C1863" s="164">
        <f t="shared" si="194"/>
        <v>34</v>
      </c>
      <c r="D1863" s="158" t="str">
        <f>VLOOKUP(C1863,DMSP!$A$1:$C$39,2,0)</f>
        <v>7.KHÁC</v>
      </c>
      <c r="E1863" s="159" t="str">
        <f>VLOOKUP(C1863,DMSP!$A$1:$C$39,3,0)</f>
        <v>TOBA BÁM DÍNH</v>
      </c>
      <c r="F1863" s="160">
        <f t="shared" ref="F1863:F1926" si="195">S1863</f>
        <v>0</v>
      </c>
      <c r="G1863" s="176"/>
      <c r="H1863" s="176"/>
      <c r="I1863" s="176"/>
      <c r="J1863" s="176"/>
      <c r="K1863" s="176"/>
      <c r="L1863" s="176"/>
      <c r="M1863" s="176"/>
      <c r="N1863" s="176"/>
      <c r="O1863" s="176"/>
      <c r="P1863" s="176"/>
      <c r="Q1863" s="176"/>
      <c r="R1863" s="176"/>
      <c r="S1863" s="162">
        <f t="shared" si="193"/>
        <v>0</v>
      </c>
      <c r="T1863" s="167"/>
    </row>
    <row r="1864" customHeight="1" spans="2:20">
      <c r="B1864" s="166"/>
      <c r="C1864" s="164">
        <f t="shared" si="194"/>
        <v>35</v>
      </c>
      <c r="D1864" s="158" t="str">
        <f>VLOOKUP(C1864,DMSP!$A$1:$C$39,2,0)</f>
        <v>7.KHÁC</v>
      </c>
      <c r="E1864" s="159" t="str">
        <f>VLOOKUP(C1864,DMSP!$A$1:$C$39,3,0)</f>
        <v>VỌT HOA NHÃN</v>
      </c>
      <c r="F1864" s="160">
        <f t="shared" si="195"/>
        <v>0</v>
      </c>
      <c r="G1864" s="176"/>
      <c r="H1864" s="176"/>
      <c r="I1864" s="176"/>
      <c r="J1864" s="176"/>
      <c r="K1864" s="176"/>
      <c r="L1864" s="176"/>
      <c r="M1864" s="176"/>
      <c r="N1864" s="176"/>
      <c r="O1864" s="176"/>
      <c r="P1864" s="176"/>
      <c r="Q1864" s="176"/>
      <c r="R1864" s="176"/>
      <c r="S1864" s="162">
        <f t="shared" si="193"/>
        <v>0</v>
      </c>
      <c r="T1864" s="167"/>
    </row>
    <row r="1865" customHeight="1" spans="2:20">
      <c r="B1865" s="166"/>
      <c r="C1865" s="164">
        <f t="shared" si="194"/>
        <v>36</v>
      </c>
      <c r="D1865" s="158" t="str">
        <f>VLOOKUP(C1865,DMSP!$A$1:$C$39,2,0)</f>
        <v>7.KHÁC</v>
      </c>
      <c r="E1865" s="159" t="str">
        <f>VLOOKUP(C1865,DMSP!$A$1:$C$39,3,0)</f>
        <v>VỌT HOA XOÀI</v>
      </c>
      <c r="F1865" s="160">
        <f t="shared" si="195"/>
        <v>0</v>
      </c>
      <c r="G1865" s="176"/>
      <c r="H1865" s="176"/>
      <c r="I1865" s="176"/>
      <c r="J1865" s="176"/>
      <c r="K1865" s="176"/>
      <c r="L1865" s="176"/>
      <c r="M1865" s="176"/>
      <c r="N1865" s="176"/>
      <c r="O1865" s="176"/>
      <c r="P1865" s="176"/>
      <c r="Q1865" s="176"/>
      <c r="R1865" s="176"/>
      <c r="S1865" s="162">
        <f t="shared" si="193"/>
        <v>0</v>
      </c>
      <c r="T1865" s="167"/>
    </row>
    <row r="1866" customHeight="1" spans="2:20">
      <c r="B1866" s="166"/>
      <c r="C1866" s="164">
        <f t="shared" si="194"/>
        <v>37</v>
      </c>
      <c r="D1866" s="158" t="str">
        <f>VLOOKUP(C1866,DMSP!$A$1:$C$39,2,0)</f>
        <v>7.KHÁC</v>
      </c>
      <c r="E1866" s="159" t="str">
        <f>VLOOKUP(C1866,DMSP!$A$1:$C$39,3,0)</f>
        <v>VỌT HOA XOÀI</v>
      </c>
      <c r="F1866" s="160">
        <f t="shared" si="195"/>
        <v>0</v>
      </c>
      <c r="G1866" s="176"/>
      <c r="H1866" s="176"/>
      <c r="I1866" s="176"/>
      <c r="J1866" s="176"/>
      <c r="K1866" s="176"/>
      <c r="L1866" s="176"/>
      <c r="M1866" s="176"/>
      <c r="N1866" s="176"/>
      <c r="O1866" s="176"/>
      <c r="P1866" s="176"/>
      <c r="Q1866" s="176"/>
      <c r="R1866" s="176"/>
      <c r="S1866" s="162">
        <f t="shared" si="193"/>
        <v>0</v>
      </c>
      <c r="T1866" s="167"/>
    </row>
    <row r="1867" customHeight="1" spans="2:20">
      <c r="B1867" s="92"/>
      <c r="C1867" s="170">
        <f t="shared" ref="C1867" si="196">B1830</f>
        <v>0</v>
      </c>
      <c r="D1867" s="171"/>
      <c r="E1867" s="172" t="str">
        <f>"TOTAL "&amp;B1830</f>
        <v>TOTAL </v>
      </c>
      <c r="F1867" s="173">
        <f t="shared" si="195"/>
        <v>0</v>
      </c>
      <c r="G1867" s="174">
        <f>SUM(G1830:G1866)</f>
        <v>0</v>
      </c>
      <c r="H1867" s="174">
        <f t="shared" ref="H1867:R1867" si="197">SUM(H1830:H1866)</f>
        <v>0</v>
      </c>
      <c r="I1867" s="174">
        <f t="shared" si="197"/>
        <v>0</v>
      </c>
      <c r="J1867" s="174">
        <f t="shared" si="197"/>
        <v>0</v>
      </c>
      <c r="K1867" s="174">
        <f t="shared" si="197"/>
        <v>0</v>
      </c>
      <c r="L1867" s="174">
        <f t="shared" si="197"/>
        <v>0</v>
      </c>
      <c r="M1867" s="174">
        <f t="shared" si="197"/>
        <v>0</v>
      </c>
      <c r="N1867" s="174">
        <f t="shared" si="197"/>
        <v>0</v>
      </c>
      <c r="O1867" s="174">
        <f t="shared" si="197"/>
        <v>0</v>
      </c>
      <c r="P1867" s="174">
        <f t="shared" si="197"/>
        <v>0</v>
      </c>
      <c r="Q1867" s="174">
        <f t="shared" si="197"/>
        <v>0</v>
      </c>
      <c r="R1867" s="174">
        <f t="shared" si="197"/>
        <v>0</v>
      </c>
      <c r="S1867" s="174">
        <f t="shared" si="193"/>
        <v>0</v>
      </c>
      <c r="T1867" s="175"/>
    </row>
    <row r="1868" customHeight="1" spans="2:20">
      <c r="B1868" s="156"/>
      <c r="C1868" s="157">
        <v>1</v>
      </c>
      <c r="D1868" s="158" t="str">
        <f>VLOOKUP(C1868,DMSP!$A$1:$C$39,2,0)</f>
        <v>1.TOBA XANH</v>
      </c>
      <c r="E1868" s="159" t="str">
        <f>VLOOKUP(C1868,DMSP!$A$1:$C$39,3,0)</f>
        <v>TOBA XANH</v>
      </c>
      <c r="F1868" s="160">
        <f t="shared" si="195"/>
        <v>0</v>
      </c>
      <c r="G1868" s="176"/>
      <c r="H1868" s="176"/>
      <c r="I1868" s="176"/>
      <c r="J1868" s="176"/>
      <c r="K1868" s="176"/>
      <c r="L1868" s="176"/>
      <c r="M1868" s="176"/>
      <c r="N1868" s="176"/>
      <c r="O1868" s="176"/>
      <c r="P1868" s="176"/>
      <c r="Q1868" s="176"/>
      <c r="R1868" s="176"/>
      <c r="S1868" s="162">
        <f t="shared" si="193"/>
        <v>0</v>
      </c>
      <c r="T1868" s="163">
        <f>S1905</f>
        <v>0</v>
      </c>
    </row>
    <row r="1869" customHeight="1" spans="2:20">
      <c r="B1869" s="166"/>
      <c r="C1869" s="164">
        <f t="shared" ref="C1869:C1904" si="198">C1868+1</f>
        <v>2</v>
      </c>
      <c r="D1869" s="158" t="str">
        <f>VLOOKUP(C1869,DMSP!$A$1:$C$39,2,0)</f>
        <v>2.HC</v>
      </c>
      <c r="E1869" s="159" t="str">
        <f>VLOOKUP(C1869,DMSP!$A$1:$C$39,3,0)</f>
        <v>HC BOOSTER</v>
      </c>
      <c r="F1869" s="160">
        <f t="shared" si="195"/>
        <v>0</v>
      </c>
      <c r="G1869" s="176"/>
      <c r="H1869" s="176"/>
      <c r="I1869" s="176"/>
      <c r="J1869" s="176"/>
      <c r="K1869" s="176"/>
      <c r="L1869" s="176"/>
      <c r="M1869" s="176"/>
      <c r="N1869" s="176"/>
      <c r="O1869" s="176"/>
      <c r="P1869" s="176"/>
      <c r="Q1869" s="176"/>
      <c r="R1869" s="176"/>
      <c r="S1869" s="162">
        <f t="shared" ref="S1869:S1906" si="199">SUM(G1869:R1869)</f>
        <v>0</v>
      </c>
      <c r="T1869" s="167"/>
    </row>
    <row r="1870" customHeight="1" spans="2:20">
      <c r="B1870" s="166"/>
      <c r="C1870" s="164">
        <f t="shared" si="198"/>
        <v>3</v>
      </c>
      <c r="D1870" s="158" t="str">
        <f>VLOOKUP(C1870,DMSP!$A$1:$C$39,2,0)</f>
        <v>2.HC</v>
      </c>
      <c r="E1870" s="159" t="str">
        <f>VLOOKUP(C1870,DMSP!$A$1:$C$39,3,0)</f>
        <v>HC KING-ROOT</v>
      </c>
      <c r="F1870" s="160">
        <f t="shared" si="195"/>
        <v>0</v>
      </c>
      <c r="G1870" s="176"/>
      <c r="H1870" s="176"/>
      <c r="I1870" s="176"/>
      <c r="J1870" s="176"/>
      <c r="K1870" s="176"/>
      <c r="L1870" s="176"/>
      <c r="M1870" s="176"/>
      <c r="N1870" s="176"/>
      <c r="O1870" s="176"/>
      <c r="P1870" s="176"/>
      <c r="Q1870" s="176"/>
      <c r="R1870" s="176"/>
      <c r="S1870" s="162">
        <f t="shared" si="199"/>
        <v>0</v>
      </c>
      <c r="T1870" s="167"/>
    </row>
    <row r="1871" customHeight="1" spans="2:20">
      <c r="B1871" s="166"/>
      <c r="C1871" s="164">
        <f t="shared" si="198"/>
        <v>4</v>
      </c>
      <c r="D1871" s="158" t="str">
        <f>VLOOKUP(C1871,DMSP!$A$1:$C$39,2,0)</f>
        <v>2.HC</v>
      </c>
      <c r="E1871" s="159" t="str">
        <f>VLOOKUP(C1871,DMSP!$A$1:$C$39,3,0)</f>
        <v>HAPPY FARM</v>
      </c>
      <c r="F1871" s="160">
        <f t="shared" si="195"/>
        <v>0</v>
      </c>
      <c r="G1871" s="176"/>
      <c r="H1871" s="176"/>
      <c r="I1871" s="176"/>
      <c r="J1871" s="176"/>
      <c r="K1871" s="176"/>
      <c r="L1871" s="176"/>
      <c r="M1871" s="176"/>
      <c r="N1871" s="176"/>
      <c r="O1871" s="176"/>
      <c r="P1871" s="176"/>
      <c r="Q1871" s="176"/>
      <c r="R1871" s="176"/>
      <c r="S1871" s="162">
        <f t="shared" si="199"/>
        <v>0</v>
      </c>
      <c r="T1871" s="167"/>
    </row>
    <row r="1872" customHeight="1" spans="2:20">
      <c r="B1872" s="166"/>
      <c r="C1872" s="164">
        <f t="shared" si="198"/>
        <v>5</v>
      </c>
      <c r="D1872" s="158" t="str">
        <f>VLOOKUP(C1872,DMSP!$A$1:$C$39,2,0)</f>
        <v>2.HC</v>
      </c>
      <c r="E1872" s="159" t="str">
        <f>VLOOKUP(C1872,DMSP!$A$1:$C$39,3,0)</f>
        <v>WOW</v>
      </c>
      <c r="F1872" s="160">
        <f t="shared" si="195"/>
        <v>0</v>
      </c>
      <c r="G1872" s="176"/>
      <c r="H1872" s="176"/>
      <c r="I1872" s="176"/>
      <c r="J1872" s="176"/>
      <c r="K1872" s="176"/>
      <c r="L1872" s="176"/>
      <c r="M1872" s="176"/>
      <c r="N1872" s="176"/>
      <c r="O1872" s="176"/>
      <c r="P1872" s="176"/>
      <c r="Q1872" s="176"/>
      <c r="R1872" s="176"/>
      <c r="S1872" s="162">
        <f t="shared" si="199"/>
        <v>0</v>
      </c>
      <c r="T1872" s="167"/>
    </row>
    <row r="1873" customHeight="1" spans="2:20">
      <c r="B1873" s="166"/>
      <c r="C1873" s="164">
        <f t="shared" si="198"/>
        <v>6</v>
      </c>
      <c r="D1873" s="158" t="str">
        <f>VLOOKUP(C1873,DMSP!$A$1:$C$39,2,0)</f>
        <v>3.SPRAY </v>
      </c>
      <c r="E1873" s="159" t="str">
        <f>VLOOKUP(C1873,DMSP!$A$1:$C$39,3,0)</f>
        <v>KELPIT</v>
      </c>
      <c r="F1873" s="160">
        <f t="shared" si="195"/>
        <v>0</v>
      </c>
      <c r="G1873" s="176"/>
      <c r="H1873" s="176"/>
      <c r="I1873" s="176"/>
      <c r="J1873" s="176"/>
      <c r="K1873" s="176"/>
      <c r="L1873" s="176"/>
      <c r="M1873" s="176"/>
      <c r="N1873" s="176"/>
      <c r="O1873" s="176"/>
      <c r="P1873" s="176"/>
      <c r="Q1873" s="176"/>
      <c r="R1873" s="176"/>
      <c r="S1873" s="162">
        <f t="shared" si="199"/>
        <v>0</v>
      </c>
      <c r="T1873" s="167"/>
    </row>
    <row r="1874" customHeight="1" spans="2:20">
      <c r="B1874" s="166"/>
      <c r="C1874" s="164">
        <f t="shared" si="198"/>
        <v>7</v>
      </c>
      <c r="D1874" s="158" t="str">
        <f>VLOOKUP(C1874,DMSP!$A$1:$C$39,2,0)</f>
        <v>3.SPRAY </v>
      </c>
      <c r="E1874" s="159" t="str">
        <f>VLOOKUP(C1874,DMSP!$A$1:$C$39,3,0)</f>
        <v>SI-K</v>
      </c>
      <c r="F1874" s="160">
        <f t="shared" si="195"/>
        <v>0</v>
      </c>
      <c r="G1874" s="176"/>
      <c r="H1874" s="176"/>
      <c r="I1874" s="176"/>
      <c r="J1874" s="176"/>
      <c r="K1874" s="176"/>
      <c r="L1874" s="176"/>
      <c r="M1874" s="176"/>
      <c r="N1874" s="176"/>
      <c r="O1874" s="176"/>
      <c r="P1874" s="176"/>
      <c r="Q1874" s="176"/>
      <c r="R1874" s="176"/>
      <c r="S1874" s="162">
        <f t="shared" si="199"/>
        <v>0</v>
      </c>
      <c r="T1874" s="167"/>
    </row>
    <row r="1875" customHeight="1" spans="2:20">
      <c r="B1875" s="166"/>
      <c r="C1875" s="164">
        <f t="shared" si="198"/>
        <v>8</v>
      </c>
      <c r="D1875" s="158" t="str">
        <f>VLOOKUP(C1875,DMSP!$A$1:$C$39,2,0)</f>
        <v>3.SPRAY </v>
      </c>
      <c r="E1875" s="159" t="str">
        <f>VLOOKUP(C1875,DMSP!$A$1:$C$39,3,0)</f>
        <v>SPRAY PHOS 620</v>
      </c>
      <c r="F1875" s="160">
        <f t="shared" si="195"/>
        <v>0</v>
      </c>
      <c r="G1875" s="176"/>
      <c r="H1875" s="176"/>
      <c r="I1875" s="176"/>
      <c r="J1875" s="176"/>
      <c r="K1875" s="176"/>
      <c r="L1875" s="176"/>
      <c r="M1875" s="176"/>
      <c r="N1875" s="176"/>
      <c r="O1875" s="176"/>
      <c r="P1875" s="176"/>
      <c r="Q1875" s="176"/>
      <c r="R1875" s="176"/>
      <c r="S1875" s="162">
        <f t="shared" si="199"/>
        <v>0</v>
      </c>
      <c r="T1875" s="167"/>
    </row>
    <row r="1876" customHeight="1" spans="2:20">
      <c r="B1876" s="166"/>
      <c r="C1876" s="164">
        <f t="shared" si="198"/>
        <v>9</v>
      </c>
      <c r="D1876" s="158" t="str">
        <f>VLOOKUP(C1876,DMSP!$A$1:$C$39,2,0)</f>
        <v>4.DƯỠNG RỄ</v>
      </c>
      <c r="E1876" s="159" t="str">
        <f>VLOOKUP(C1876,DMSP!$A$1:$C$39,3,0)</f>
        <v>CHITOSAN</v>
      </c>
      <c r="F1876" s="160">
        <f t="shared" si="195"/>
        <v>0</v>
      </c>
      <c r="G1876" s="176"/>
      <c r="H1876" s="176"/>
      <c r="I1876" s="176"/>
      <c r="J1876" s="176"/>
      <c r="K1876" s="176"/>
      <c r="L1876" s="176"/>
      <c r="M1876" s="176"/>
      <c r="N1876" s="176"/>
      <c r="O1876" s="176"/>
      <c r="P1876" s="176"/>
      <c r="Q1876" s="176"/>
      <c r="R1876" s="176"/>
      <c r="S1876" s="162">
        <f t="shared" si="199"/>
        <v>0</v>
      </c>
      <c r="T1876" s="167"/>
    </row>
    <row r="1877" customHeight="1" spans="2:20">
      <c r="B1877" s="166"/>
      <c r="C1877" s="164">
        <f t="shared" si="198"/>
        <v>10</v>
      </c>
      <c r="D1877" s="158" t="str">
        <f>VLOOKUP(C1877,DMSP!$A$1:$C$39,2,0)</f>
        <v>4.DƯỠNG RỄ</v>
      </c>
      <c r="E1877" s="159" t="str">
        <f>VLOOKUP(C1877,DMSP!$A$1:$C$39,3,0)</f>
        <v>ĐẠM CÁ</v>
      </c>
      <c r="F1877" s="160">
        <f t="shared" si="195"/>
        <v>0</v>
      </c>
      <c r="G1877" s="176"/>
      <c r="H1877" s="176"/>
      <c r="I1877" s="176"/>
      <c r="J1877" s="176"/>
      <c r="K1877" s="176"/>
      <c r="L1877" s="176"/>
      <c r="M1877" s="176"/>
      <c r="N1877" s="176"/>
      <c r="O1877" s="176"/>
      <c r="P1877" s="176"/>
      <c r="Q1877" s="176"/>
      <c r="R1877" s="176"/>
      <c r="S1877" s="162">
        <f t="shared" si="199"/>
        <v>0</v>
      </c>
      <c r="T1877" s="167"/>
    </row>
    <row r="1878" customHeight="1" spans="2:20">
      <c r="B1878" s="166"/>
      <c r="C1878" s="164">
        <f t="shared" si="198"/>
        <v>11</v>
      </c>
      <c r="D1878" s="158" t="str">
        <f>VLOOKUP(C1878,DMSP!$A$1:$C$39,2,0)</f>
        <v>4.DƯỠNG RỄ</v>
      </c>
      <c r="E1878" s="159" t="str">
        <f>VLOOKUP(C1878,DMSP!$A$1:$C$39,3,0)</f>
        <v>ĐẠM TÔM</v>
      </c>
      <c r="F1878" s="160">
        <f t="shared" si="195"/>
        <v>0</v>
      </c>
      <c r="G1878" s="176"/>
      <c r="H1878" s="176"/>
      <c r="I1878" s="176"/>
      <c r="J1878" s="176"/>
      <c r="K1878" s="176"/>
      <c r="L1878" s="176"/>
      <c r="M1878" s="176"/>
      <c r="N1878" s="176"/>
      <c r="O1878" s="176"/>
      <c r="P1878" s="176"/>
      <c r="Q1878" s="176"/>
      <c r="R1878" s="176"/>
      <c r="S1878" s="162">
        <f t="shared" si="199"/>
        <v>0</v>
      </c>
      <c r="T1878" s="167"/>
    </row>
    <row r="1879" customHeight="1" spans="2:20">
      <c r="B1879" s="166"/>
      <c r="C1879" s="164">
        <f t="shared" si="198"/>
        <v>12</v>
      </c>
      <c r="D1879" s="158" t="str">
        <f>VLOOKUP(C1879,DMSP!$A$1:$C$39,2,0)</f>
        <v>4.DƯỠNG RỄ</v>
      </c>
      <c r="E1879" s="159" t="str">
        <f>VLOOKUP(C1879,DMSP!$A$1:$C$39,3,0)</f>
        <v>SUPERMIC</v>
      </c>
      <c r="F1879" s="160">
        <f t="shared" si="195"/>
        <v>0</v>
      </c>
      <c r="G1879" s="176"/>
      <c r="H1879" s="176"/>
      <c r="I1879" s="176"/>
      <c r="J1879" s="176"/>
      <c r="K1879" s="176"/>
      <c r="L1879" s="176"/>
      <c r="M1879" s="176"/>
      <c r="N1879" s="176"/>
      <c r="O1879" s="176"/>
      <c r="P1879" s="176"/>
      <c r="Q1879" s="176"/>
      <c r="R1879" s="176"/>
      <c r="S1879" s="162">
        <f t="shared" si="199"/>
        <v>0</v>
      </c>
      <c r="T1879" s="167"/>
    </row>
    <row r="1880" customHeight="1" spans="2:20">
      <c r="B1880" s="166"/>
      <c r="C1880" s="164">
        <f t="shared" si="198"/>
        <v>13</v>
      </c>
      <c r="D1880" s="158" t="str">
        <f>VLOOKUP(C1880,DMSP!$A$1:$C$39,2,0)</f>
        <v>5.TRUYỀN THỐNG</v>
      </c>
      <c r="E1880" s="159" t="str">
        <f>VLOOKUP(C1880,DMSP!$A$1:$C$39,3,0)</f>
        <v>CABO</v>
      </c>
      <c r="F1880" s="160">
        <f t="shared" si="195"/>
        <v>0</v>
      </c>
      <c r="G1880" s="176"/>
      <c r="H1880" s="176"/>
      <c r="I1880" s="176"/>
      <c r="J1880" s="176"/>
      <c r="K1880" s="176"/>
      <c r="L1880" s="176"/>
      <c r="M1880" s="176"/>
      <c r="N1880" s="176"/>
      <c r="O1880" s="176"/>
      <c r="P1880" s="176"/>
      <c r="Q1880" s="176"/>
      <c r="R1880" s="176"/>
      <c r="S1880" s="162">
        <f t="shared" si="199"/>
        <v>0</v>
      </c>
      <c r="T1880" s="167"/>
    </row>
    <row r="1881" customHeight="1" spans="2:20">
      <c r="B1881" s="166"/>
      <c r="C1881" s="164">
        <f t="shared" si="198"/>
        <v>14</v>
      </c>
      <c r="D1881" s="158" t="str">
        <f>VLOOKUP(C1881,DMSP!$A$1:$C$39,2,0)</f>
        <v>5.TRUYỀN THỐNG</v>
      </c>
      <c r="E1881" s="159" t="str">
        <f>VLOOKUP(C1881,DMSP!$A$1:$C$39,3,0)</f>
        <v>F94</v>
      </c>
      <c r="F1881" s="160">
        <f t="shared" si="195"/>
        <v>0</v>
      </c>
      <c r="G1881" s="176"/>
      <c r="H1881" s="176"/>
      <c r="I1881" s="176"/>
      <c r="J1881" s="176"/>
      <c r="K1881" s="176"/>
      <c r="L1881" s="176"/>
      <c r="M1881" s="176"/>
      <c r="N1881" s="176"/>
      <c r="O1881" s="176"/>
      <c r="P1881" s="176"/>
      <c r="Q1881" s="176"/>
      <c r="R1881" s="176"/>
      <c r="S1881" s="162">
        <f t="shared" si="199"/>
        <v>0</v>
      </c>
      <c r="T1881" s="167"/>
    </row>
    <row r="1882" customHeight="1" spans="2:20">
      <c r="B1882" s="166"/>
      <c r="C1882" s="164">
        <f t="shared" si="198"/>
        <v>15</v>
      </c>
      <c r="D1882" s="158" t="str">
        <f>VLOOKUP(C1882,DMSP!$A$1:$C$39,2,0)</f>
        <v>5.TRUYỀN THỐNG</v>
      </c>
      <c r="E1882" s="159" t="str">
        <f>VLOOKUP(C1882,DMSP!$A$1:$C$39,3,0)</f>
        <v>F95</v>
      </c>
      <c r="F1882" s="160">
        <f t="shared" si="195"/>
        <v>0</v>
      </c>
      <c r="G1882" s="176"/>
      <c r="H1882" s="176"/>
      <c r="I1882" s="176"/>
      <c r="J1882" s="176"/>
      <c r="K1882" s="176"/>
      <c r="L1882" s="176"/>
      <c r="M1882" s="176"/>
      <c r="N1882" s="176"/>
      <c r="O1882" s="176"/>
      <c r="P1882" s="176"/>
      <c r="Q1882" s="176"/>
      <c r="R1882" s="176"/>
      <c r="S1882" s="162">
        <f t="shared" si="199"/>
        <v>0</v>
      </c>
      <c r="T1882" s="167"/>
    </row>
    <row r="1883" customHeight="1" spans="2:20">
      <c r="B1883" s="166"/>
      <c r="C1883" s="164">
        <f t="shared" si="198"/>
        <v>16</v>
      </c>
      <c r="D1883" s="158" t="str">
        <f>VLOOKUP(C1883,DMSP!$A$1:$C$39,2,0)</f>
        <v>5.TRUYỀN THỐNG</v>
      </c>
      <c r="E1883" s="159" t="str">
        <f>VLOOKUP(C1883,DMSP!$A$1:$C$39,3,0)</f>
        <v>THIOURE</v>
      </c>
      <c r="F1883" s="160">
        <f t="shared" si="195"/>
        <v>0</v>
      </c>
      <c r="G1883" s="176"/>
      <c r="H1883" s="176"/>
      <c r="I1883" s="176"/>
      <c r="J1883" s="176"/>
      <c r="K1883" s="176"/>
      <c r="L1883" s="176"/>
      <c r="M1883" s="176"/>
      <c r="N1883" s="176"/>
      <c r="O1883" s="176"/>
      <c r="P1883" s="176"/>
      <c r="Q1883" s="176"/>
      <c r="R1883" s="176"/>
      <c r="S1883" s="162">
        <f t="shared" si="199"/>
        <v>0</v>
      </c>
      <c r="T1883" s="167"/>
    </row>
    <row r="1884" customHeight="1" spans="2:20">
      <c r="B1884" s="166"/>
      <c r="C1884" s="164">
        <f t="shared" si="198"/>
        <v>17</v>
      </c>
      <c r="D1884" s="158" t="str">
        <f>VLOOKUP(C1884,DMSP!$A$1:$C$39,2,0)</f>
        <v>5.TRUYỀN THỐNG</v>
      </c>
      <c r="E1884" s="159" t="str">
        <f>VLOOKUP(C1884,DMSP!$A$1:$C$39,3,0)</f>
        <v>TOBA JUM</v>
      </c>
      <c r="F1884" s="160">
        <f t="shared" si="195"/>
        <v>0</v>
      </c>
      <c r="G1884" s="176"/>
      <c r="H1884" s="176"/>
      <c r="I1884" s="176"/>
      <c r="J1884" s="176"/>
      <c r="K1884" s="176"/>
      <c r="L1884" s="176"/>
      <c r="M1884" s="176"/>
      <c r="N1884" s="176"/>
      <c r="O1884" s="176"/>
      <c r="P1884" s="176"/>
      <c r="Q1884" s="176"/>
      <c r="R1884" s="176"/>
      <c r="S1884" s="162">
        <f t="shared" si="199"/>
        <v>0</v>
      </c>
      <c r="T1884" s="167"/>
    </row>
    <row r="1885" customHeight="1" spans="2:20">
      <c r="B1885" s="166"/>
      <c r="C1885" s="164">
        <f t="shared" si="198"/>
        <v>18</v>
      </c>
      <c r="D1885" s="158" t="str">
        <f>VLOOKUP(C1885,DMSP!$A$1:$C$39,2,0)</f>
        <v>5.TRUYỀN THỐNG</v>
      </c>
      <c r="E1885" s="159" t="str">
        <f>VLOOKUP(C1885,DMSP!$A$1:$C$39,3,0)</f>
        <v>TOBA NET</v>
      </c>
      <c r="F1885" s="160">
        <f t="shared" si="195"/>
        <v>0</v>
      </c>
      <c r="G1885" s="176"/>
      <c r="H1885" s="176"/>
      <c r="I1885" s="176"/>
      <c r="J1885" s="176"/>
      <c r="K1885" s="176"/>
      <c r="L1885" s="176"/>
      <c r="M1885" s="176"/>
      <c r="N1885" s="176"/>
      <c r="O1885" s="176"/>
      <c r="P1885" s="176"/>
      <c r="Q1885" s="176"/>
      <c r="R1885" s="176"/>
      <c r="S1885" s="162">
        <f t="shared" si="199"/>
        <v>0</v>
      </c>
      <c r="T1885" s="167"/>
    </row>
    <row r="1886" customHeight="1" spans="2:20">
      <c r="B1886" s="166"/>
      <c r="C1886" s="164">
        <f t="shared" si="198"/>
        <v>19</v>
      </c>
      <c r="D1886" s="158" t="str">
        <f>VLOOKUP(C1886,DMSP!$A$1:$C$39,2,0)</f>
        <v>6.BVTV</v>
      </c>
      <c r="E1886" s="159" t="str">
        <f>VLOOKUP(C1886,DMSP!$A$1:$C$39,3,0)</f>
        <v>ABAFAX 1.8</v>
      </c>
      <c r="F1886" s="160">
        <f t="shared" si="195"/>
        <v>0</v>
      </c>
      <c r="G1886" s="176"/>
      <c r="H1886" s="176"/>
      <c r="I1886" s="176"/>
      <c r="J1886" s="176"/>
      <c r="K1886" s="176"/>
      <c r="L1886" s="176"/>
      <c r="M1886" s="176"/>
      <c r="N1886" s="176"/>
      <c r="O1886" s="176"/>
      <c r="P1886" s="176"/>
      <c r="Q1886" s="176"/>
      <c r="R1886" s="176"/>
      <c r="S1886" s="162">
        <f t="shared" si="199"/>
        <v>0</v>
      </c>
      <c r="T1886" s="167"/>
    </row>
    <row r="1887" customHeight="1" spans="2:20">
      <c r="B1887" s="166"/>
      <c r="C1887" s="164">
        <f t="shared" si="198"/>
        <v>20</v>
      </c>
      <c r="D1887" s="158" t="str">
        <f>VLOOKUP(C1887,DMSP!$A$1:$C$39,2,0)</f>
        <v>6.BVTV</v>
      </c>
      <c r="E1887" s="159" t="str">
        <f>VLOOKUP(C1887,DMSP!$A$1:$C$39,3,0)</f>
        <v>ABAFAX 3.6</v>
      </c>
      <c r="F1887" s="160">
        <f t="shared" si="195"/>
        <v>0</v>
      </c>
      <c r="G1887" s="176"/>
      <c r="H1887" s="176"/>
      <c r="I1887" s="176"/>
      <c r="J1887" s="176"/>
      <c r="K1887" s="176"/>
      <c r="L1887" s="176"/>
      <c r="M1887" s="176"/>
      <c r="N1887" s="176"/>
      <c r="O1887" s="176"/>
      <c r="P1887" s="176"/>
      <c r="Q1887" s="176"/>
      <c r="R1887" s="176"/>
      <c r="S1887" s="162">
        <f t="shared" si="199"/>
        <v>0</v>
      </c>
      <c r="T1887" s="167"/>
    </row>
    <row r="1888" customHeight="1" spans="2:20">
      <c r="B1888" s="166"/>
      <c r="C1888" s="164">
        <f t="shared" si="198"/>
        <v>21</v>
      </c>
      <c r="D1888" s="158" t="str">
        <f>VLOOKUP(C1888,DMSP!$A$1:$C$39,2,0)</f>
        <v>6.BVTV</v>
      </c>
      <c r="E1888" s="159" t="str">
        <f>VLOOKUP(C1888,DMSP!$A$1:$C$39,3,0)</f>
        <v>AZET</v>
      </c>
      <c r="F1888" s="160">
        <f t="shared" si="195"/>
        <v>0</v>
      </c>
      <c r="G1888" s="176"/>
      <c r="H1888" s="176"/>
      <c r="I1888" s="176"/>
      <c r="J1888" s="176"/>
      <c r="K1888" s="176"/>
      <c r="L1888" s="176"/>
      <c r="M1888" s="176"/>
      <c r="N1888" s="176"/>
      <c r="O1888" s="176"/>
      <c r="P1888" s="176"/>
      <c r="Q1888" s="176"/>
      <c r="R1888" s="176"/>
      <c r="S1888" s="162">
        <f t="shared" si="199"/>
        <v>0</v>
      </c>
      <c r="T1888" s="167"/>
    </row>
    <row r="1889" customHeight="1" spans="2:20">
      <c r="B1889" s="166"/>
      <c r="C1889" s="164">
        <f t="shared" si="198"/>
        <v>22</v>
      </c>
      <c r="D1889" s="158" t="str">
        <f>VLOOKUP(C1889,DMSP!$A$1:$C$39,2,0)</f>
        <v>6.BVTV</v>
      </c>
      <c r="E1889" s="159" t="str">
        <f>VLOOKUP(C1889,DMSP!$A$1:$C$39,3,0)</f>
        <v>BACBA</v>
      </c>
      <c r="F1889" s="160">
        <f t="shared" si="195"/>
        <v>0</v>
      </c>
      <c r="G1889" s="176"/>
      <c r="H1889" s="176"/>
      <c r="I1889" s="176"/>
      <c r="J1889" s="176"/>
      <c r="K1889" s="176"/>
      <c r="L1889" s="176"/>
      <c r="M1889" s="176"/>
      <c r="N1889" s="176"/>
      <c r="O1889" s="176"/>
      <c r="P1889" s="176"/>
      <c r="Q1889" s="176"/>
      <c r="R1889" s="176"/>
      <c r="S1889" s="162">
        <f t="shared" si="199"/>
        <v>0</v>
      </c>
      <c r="T1889" s="167"/>
    </row>
    <row r="1890" customHeight="1" spans="2:20">
      <c r="B1890" s="166"/>
      <c r="C1890" s="164">
        <f t="shared" si="198"/>
        <v>23</v>
      </c>
      <c r="D1890" s="158" t="str">
        <f>VLOOKUP(C1890,DMSP!$A$1:$C$39,2,0)</f>
        <v>6.BVTV</v>
      </c>
      <c r="E1890" s="159" t="str">
        <f>VLOOKUP(C1890,DMSP!$A$1:$C$39,3,0)</f>
        <v>BIOROSAMIL</v>
      </c>
      <c r="F1890" s="160">
        <f t="shared" si="195"/>
        <v>0</v>
      </c>
      <c r="G1890" s="176"/>
      <c r="H1890" s="176"/>
      <c r="I1890" s="176"/>
      <c r="J1890" s="176"/>
      <c r="K1890" s="176"/>
      <c r="L1890" s="176"/>
      <c r="M1890" s="176"/>
      <c r="N1890" s="176"/>
      <c r="O1890" s="176"/>
      <c r="P1890" s="176"/>
      <c r="Q1890" s="176"/>
      <c r="R1890" s="176"/>
      <c r="S1890" s="162">
        <f t="shared" si="199"/>
        <v>0</v>
      </c>
      <c r="T1890" s="167"/>
    </row>
    <row r="1891" customHeight="1" spans="2:20">
      <c r="B1891" s="166"/>
      <c r="C1891" s="164">
        <f t="shared" si="198"/>
        <v>24</v>
      </c>
      <c r="D1891" s="158" t="str">
        <f>VLOOKUP(C1891,DMSP!$A$1:$C$39,2,0)</f>
        <v>6.BVTV</v>
      </c>
      <c r="E1891" s="159" t="str">
        <f>VLOOKUP(C1891,DMSP!$A$1:$C$39,3,0)</f>
        <v>COC 86</v>
      </c>
      <c r="F1891" s="160">
        <f t="shared" si="195"/>
        <v>0</v>
      </c>
      <c r="G1891" s="176"/>
      <c r="H1891" s="176"/>
      <c r="I1891" s="176"/>
      <c r="J1891" s="176"/>
      <c r="K1891" s="176"/>
      <c r="L1891" s="176"/>
      <c r="M1891" s="176"/>
      <c r="N1891" s="176"/>
      <c r="O1891" s="176"/>
      <c r="P1891" s="176"/>
      <c r="Q1891" s="176"/>
      <c r="R1891" s="176"/>
      <c r="S1891" s="162">
        <f t="shared" si="199"/>
        <v>0</v>
      </c>
      <c r="T1891" s="167"/>
    </row>
    <row r="1892" customHeight="1" spans="2:20">
      <c r="B1892" s="166"/>
      <c r="C1892" s="164">
        <f t="shared" si="198"/>
        <v>25</v>
      </c>
      <c r="D1892" s="158" t="str">
        <f>VLOOKUP(C1892,DMSP!$A$1:$C$39,2,0)</f>
        <v>6.BVTV</v>
      </c>
      <c r="E1892" s="159" t="str">
        <f>VLOOKUP(C1892,DMSP!$A$1:$C$39,3,0)</f>
        <v>HEXA 5</v>
      </c>
      <c r="F1892" s="160">
        <f t="shared" si="195"/>
        <v>0</v>
      </c>
      <c r="G1892" s="176"/>
      <c r="H1892" s="176"/>
      <c r="I1892" s="176"/>
      <c r="J1892" s="176"/>
      <c r="K1892" s="176"/>
      <c r="L1892" s="176"/>
      <c r="M1892" s="176"/>
      <c r="N1892" s="176"/>
      <c r="O1892" s="176"/>
      <c r="P1892" s="176"/>
      <c r="Q1892" s="176"/>
      <c r="R1892" s="176"/>
      <c r="S1892" s="162">
        <f t="shared" si="199"/>
        <v>0</v>
      </c>
      <c r="T1892" s="167"/>
    </row>
    <row r="1893" customHeight="1" spans="2:20">
      <c r="B1893" s="166"/>
      <c r="C1893" s="164">
        <f t="shared" si="198"/>
        <v>26</v>
      </c>
      <c r="D1893" s="158" t="str">
        <f>VLOOKUP(C1893,DMSP!$A$1:$C$39,2,0)</f>
        <v>6.BVTV</v>
      </c>
      <c r="E1893" s="159" t="str">
        <f>VLOOKUP(C1893,DMSP!$A$1:$C$39,3,0)</f>
        <v>TAMALA</v>
      </c>
      <c r="F1893" s="160">
        <f t="shared" si="195"/>
        <v>0</v>
      </c>
      <c r="G1893" s="176"/>
      <c r="H1893" s="176"/>
      <c r="I1893" s="176"/>
      <c r="J1893" s="176"/>
      <c r="K1893" s="176"/>
      <c r="L1893" s="176"/>
      <c r="M1893" s="176"/>
      <c r="N1893" s="176"/>
      <c r="O1893" s="176"/>
      <c r="P1893" s="176"/>
      <c r="Q1893" s="176"/>
      <c r="R1893" s="176"/>
      <c r="S1893" s="162">
        <f t="shared" si="199"/>
        <v>0</v>
      </c>
      <c r="T1893" s="167"/>
    </row>
    <row r="1894" customHeight="1" spans="2:20">
      <c r="B1894" s="166"/>
      <c r="C1894" s="164">
        <f t="shared" si="198"/>
        <v>27</v>
      </c>
      <c r="D1894" s="158" t="str">
        <f>VLOOKUP(C1894,DMSP!$A$1:$C$39,2,0)</f>
        <v>7.KHÁC</v>
      </c>
      <c r="E1894" s="159" t="str">
        <f>VLOOKUP(C1894,DMSP!$A$1:$C$39,3,0)</f>
        <v>KẼM VÀNG</v>
      </c>
      <c r="F1894" s="160">
        <f t="shared" si="195"/>
        <v>0</v>
      </c>
      <c r="G1894" s="176"/>
      <c r="H1894" s="176"/>
      <c r="I1894" s="176"/>
      <c r="J1894" s="176"/>
      <c r="K1894" s="176"/>
      <c r="L1894" s="176"/>
      <c r="M1894" s="176"/>
      <c r="N1894" s="176"/>
      <c r="O1894" s="176"/>
      <c r="P1894" s="176"/>
      <c r="Q1894" s="176"/>
      <c r="R1894" s="176"/>
      <c r="S1894" s="162">
        <f t="shared" si="199"/>
        <v>0</v>
      </c>
      <c r="T1894" s="167"/>
    </row>
    <row r="1895" customHeight="1" spans="2:20">
      <c r="B1895" s="166"/>
      <c r="C1895" s="164">
        <f t="shared" si="198"/>
        <v>28</v>
      </c>
      <c r="D1895" s="158" t="str">
        <f>VLOOKUP(C1895,DMSP!$A$1:$C$39,2,0)</f>
        <v>7.KHÁC</v>
      </c>
      <c r="E1895" s="159" t="str">
        <f>VLOOKUP(C1895,DMSP!$A$1:$C$39,3,0)</f>
        <v>KHÁC1</v>
      </c>
      <c r="F1895" s="160">
        <f t="shared" si="195"/>
        <v>0</v>
      </c>
      <c r="G1895" s="176"/>
      <c r="H1895" s="176"/>
      <c r="I1895" s="176"/>
      <c r="J1895" s="176"/>
      <c r="K1895" s="176"/>
      <c r="L1895" s="176"/>
      <c r="M1895" s="176"/>
      <c r="N1895" s="176"/>
      <c r="O1895" s="176"/>
      <c r="P1895" s="176"/>
      <c r="Q1895" s="176"/>
      <c r="R1895" s="176"/>
      <c r="S1895" s="162">
        <f t="shared" si="199"/>
        <v>0</v>
      </c>
      <c r="T1895" s="167"/>
    </row>
    <row r="1896" customHeight="1" spans="2:20">
      <c r="B1896" s="166"/>
      <c r="C1896" s="164">
        <f t="shared" si="198"/>
        <v>29</v>
      </c>
      <c r="D1896" s="158" t="str">
        <f>VLOOKUP(C1896,DMSP!$A$1:$C$39,2,0)</f>
        <v>7.KHÁC</v>
      </c>
      <c r="E1896" s="169" t="s">
        <v>13</v>
      </c>
      <c r="F1896" s="160">
        <f t="shared" si="195"/>
        <v>0</v>
      </c>
      <c r="G1896" s="176"/>
      <c r="H1896" s="176"/>
      <c r="I1896" s="176"/>
      <c r="J1896" s="176"/>
      <c r="K1896" s="176"/>
      <c r="L1896" s="176"/>
      <c r="M1896" s="176"/>
      <c r="N1896" s="176"/>
      <c r="O1896" s="176"/>
      <c r="P1896" s="176"/>
      <c r="Q1896" s="176"/>
      <c r="R1896" s="176"/>
      <c r="S1896" s="162">
        <f t="shared" si="199"/>
        <v>0</v>
      </c>
      <c r="T1896" s="167"/>
    </row>
    <row r="1897" customHeight="1" spans="2:20">
      <c r="B1897" s="166"/>
      <c r="C1897" s="164">
        <f t="shared" si="198"/>
        <v>30</v>
      </c>
      <c r="D1897" s="158" t="str">
        <f>VLOOKUP(C1897,DMSP!$A$1:$C$39,2,0)</f>
        <v>7.KHÁC</v>
      </c>
      <c r="E1897" s="159" t="str">
        <f>VLOOKUP(C1897,DMSP!$A$1:$C$39,3,0)</f>
        <v>RỬA RONG RÊU</v>
      </c>
      <c r="F1897" s="160">
        <f t="shared" si="195"/>
        <v>0</v>
      </c>
      <c r="G1897" s="176"/>
      <c r="H1897" s="176"/>
      <c r="I1897" s="176"/>
      <c r="J1897" s="176"/>
      <c r="K1897" s="176"/>
      <c r="L1897" s="176"/>
      <c r="M1897" s="176"/>
      <c r="N1897" s="176"/>
      <c r="O1897" s="176"/>
      <c r="P1897" s="176"/>
      <c r="Q1897" s="176"/>
      <c r="R1897" s="176"/>
      <c r="S1897" s="162">
        <f t="shared" si="199"/>
        <v>0</v>
      </c>
      <c r="T1897" s="167"/>
    </row>
    <row r="1898" customHeight="1" spans="2:20">
      <c r="B1898" s="166"/>
      <c r="C1898" s="164">
        <f t="shared" si="198"/>
        <v>31</v>
      </c>
      <c r="D1898" s="158" t="str">
        <f>VLOOKUP(C1898,DMSP!$A$1:$C$39,2,0)</f>
        <v>7.KHÁC</v>
      </c>
      <c r="E1898" s="159" t="str">
        <f>VLOOKUP(C1898,DMSP!$A$1:$C$39,3,0)</f>
        <v>TB BO</v>
      </c>
      <c r="F1898" s="160">
        <f t="shared" si="195"/>
        <v>0</v>
      </c>
      <c r="G1898" s="176"/>
      <c r="H1898" s="176"/>
      <c r="I1898" s="176"/>
      <c r="J1898" s="176"/>
      <c r="K1898" s="176"/>
      <c r="L1898" s="176"/>
      <c r="M1898" s="176"/>
      <c r="N1898" s="176"/>
      <c r="O1898" s="176"/>
      <c r="P1898" s="176"/>
      <c r="Q1898" s="176"/>
      <c r="R1898" s="176"/>
      <c r="S1898" s="162">
        <f t="shared" si="199"/>
        <v>0</v>
      </c>
      <c r="T1898" s="167"/>
    </row>
    <row r="1899" customHeight="1" spans="2:20">
      <c r="B1899" s="166"/>
      <c r="C1899" s="164">
        <f t="shared" si="198"/>
        <v>32</v>
      </c>
      <c r="D1899" s="158" t="str">
        <f>VLOOKUP(C1899,DMSP!$A$1:$C$39,2,0)</f>
        <v>7.KHÁC</v>
      </c>
      <c r="E1899" s="159" t="str">
        <f>VLOOKUP(C1899,DMSP!$A$1:$C$39,3,0)</f>
        <v>TB FRUIT</v>
      </c>
      <c r="F1899" s="160">
        <f t="shared" si="195"/>
        <v>0</v>
      </c>
      <c r="G1899" s="176"/>
      <c r="H1899" s="176"/>
      <c r="I1899" s="176"/>
      <c r="J1899" s="176"/>
      <c r="K1899" s="176"/>
      <c r="L1899" s="176"/>
      <c r="M1899" s="176"/>
      <c r="N1899" s="176"/>
      <c r="O1899" s="176"/>
      <c r="P1899" s="176"/>
      <c r="Q1899" s="176"/>
      <c r="R1899" s="176"/>
      <c r="S1899" s="162">
        <f t="shared" si="199"/>
        <v>0</v>
      </c>
      <c r="T1899" s="167"/>
    </row>
    <row r="1900" customHeight="1" spans="2:20">
      <c r="B1900" s="166"/>
      <c r="C1900" s="164">
        <f t="shared" si="198"/>
        <v>33</v>
      </c>
      <c r="D1900" s="158" t="str">
        <f>VLOOKUP(C1900,DMSP!$A$1:$C$39,2,0)</f>
        <v>7.KHÁC</v>
      </c>
      <c r="E1900" s="159" t="str">
        <f>VLOOKUP(C1900,DMSP!$A$1:$C$39,3,0)</f>
        <v>TB PHOS</v>
      </c>
      <c r="F1900" s="160">
        <f t="shared" si="195"/>
        <v>0</v>
      </c>
      <c r="G1900" s="176"/>
      <c r="H1900" s="176"/>
      <c r="I1900" s="176"/>
      <c r="J1900" s="176"/>
      <c r="K1900" s="176"/>
      <c r="L1900" s="176"/>
      <c r="M1900" s="176"/>
      <c r="N1900" s="176"/>
      <c r="O1900" s="176"/>
      <c r="P1900" s="176"/>
      <c r="Q1900" s="176"/>
      <c r="R1900" s="176"/>
      <c r="S1900" s="162">
        <f t="shared" si="199"/>
        <v>0</v>
      </c>
      <c r="T1900" s="167"/>
    </row>
    <row r="1901" customHeight="1" spans="2:20">
      <c r="B1901" s="166"/>
      <c r="C1901" s="164">
        <f t="shared" si="198"/>
        <v>34</v>
      </c>
      <c r="D1901" s="158" t="str">
        <f>VLOOKUP(C1901,DMSP!$A$1:$C$39,2,0)</f>
        <v>7.KHÁC</v>
      </c>
      <c r="E1901" s="159" t="str">
        <f>VLOOKUP(C1901,DMSP!$A$1:$C$39,3,0)</f>
        <v>TOBA BÁM DÍNH</v>
      </c>
      <c r="F1901" s="160">
        <f t="shared" si="195"/>
        <v>0</v>
      </c>
      <c r="G1901" s="176"/>
      <c r="H1901" s="176"/>
      <c r="I1901" s="176"/>
      <c r="J1901" s="176"/>
      <c r="K1901" s="176"/>
      <c r="L1901" s="176"/>
      <c r="M1901" s="176"/>
      <c r="N1901" s="176"/>
      <c r="O1901" s="176"/>
      <c r="P1901" s="176"/>
      <c r="Q1901" s="176"/>
      <c r="R1901" s="176"/>
      <c r="S1901" s="162">
        <f t="shared" si="199"/>
        <v>0</v>
      </c>
      <c r="T1901" s="167"/>
    </row>
    <row r="1902" customHeight="1" spans="2:20">
      <c r="B1902" s="166"/>
      <c r="C1902" s="164">
        <f t="shared" si="198"/>
        <v>35</v>
      </c>
      <c r="D1902" s="158" t="str">
        <f>VLOOKUP(C1902,DMSP!$A$1:$C$39,2,0)</f>
        <v>7.KHÁC</v>
      </c>
      <c r="E1902" s="159" t="str">
        <f>VLOOKUP(C1902,DMSP!$A$1:$C$39,3,0)</f>
        <v>VỌT HOA NHÃN</v>
      </c>
      <c r="F1902" s="160">
        <f t="shared" si="195"/>
        <v>0</v>
      </c>
      <c r="G1902" s="176"/>
      <c r="H1902" s="176"/>
      <c r="I1902" s="176"/>
      <c r="J1902" s="176"/>
      <c r="K1902" s="176"/>
      <c r="L1902" s="176"/>
      <c r="M1902" s="176"/>
      <c r="N1902" s="176"/>
      <c r="O1902" s="176"/>
      <c r="P1902" s="176"/>
      <c r="Q1902" s="176"/>
      <c r="R1902" s="176"/>
      <c r="S1902" s="162">
        <f t="shared" si="199"/>
        <v>0</v>
      </c>
      <c r="T1902" s="167"/>
    </row>
    <row r="1903" customHeight="1" spans="2:20">
      <c r="B1903" s="166"/>
      <c r="C1903" s="164">
        <f t="shared" si="198"/>
        <v>36</v>
      </c>
      <c r="D1903" s="158" t="str">
        <f>VLOOKUP(C1903,DMSP!$A$1:$C$39,2,0)</f>
        <v>7.KHÁC</v>
      </c>
      <c r="E1903" s="159" t="str">
        <f>VLOOKUP(C1903,DMSP!$A$1:$C$39,3,0)</f>
        <v>VỌT HOA XOÀI</v>
      </c>
      <c r="F1903" s="160">
        <f t="shared" si="195"/>
        <v>0</v>
      </c>
      <c r="G1903" s="176"/>
      <c r="H1903" s="176"/>
      <c r="I1903" s="176"/>
      <c r="J1903" s="176"/>
      <c r="K1903" s="176"/>
      <c r="L1903" s="176"/>
      <c r="M1903" s="176"/>
      <c r="N1903" s="176"/>
      <c r="O1903" s="176"/>
      <c r="P1903" s="176"/>
      <c r="Q1903" s="176"/>
      <c r="R1903" s="176"/>
      <c r="S1903" s="162">
        <f t="shared" si="199"/>
        <v>0</v>
      </c>
      <c r="T1903" s="167"/>
    </row>
    <row r="1904" customHeight="1" spans="2:20">
      <c r="B1904" s="166"/>
      <c r="C1904" s="164">
        <f t="shared" si="198"/>
        <v>37</v>
      </c>
      <c r="D1904" s="158" t="str">
        <f>VLOOKUP(C1904,DMSP!$A$1:$C$39,2,0)</f>
        <v>7.KHÁC</v>
      </c>
      <c r="E1904" s="159" t="str">
        <f>VLOOKUP(C1904,DMSP!$A$1:$C$39,3,0)</f>
        <v>VỌT HOA XOÀI</v>
      </c>
      <c r="F1904" s="160">
        <f t="shared" si="195"/>
        <v>0</v>
      </c>
      <c r="G1904" s="176"/>
      <c r="H1904" s="176"/>
      <c r="I1904" s="176"/>
      <c r="J1904" s="176"/>
      <c r="K1904" s="176"/>
      <c r="L1904" s="176"/>
      <c r="M1904" s="176"/>
      <c r="N1904" s="176"/>
      <c r="O1904" s="176"/>
      <c r="P1904" s="176"/>
      <c r="Q1904" s="176"/>
      <c r="R1904" s="176"/>
      <c r="S1904" s="162">
        <f t="shared" si="199"/>
        <v>0</v>
      </c>
      <c r="T1904" s="167"/>
    </row>
    <row r="1905" customHeight="1" spans="2:20">
      <c r="B1905" s="92"/>
      <c r="C1905" s="170">
        <f>B1868</f>
        <v>0</v>
      </c>
      <c r="D1905" s="171"/>
      <c r="E1905" s="172" t="str">
        <f>"TOTAL "&amp;B1868</f>
        <v>TOTAL </v>
      </c>
      <c r="F1905" s="173">
        <f t="shared" si="195"/>
        <v>0</v>
      </c>
      <c r="G1905" s="174">
        <f>SUM(G1868:G1904)</f>
        <v>0</v>
      </c>
      <c r="H1905" s="174">
        <f t="shared" ref="H1905:R1905" si="200">SUM(H1868:H1904)</f>
        <v>0</v>
      </c>
      <c r="I1905" s="174">
        <f t="shared" si="200"/>
        <v>0</v>
      </c>
      <c r="J1905" s="174">
        <f t="shared" si="200"/>
        <v>0</v>
      </c>
      <c r="K1905" s="174">
        <f t="shared" si="200"/>
        <v>0</v>
      </c>
      <c r="L1905" s="174">
        <f t="shared" si="200"/>
        <v>0</v>
      </c>
      <c r="M1905" s="174">
        <f t="shared" si="200"/>
        <v>0</v>
      </c>
      <c r="N1905" s="174">
        <f t="shared" si="200"/>
        <v>0</v>
      </c>
      <c r="O1905" s="174">
        <f t="shared" si="200"/>
        <v>0</v>
      </c>
      <c r="P1905" s="174">
        <f t="shared" si="200"/>
        <v>0</v>
      </c>
      <c r="Q1905" s="174">
        <f t="shared" si="200"/>
        <v>0</v>
      </c>
      <c r="R1905" s="174">
        <f t="shared" si="200"/>
        <v>0</v>
      </c>
      <c r="S1905" s="174">
        <f t="shared" si="199"/>
        <v>0</v>
      </c>
      <c r="T1905" s="175"/>
    </row>
    <row r="1906" customHeight="1" spans="2:20">
      <c r="B1906" s="156"/>
      <c r="C1906" s="157">
        <v>1</v>
      </c>
      <c r="D1906" s="158" t="str">
        <f>VLOOKUP(C1906,DMSP!$A$1:$C$39,2,0)</f>
        <v>1.TOBA XANH</v>
      </c>
      <c r="E1906" s="159" t="str">
        <f>VLOOKUP(C1906,DMSP!$A$1:$C$39,3,0)</f>
        <v>TOBA XANH</v>
      </c>
      <c r="F1906" s="160">
        <f t="shared" si="195"/>
        <v>0</v>
      </c>
      <c r="G1906" s="176"/>
      <c r="H1906" s="176"/>
      <c r="I1906" s="176"/>
      <c r="J1906" s="176"/>
      <c r="K1906" s="176"/>
      <c r="L1906" s="176"/>
      <c r="M1906" s="176"/>
      <c r="N1906" s="176"/>
      <c r="O1906" s="176"/>
      <c r="P1906" s="176"/>
      <c r="Q1906" s="176"/>
      <c r="R1906" s="176"/>
      <c r="S1906" s="162">
        <f t="shared" si="199"/>
        <v>0</v>
      </c>
      <c r="T1906" s="163">
        <f>S1943</f>
        <v>0</v>
      </c>
    </row>
    <row r="1907" customHeight="1" spans="2:20">
      <c r="B1907" s="166"/>
      <c r="C1907" s="164">
        <f t="shared" ref="C1907:C1942" si="201">C1906+1</f>
        <v>2</v>
      </c>
      <c r="D1907" s="158" t="str">
        <f>VLOOKUP(C1907,DMSP!$A$1:$C$39,2,0)</f>
        <v>2.HC</v>
      </c>
      <c r="E1907" s="159" t="str">
        <f>VLOOKUP(C1907,DMSP!$A$1:$C$39,3,0)</f>
        <v>HC BOOSTER</v>
      </c>
      <c r="F1907" s="160">
        <f t="shared" si="195"/>
        <v>0</v>
      </c>
      <c r="G1907" s="176"/>
      <c r="H1907" s="176"/>
      <c r="I1907" s="176"/>
      <c r="J1907" s="176"/>
      <c r="K1907" s="176"/>
      <c r="L1907" s="176"/>
      <c r="M1907" s="176"/>
      <c r="N1907" s="176"/>
      <c r="O1907" s="176"/>
      <c r="P1907" s="176"/>
      <c r="Q1907" s="176"/>
      <c r="R1907" s="176"/>
      <c r="S1907" s="162">
        <f t="shared" ref="S1907:S1944" si="202">SUM(G1907:R1907)</f>
        <v>0</v>
      </c>
      <c r="T1907" s="167"/>
    </row>
    <row r="1908" customHeight="1" spans="2:20">
      <c r="B1908" s="166"/>
      <c r="C1908" s="164">
        <f t="shared" si="201"/>
        <v>3</v>
      </c>
      <c r="D1908" s="158" t="str">
        <f>VLOOKUP(C1908,DMSP!$A$1:$C$39,2,0)</f>
        <v>2.HC</v>
      </c>
      <c r="E1908" s="159" t="str">
        <f>VLOOKUP(C1908,DMSP!$A$1:$C$39,3,0)</f>
        <v>HC KING-ROOT</v>
      </c>
      <c r="F1908" s="160">
        <f t="shared" si="195"/>
        <v>0</v>
      </c>
      <c r="G1908" s="176"/>
      <c r="H1908" s="176"/>
      <c r="I1908" s="176"/>
      <c r="J1908" s="176"/>
      <c r="K1908" s="176"/>
      <c r="L1908" s="176"/>
      <c r="M1908" s="176"/>
      <c r="N1908" s="176"/>
      <c r="O1908" s="176"/>
      <c r="P1908" s="176"/>
      <c r="Q1908" s="176"/>
      <c r="R1908" s="176"/>
      <c r="S1908" s="162">
        <f t="shared" si="202"/>
        <v>0</v>
      </c>
      <c r="T1908" s="167"/>
    </row>
    <row r="1909" customHeight="1" spans="2:20">
      <c r="B1909" s="166"/>
      <c r="C1909" s="164">
        <f t="shared" si="201"/>
        <v>4</v>
      </c>
      <c r="D1909" s="158" t="str">
        <f>VLOOKUP(C1909,DMSP!$A$1:$C$39,2,0)</f>
        <v>2.HC</v>
      </c>
      <c r="E1909" s="159" t="str">
        <f>VLOOKUP(C1909,DMSP!$A$1:$C$39,3,0)</f>
        <v>HAPPY FARM</v>
      </c>
      <c r="F1909" s="160">
        <f t="shared" si="195"/>
        <v>0</v>
      </c>
      <c r="G1909" s="176"/>
      <c r="H1909" s="176"/>
      <c r="I1909" s="176"/>
      <c r="J1909" s="176"/>
      <c r="K1909" s="176"/>
      <c r="L1909" s="176"/>
      <c r="M1909" s="176"/>
      <c r="N1909" s="176"/>
      <c r="O1909" s="176"/>
      <c r="P1909" s="176"/>
      <c r="Q1909" s="176"/>
      <c r="R1909" s="176"/>
      <c r="S1909" s="162">
        <f t="shared" si="202"/>
        <v>0</v>
      </c>
      <c r="T1909" s="167"/>
    </row>
    <row r="1910" customHeight="1" spans="2:20">
      <c r="B1910" s="166"/>
      <c r="C1910" s="164">
        <f t="shared" si="201"/>
        <v>5</v>
      </c>
      <c r="D1910" s="158" t="str">
        <f>VLOOKUP(C1910,DMSP!$A$1:$C$39,2,0)</f>
        <v>2.HC</v>
      </c>
      <c r="E1910" s="159" t="str">
        <f>VLOOKUP(C1910,DMSP!$A$1:$C$39,3,0)</f>
        <v>WOW</v>
      </c>
      <c r="F1910" s="160">
        <f t="shared" si="195"/>
        <v>0</v>
      </c>
      <c r="G1910" s="176"/>
      <c r="H1910" s="176"/>
      <c r="I1910" s="176"/>
      <c r="J1910" s="176"/>
      <c r="K1910" s="176"/>
      <c r="L1910" s="176"/>
      <c r="M1910" s="176"/>
      <c r="N1910" s="176"/>
      <c r="O1910" s="176"/>
      <c r="P1910" s="176"/>
      <c r="Q1910" s="176"/>
      <c r="R1910" s="176"/>
      <c r="S1910" s="162">
        <f t="shared" si="202"/>
        <v>0</v>
      </c>
      <c r="T1910" s="167"/>
    </row>
    <row r="1911" customHeight="1" spans="2:20">
      <c r="B1911" s="166"/>
      <c r="C1911" s="164">
        <f t="shared" si="201"/>
        <v>6</v>
      </c>
      <c r="D1911" s="158" t="str">
        <f>VLOOKUP(C1911,DMSP!$A$1:$C$39,2,0)</f>
        <v>3.SPRAY </v>
      </c>
      <c r="E1911" s="159" t="str">
        <f>VLOOKUP(C1911,DMSP!$A$1:$C$39,3,0)</f>
        <v>KELPIT</v>
      </c>
      <c r="F1911" s="160">
        <f t="shared" si="195"/>
        <v>0</v>
      </c>
      <c r="G1911" s="176"/>
      <c r="H1911" s="176"/>
      <c r="I1911" s="176"/>
      <c r="J1911" s="176"/>
      <c r="K1911" s="176"/>
      <c r="L1911" s="176"/>
      <c r="M1911" s="176"/>
      <c r="N1911" s="176"/>
      <c r="O1911" s="176"/>
      <c r="P1911" s="176"/>
      <c r="Q1911" s="176"/>
      <c r="R1911" s="176"/>
      <c r="S1911" s="162">
        <f t="shared" si="202"/>
        <v>0</v>
      </c>
      <c r="T1911" s="167"/>
    </row>
    <row r="1912" customHeight="1" spans="2:20">
      <c r="B1912" s="166"/>
      <c r="C1912" s="164">
        <f t="shared" si="201"/>
        <v>7</v>
      </c>
      <c r="D1912" s="158" t="str">
        <f>VLOOKUP(C1912,DMSP!$A$1:$C$39,2,0)</f>
        <v>3.SPRAY </v>
      </c>
      <c r="E1912" s="159" t="str">
        <f>VLOOKUP(C1912,DMSP!$A$1:$C$39,3,0)</f>
        <v>SI-K</v>
      </c>
      <c r="F1912" s="160">
        <f t="shared" si="195"/>
        <v>0</v>
      </c>
      <c r="G1912" s="176"/>
      <c r="H1912" s="176"/>
      <c r="I1912" s="176"/>
      <c r="J1912" s="176"/>
      <c r="K1912" s="176"/>
      <c r="L1912" s="176"/>
      <c r="M1912" s="176"/>
      <c r="N1912" s="176"/>
      <c r="O1912" s="176"/>
      <c r="P1912" s="176"/>
      <c r="Q1912" s="176"/>
      <c r="R1912" s="176"/>
      <c r="S1912" s="162">
        <f t="shared" si="202"/>
        <v>0</v>
      </c>
      <c r="T1912" s="167"/>
    </row>
    <row r="1913" customHeight="1" spans="2:20">
      <c r="B1913" s="166"/>
      <c r="C1913" s="164">
        <f t="shared" si="201"/>
        <v>8</v>
      </c>
      <c r="D1913" s="158" t="str">
        <f>VLOOKUP(C1913,DMSP!$A$1:$C$39,2,0)</f>
        <v>3.SPRAY </v>
      </c>
      <c r="E1913" s="159" t="str">
        <f>VLOOKUP(C1913,DMSP!$A$1:$C$39,3,0)</f>
        <v>SPRAY PHOS 620</v>
      </c>
      <c r="F1913" s="160">
        <f t="shared" si="195"/>
        <v>0</v>
      </c>
      <c r="G1913" s="176"/>
      <c r="H1913" s="176"/>
      <c r="I1913" s="176"/>
      <c r="J1913" s="176"/>
      <c r="K1913" s="176"/>
      <c r="L1913" s="176"/>
      <c r="M1913" s="176"/>
      <c r="N1913" s="176"/>
      <c r="O1913" s="176"/>
      <c r="P1913" s="176"/>
      <c r="Q1913" s="176"/>
      <c r="R1913" s="176"/>
      <c r="S1913" s="162">
        <f t="shared" si="202"/>
        <v>0</v>
      </c>
      <c r="T1913" s="167"/>
    </row>
    <row r="1914" customHeight="1" spans="2:20">
      <c r="B1914" s="166"/>
      <c r="C1914" s="164">
        <f t="shared" si="201"/>
        <v>9</v>
      </c>
      <c r="D1914" s="158" t="str">
        <f>VLOOKUP(C1914,DMSP!$A$1:$C$39,2,0)</f>
        <v>4.DƯỠNG RỄ</v>
      </c>
      <c r="E1914" s="159" t="str">
        <f>VLOOKUP(C1914,DMSP!$A$1:$C$39,3,0)</f>
        <v>CHITOSAN</v>
      </c>
      <c r="F1914" s="160">
        <f t="shared" si="195"/>
        <v>0</v>
      </c>
      <c r="G1914" s="176"/>
      <c r="H1914" s="176"/>
      <c r="I1914" s="176"/>
      <c r="J1914" s="176"/>
      <c r="K1914" s="176"/>
      <c r="L1914" s="176"/>
      <c r="M1914" s="176"/>
      <c r="N1914" s="176"/>
      <c r="O1914" s="176"/>
      <c r="P1914" s="176"/>
      <c r="Q1914" s="176"/>
      <c r="R1914" s="176"/>
      <c r="S1914" s="162">
        <f t="shared" si="202"/>
        <v>0</v>
      </c>
      <c r="T1914" s="167"/>
    </row>
    <row r="1915" customHeight="1" spans="2:20">
      <c r="B1915" s="166"/>
      <c r="C1915" s="164">
        <f t="shared" si="201"/>
        <v>10</v>
      </c>
      <c r="D1915" s="158" t="str">
        <f>VLOOKUP(C1915,DMSP!$A$1:$C$39,2,0)</f>
        <v>4.DƯỠNG RỄ</v>
      </c>
      <c r="E1915" s="159" t="str">
        <f>VLOOKUP(C1915,DMSP!$A$1:$C$39,3,0)</f>
        <v>ĐẠM CÁ</v>
      </c>
      <c r="F1915" s="160">
        <f t="shared" si="195"/>
        <v>0</v>
      </c>
      <c r="G1915" s="176"/>
      <c r="H1915" s="176"/>
      <c r="I1915" s="176"/>
      <c r="J1915" s="176"/>
      <c r="K1915" s="176"/>
      <c r="L1915" s="176"/>
      <c r="M1915" s="176"/>
      <c r="N1915" s="176"/>
      <c r="O1915" s="176"/>
      <c r="P1915" s="176"/>
      <c r="Q1915" s="176"/>
      <c r="R1915" s="176"/>
      <c r="S1915" s="162">
        <f t="shared" si="202"/>
        <v>0</v>
      </c>
      <c r="T1915" s="167"/>
    </row>
    <row r="1916" customHeight="1" spans="2:20">
      <c r="B1916" s="166"/>
      <c r="C1916" s="164">
        <f t="shared" si="201"/>
        <v>11</v>
      </c>
      <c r="D1916" s="158" t="str">
        <f>VLOOKUP(C1916,DMSP!$A$1:$C$39,2,0)</f>
        <v>4.DƯỠNG RỄ</v>
      </c>
      <c r="E1916" s="159" t="str">
        <f>VLOOKUP(C1916,DMSP!$A$1:$C$39,3,0)</f>
        <v>ĐẠM TÔM</v>
      </c>
      <c r="F1916" s="160">
        <f t="shared" si="195"/>
        <v>0</v>
      </c>
      <c r="G1916" s="176"/>
      <c r="H1916" s="176"/>
      <c r="I1916" s="176"/>
      <c r="J1916" s="176"/>
      <c r="K1916" s="176"/>
      <c r="L1916" s="176"/>
      <c r="M1916" s="176"/>
      <c r="N1916" s="176"/>
      <c r="O1916" s="176"/>
      <c r="P1916" s="176"/>
      <c r="Q1916" s="176"/>
      <c r="R1916" s="176"/>
      <c r="S1916" s="162">
        <f t="shared" si="202"/>
        <v>0</v>
      </c>
      <c r="T1916" s="167"/>
    </row>
    <row r="1917" customHeight="1" spans="2:20">
      <c r="B1917" s="166"/>
      <c r="C1917" s="164">
        <f t="shared" si="201"/>
        <v>12</v>
      </c>
      <c r="D1917" s="158" t="str">
        <f>VLOOKUP(C1917,DMSP!$A$1:$C$39,2,0)</f>
        <v>4.DƯỠNG RỄ</v>
      </c>
      <c r="E1917" s="159" t="str">
        <f>VLOOKUP(C1917,DMSP!$A$1:$C$39,3,0)</f>
        <v>SUPERMIC</v>
      </c>
      <c r="F1917" s="160">
        <f t="shared" si="195"/>
        <v>0</v>
      </c>
      <c r="G1917" s="176"/>
      <c r="H1917" s="176"/>
      <c r="I1917" s="176"/>
      <c r="J1917" s="176"/>
      <c r="K1917" s="176"/>
      <c r="L1917" s="176"/>
      <c r="M1917" s="176"/>
      <c r="N1917" s="176"/>
      <c r="O1917" s="176"/>
      <c r="P1917" s="176"/>
      <c r="Q1917" s="176"/>
      <c r="R1917" s="176"/>
      <c r="S1917" s="162">
        <f t="shared" si="202"/>
        <v>0</v>
      </c>
      <c r="T1917" s="167"/>
    </row>
    <row r="1918" customHeight="1" spans="2:20">
      <c r="B1918" s="166"/>
      <c r="C1918" s="164">
        <f t="shared" si="201"/>
        <v>13</v>
      </c>
      <c r="D1918" s="158" t="str">
        <f>VLOOKUP(C1918,DMSP!$A$1:$C$39,2,0)</f>
        <v>5.TRUYỀN THỐNG</v>
      </c>
      <c r="E1918" s="159" t="str">
        <f>VLOOKUP(C1918,DMSP!$A$1:$C$39,3,0)</f>
        <v>CABO</v>
      </c>
      <c r="F1918" s="160">
        <f t="shared" si="195"/>
        <v>0</v>
      </c>
      <c r="G1918" s="176"/>
      <c r="H1918" s="176"/>
      <c r="I1918" s="176"/>
      <c r="J1918" s="176"/>
      <c r="K1918" s="176"/>
      <c r="L1918" s="176"/>
      <c r="M1918" s="176"/>
      <c r="N1918" s="176"/>
      <c r="O1918" s="176"/>
      <c r="P1918" s="176"/>
      <c r="Q1918" s="176"/>
      <c r="R1918" s="176"/>
      <c r="S1918" s="162">
        <f t="shared" si="202"/>
        <v>0</v>
      </c>
      <c r="T1918" s="167"/>
    </row>
    <row r="1919" customHeight="1" spans="2:20">
      <c r="B1919" s="166"/>
      <c r="C1919" s="164">
        <f t="shared" si="201"/>
        <v>14</v>
      </c>
      <c r="D1919" s="158" t="str">
        <f>VLOOKUP(C1919,DMSP!$A$1:$C$39,2,0)</f>
        <v>5.TRUYỀN THỐNG</v>
      </c>
      <c r="E1919" s="159" t="str">
        <f>VLOOKUP(C1919,DMSP!$A$1:$C$39,3,0)</f>
        <v>F94</v>
      </c>
      <c r="F1919" s="160">
        <f t="shared" si="195"/>
        <v>0</v>
      </c>
      <c r="G1919" s="176"/>
      <c r="H1919" s="176"/>
      <c r="I1919" s="176"/>
      <c r="J1919" s="176"/>
      <c r="K1919" s="176"/>
      <c r="L1919" s="176"/>
      <c r="M1919" s="176"/>
      <c r="N1919" s="176"/>
      <c r="O1919" s="176"/>
      <c r="P1919" s="176"/>
      <c r="Q1919" s="176"/>
      <c r="R1919" s="176"/>
      <c r="S1919" s="162">
        <f t="shared" si="202"/>
        <v>0</v>
      </c>
      <c r="T1919" s="167"/>
    </row>
    <row r="1920" customHeight="1" spans="2:20">
      <c r="B1920" s="166"/>
      <c r="C1920" s="164">
        <f t="shared" si="201"/>
        <v>15</v>
      </c>
      <c r="D1920" s="158" t="str">
        <f>VLOOKUP(C1920,DMSP!$A$1:$C$39,2,0)</f>
        <v>5.TRUYỀN THỐNG</v>
      </c>
      <c r="E1920" s="159" t="str">
        <f>VLOOKUP(C1920,DMSP!$A$1:$C$39,3,0)</f>
        <v>F95</v>
      </c>
      <c r="F1920" s="160">
        <f t="shared" si="195"/>
        <v>0</v>
      </c>
      <c r="G1920" s="176"/>
      <c r="H1920" s="176"/>
      <c r="I1920" s="176"/>
      <c r="J1920" s="176"/>
      <c r="K1920" s="176"/>
      <c r="L1920" s="176"/>
      <c r="M1920" s="176"/>
      <c r="N1920" s="176"/>
      <c r="O1920" s="176"/>
      <c r="P1920" s="176"/>
      <c r="Q1920" s="176"/>
      <c r="R1920" s="176"/>
      <c r="S1920" s="162">
        <f t="shared" si="202"/>
        <v>0</v>
      </c>
      <c r="T1920" s="167"/>
    </row>
    <row r="1921" customHeight="1" spans="2:20">
      <c r="B1921" s="166"/>
      <c r="C1921" s="164">
        <f t="shared" si="201"/>
        <v>16</v>
      </c>
      <c r="D1921" s="158" t="str">
        <f>VLOOKUP(C1921,DMSP!$A$1:$C$39,2,0)</f>
        <v>5.TRUYỀN THỐNG</v>
      </c>
      <c r="E1921" s="159" t="str">
        <f>VLOOKUP(C1921,DMSP!$A$1:$C$39,3,0)</f>
        <v>THIOURE</v>
      </c>
      <c r="F1921" s="160">
        <f t="shared" si="195"/>
        <v>0</v>
      </c>
      <c r="G1921" s="176"/>
      <c r="H1921" s="176"/>
      <c r="I1921" s="176"/>
      <c r="J1921" s="176"/>
      <c r="K1921" s="176"/>
      <c r="L1921" s="176"/>
      <c r="M1921" s="176"/>
      <c r="N1921" s="176"/>
      <c r="O1921" s="176"/>
      <c r="P1921" s="176"/>
      <c r="Q1921" s="176"/>
      <c r="R1921" s="176"/>
      <c r="S1921" s="162">
        <f t="shared" si="202"/>
        <v>0</v>
      </c>
      <c r="T1921" s="167"/>
    </row>
    <row r="1922" customHeight="1" spans="2:20">
      <c r="B1922" s="166"/>
      <c r="C1922" s="164">
        <f t="shared" si="201"/>
        <v>17</v>
      </c>
      <c r="D1922" s="158" t="str">
        <f>VLOOKUP(C1922,DMSP!$A$1:$C$39,2,0)</f>
        <v>5.TRUYỀN THỐNG</v>
      </c>
      <c r="E1922" s="159" t="str">
        <f>VLOOKUP(C1922,DMSP!$A$1:$C$39,3,0)</f>
        <v>TOBA JUM</v>
      </c>
      <c r="F1922" s="160">
        <f t="shared" si="195"/>
        <v>0</v>
      </c>
      <c r="G1922" s="176"/>
      <c r="H1922" s="176"/>
      <c r="I1922" s="176"/>
      <c r="J1922" s="176"/>
      <c r="K1922" s="176"/>
      <c r="L1922" s="176"/>
      <c r="M1922" s="176"/>
      <c r="N1922" s="176"/>
      <c r="O1922" s="176"/>
      <c r="P1922" s="176"/>
      <c r="Q1922" s="176"/>
      <c r="R1922" s="176"/>
      <c r="S1922" s="162">
        <f t="shared" si="202"/>
        <v>0</v>
      </c>
      <c r="T1922" s="167"/>
    </row>
    <row r="1923" customHeight="1" spans="2:20">
      <c r="B1923" s="166"/>
      <c r="C1923" s="164">
        <f t="shared" si="201"/>
        <v>18</v>
      </c>
      <c r="D1923" s="158" t="str">
        <f>VLOOKUP(C1923,DMSP!$A$1:$C$39,2,0)</f>
        <v>5.TRUYỀN THỐNG</v>
      </c>
      <c r="E1923" s="159" t="str">
        <f>VLOOKUP(C1923,DMSP!$A$1:$C$39,3,0)</f>
        <v>TOBA NET</v>
      </c>
      <c r="F1923" s="160">
        <f t="shared" si="195"/>
        <v>0</v>
      </c>
      <c r="G1923" s="176"/>
      <c r="H1923" s="176"/>
      <c r="I1923" s="176"/>
      <c r="J1923" s="176"/>
      <c r="K1923" s="176"/>
      <c r="L1923" s="176"/>
      <c r="M1923" s="176"/>
      <c r="N1923" s="176"/>
      <c r="O1923" s="176"/>
      <c r="P1923" s="176"/>
      <c r="Q1923" s="176"/>
      <c r="R1923" s="176"/>
      <c r="S1923" s="162">
        <f t="shared" si="202"/>
        <v>0</v>
      </c>
      <c r="T1923" s="167"/>
    </row>
    <row r="1924" customHeight="1" spans="2:20">
      <c r="B1924" s="166"/>
      <c r="C1924" s="164">
        <f t="shared" si="201"/>
        <v>19</v>
      </c>
      <c r="D1924" s="158" t="str">
        <f>VLOOKUP(C1924,DMSP!$A$1:$C$39,2,0)</f>
        <v>6.BVTV</v>
      </c>
      <c r="E1924" s="159" t="str">
        <f>VLOOKUP(C1924,DMSP!$A$1:$C$39,3,0)</f>
        <v>ABAFAX 1.8</v>
      </c>
      <c r="F1924" s="160">
        <f t="shared" si="195"/>
        <v>0</v>
      </c>
      <c r="G1924" s="176"/>
      <c r="H1924" s="176"/>
      <c r="I1924" s="176"/>
      <c r="J1924" s="176"/>
      <c r="K1924" s="176"/>
      <c r="L1924" s="176"/>
      <c r="M1924" s="176"/>
      <c r="N1924" s="176"/>
      <c r="O1924" s="176"/>
      <c r="P1924" s="176"/>
      <c r="Q1924" s="176"/>
      <c r="R1924" s="176"/>
      <c r="S1924" s="162">
        <f t="shared" si="202"/>
        <v>0</v>
      </c>
      <c r="T1924" s="167"/>
    </row>
    <row r="1925" customHeight="1" spans="2:20">
      <c r="B1925" s="166"/>
      <c r="C1925" s="164">
        <f t="shared" si="201"/>
        <v>20</v>
      </c>
      <c r="D1925" s="158" t="str">
        <f>VLOOKUP(C1925,DMSP!$A$1:$C$39,2,0)</f>
        <v>6.BVTV</v>
      </c>
      <c r="E1925" s="159" t="str">
        <f>VLOOKUP(C1925,DMSP!$A$1:$C$39,3,0)</f>
        <v>ABAFAX 3.6</v>
      </c>
      <c r="F1925" s="160">
        <f t="shared" si="195"/>
        <v>0</v>
      </c>
      <c r="G1925" s="176"/>
      <c r="H1925" s="176"/>
      <c r="I1925" s="176"/>
      <c r="J1925" s="176"/>
      <c r="K1925" s="176"/>
      <c r="L1925" s="176"/>
      <c r="M1925" s="176"/>
      <c r="N1925" s="176"/>
      <c r="O1925" s="176"/>
      <c r="P1925" s="176"/>
      <c r="Q1925" s="176"/>
      <c r="R1925" s="176"/>
      <c r="S1925" s="162">
        <f t="shared" si="202"/>
        <v>0</v>
      </c>
      <c r="T1925" s="167"/>
    </row>
    <row r="1926" customHeight="1" spans="2:20">
      <c r="B1926" s="166"/>
      <c r="C1926" s="164">
        <f t="shared" si="201"/>
        <v>21</v>
      </c>
      <c r="D1926" s="158" t="str">
        <f>VLOOKUP(C1926,DMSP!$A$1:$C$39,2,0)</f>
        <v>6.BVTV</v>
      </c>
      <c r="E1926" s="159" t="str">
        <f>VLOOKUP(C1926,DMSP!$A$1:$C$39,3,0)</f>
        <v>AZET</v>
      </c>
      <c r="F1926" s="160">
        <f t="shared" si="195"/>
        <v>0</v>
      </c>
      <c r="G1926" s="176"/>
      <c r="H1926" s="176"/>
      <c r="I1926" s="176"/>
      <c r="J1926" s="176"/>
      <c r="K1926" s="176"/>
      <c r="L1926" s="176"/>
      <c r="M1926" s="176"/>
      <c r="N1926" s="176"/>
      <c r="O1926" s="176"/>
      <c r="P1926" s="176"/>
      <c r="Q1926" s="176"/>
      <c r="R1926" s="176"/>
      <c r="S1926" s="162">
        <f t="shared" si="202"/>
        <v>0</v>
      </c>
      <c r="T1926" s="167"/>
    </row>
    <row r="1927" customHeight="1" spans="2:20">
      <c r="B1927" s="166"/>
      <c r="C1927" s="164">
        <f t="shared" si="201"/>
        <v>22</v>
      </c>
      <c r="D1927" s="158" t="str">
        <f>VLOOKUP(C1927,DMSP!$A$1:$C$39,2,0)</f>
        <v>6.BVTV</v>
      </c>
      <c r="E1927" s="159" t="str">
        <f>VLOOKUP(C1927,DMSP!$A$1:$C$39,3,0)</f>
        <v>BACBA</v>
      </c>
      <c r="F1927" s="160">
        <f t="shared" ref="F1927:F1990" si="203">S1927</f>
        <v>0</v>
      </c>
      <c r="G1927" s="176"/>
      <c r="H1927" s="176"/>
      <c r="I1927" s="176"/>
      <c r="J1927" s="176"/>
      <c r="K1927" s="176"/>
      <c r="L1927" s="176"/>
      <c r="M1927" s="176"/>
      <c r="N1927" s="176"/>
      <c r="O1927" s="176"/>
      <c r="P1927" s="176"/>
      <c r="Q1927" s="176"/>
      <c r="R1927" s="176"/>
      <c r="S1927" s="162">
        <f t="shared" si="202"/>
        <v>0</v>
      </c>
      <c r="T1927" s="167"/>
    </row>
    <row r="1928" customHeight="1" spans="2:20">
      <c r="B1928" s="166"/>
      <c r="C1928" s="164">
        <f t="shared" si="201"/>
        <v>23</v>
      </c>
      <c r="D1928" s="158" t="str">
        <f>VLOOKUP(C1928,DMSP!$A$1:$C$39,2,0)</f>
        <v>6.BVTV</v>
      </c>
      <c r="E1928" s="159" t="str">
        <f>VLOOKUP(C1928,DMSP!$A$1:$C$39,3,0)</f>
        <v>BIOROSAMIL</v>
      </c>
      <c r="F1928" s="160">
        <f t="shared" si="203"/>
        <v>0</v>
      </c>
      <c r="G1928" s="176"/>
      <c r="H1928" s="176"/>
      <c r="I1928" s="176"/>
      <c r="J1928" s="176"/>
      <c r="K1928" s="176"/>
      <c r="L1928" s="176"/>
      <c r="M1928" s="176"/>
      <c r="N1928" s="176"/>
      <c r="O1928" s="176"/>
      <c r="P1928" s="176"/>
      <c r="Q1928" s="176"/>
      <c r="R1928" s="176"/>
      <c r="S1928" s="162">
        <f t="shared" si="202"/>
        <v>0</v>
      </c>
      <c r="T1928" s="167"/>
    </row>
    <row r="1929" customHeight="1" spans="2:20">
      <c r="B1929" s="166"/>
      <c r="C1929" s="164">
        <f t="shared" si="201"/>
        <v>24</v>
      </c>
      <c r="D1929" s="158" t="str">
        <f>VLOOKUP(C1929,DMSP!$A$1:$C$39,2,0)</f>
        <v>6.BVTV</v>
      </c>
      <c r="E1929" s="159" t="str">
        <f>VLOOKUP(C1929,DMSP!$A$1:$C$39,3,0)</f>
        <v>COC 86</v>
      </c>
      <c r="F1929" s="160">
        <f t="shared" si="203"/>
        <v>0</v>
      </c>
      <c r="G1929" s="176"/>
      <c r="H1929" s="176"/>
      <c r="I1929" s="176"/>
      <c r="J1929" s="176"/>
      <c r="K1929" s="176"/>
      <c r="L1929" s="176"/>
      <c r="M1929" s="176"/>
      <c r="N1929" s="176"/>
      <c r="O1929" s="176"/>
      <c r="P1929" s="176"/>
      <c r="Q1929" s="176"/>
      <c r="R1929" s="176"/>
      <c r="S1929" s="162">
        <f t="shared" si="202"/>
        <v>0</v>
      </c>
      <c r="T1929" s="167"/>
    </row>
    <row r="1930" customHeight="1" spans="2:20">
      <c r="B1930" s="166"/>
      <c r="C1930" s="164">
        <f t="shared" si="201"/>
        <v>25</v>
      </c>
      <c r="D1930" s="158" t="str">
        <f>VLOOKUP(C1930,DMSP!$A$1:$C$39,2,0)</f>
        <v>6.BVTV</v>
      </c>
      <c r="E1930" s="159" t="str">
        <f>VLOOKUP(C1930,DMSP!$A$1:$C$39,3,0)</f>
        <v>HEXA 5</v>
      </c>
      <c r="F1930" s="160">
        <f t="shared" si="203"/>
        <v>0</v>
      </c>
      <c r="G1930" s="176"/>
      <c r="H1930" s="176"/>
      <c r="I1930" s="176"/>
      <c r="J1930" s="176"/>
      <c r="K1930" s="176"/>
      <c r="L1930" s="176"/>
      <c r="M1930" s="176"/>
      <c r="N1930" s="176"/>
      <c r="O1930" s="176"/>
      <c r="P1930" s="176"/>
      <c r="Q1930" s="176"/>
      <c r="R1930" s="176"/>
      <c r="S1930" s="162">
        <f t="shared" si="202"/>
        <v>0</v>
      </c>
      <c r="T1930" s="167"/>
    </row>
    <row r="1931" customHeight="1" spans="2:20">
      <c r="B1931" s="166"/>
      <c r="C1931" s="164">
        <f t="shared" si="201"/>
        <v>26</v>
      </c>
      <c r="D1931" s="158" t="str">
        <f>VLOOKUP(C1931,DMSP!$A$1:$C$39,2,0)</f>
        <v>6.BVTV</v>
      </c>
      <c r="E1931" s="159" t="str">
        <f>VLOOKUP(C1931,DMSP!$A$1:$C$39,3,0)</f>
        <v>TAMALA</v>
      </c>
      <c r="F1931" s="160">
        <f t="shared" si="203"/>
        <v>0</v>
      </c>
      <c r="G1931" s="176"/>
      <c r="H1931" s="176"/>
      <c r="I1931" s="176"/>
      <c r="J1931" s="176"/>
      <c r="K1931" s="176"/>
      <c r="L1931" s="176"/>
      <c r="M1931" s="176"/>
      <c r="N1931" s="176"/>
      <c r="O1931" s="176"/>
      <c r="P1931" s="176"/>
      <c r="Q1931" s="176"/>
      <c r="R1931" s="176"/>
      <c r="S1931" s="162">
        <f t="shared" si="202"/>
        <v>0</v>
      </c>
      <c r="T1931" s="167"/>
    </row>
    <row r="1932" customHeight="1" spans="2:20">
      <c r="B1932" s="166"/>
      <c r="C1932" s="164">
        <f t="shared" si="201"/>
        <v>27</v>
      </c>
      <c r="D1932" s="158" t="str">
        <f>VLOOKUP(C1932,DMSP!$A$1:$C$39,2,0)</f>
        <v>7.KHÁC</v>
      </c>
      <c r="E1932" s="159" t="str">
        <f>VLOOKUP(C1932,DMSP!$A$1:$C$39,3,0)</f>
        <v>KẼM VÀNG</v>
      </c>
      <c r="F1932" s="160">
        <f t="shared" si="203"/>
        <v>0</v>
      </c>
      <c r="G1932" s="176"/>
      <c r="H1932" s="176"/>
      <c r="I1932" s="176"/>
      <c r="J1932" s="176"/>
      <c r="K1932" s="176"/>
      <c r="L1932" s="176"/>
      <c r="M1932" s="176"/>
      <c r="N1932" s="176"/>
      <c r="O1932" s="176"/>
      <c r="P1932" s="176"/>
      <c r="Q1932" s="176"/>
      <c r="R1932" s="176"/>
      <c r="S1932" s="162">
        <f t="shared" si="202"/>
        <v>0</v>
      </c>
      <c r="T1932" s="167"/>
    </row>
    <row r="1933" customHeight="1" spans="2:20">
      <c r="B1933" s="166"/>
      <c r="C1933" s="164">
        <f t="shared" si="201"/>
        <v>28</v>
      </c>
      <c r="D1933" s="158" t="str">
        <f>VLOOKUP(C1933,DMSP!$A$1:$C$39,2,0)</f>
        <v>7.KHÁC</v>
      </c>
      <c r="E1933" s="159" t="str">
        <f>VLOOKUP(C1933,DMSP!$A$1:$C$39,3,0)</f>
        <v>KHÁC1</v>
      </c>
      <c r="F1933" s="160">
        <f t="shared" si="203"/>
        <v>0</v>
      </c>
      <c r="G1933" s="176"/>
      <c r="H1933" s="176"/>
      <c r="I1933" s="176"/>
      <c r="J1933" s="176"/>
      <c r="K1933" s="176"/>
      <c r="L1933" s="176"/>
      <c r="M1933" s="176"/>
      <c r="N1933" s="176"/>
      <c r="O1933" s="176"/>
      <c r="P1933" s="176"/>
      <c r="Q1933" s="176"/>
      <c r="R1933" s="176"/>
      <c r="S1933" s="162">
        <f t="shared" si="202"/>
        <v>0</v>
      </c>
      <c r="T1933" s="167"/>
    </row>
    <row r="1934" customHeight="1" spans="2:20">
      <c r="B1934" s="166"/>
      <c r="C1934" s="164">
        <f t="shared" si="201"/>
        <v>29</v>
      </c>
      <c r="D1934" s="158" t="str">
        <f>VLOOKUP(C1934,DMSP!$A$1:$C$39,2,0)</f>
        <v>7.KHÁC</v>
      </c>
      <c r="E1934" s="169" t="s">
        <v>13</v>
      </c>
      <c r="F1934" s="160">
        <f t="shared" si="203"/>
        <v>0</v>
      </c>
      <c r="G1934" s="176"/>
      <c r="H1934" s="176"/>
      <c r="I1934" s="176"/>
      <c r="J1934" s="176"/>
      <c r="K1934" s="176"/>
      <c r="L1934" s="176"/>
      <c r="M1934" s="176"/>
      <c r="N1934" s="176"/>
      <c r="O1934" s="176"/>
      <c r="P1934" s="176"/>
      <c r="Q1934" s="176"/>
      <c r="R1934" s="176"/>
      <c r="S1934" s="162">
        <f t="shared" si="202"/>
        <v>0</v>
      </c>
      <c r="T1934" s="167"/>
    </row>
    <row r="1935" customHeight="1" spans="2:20">
      <c r="B1935" s="166"/>
      <c r="C1935" s="164">
        <f t="shared" si="201"/>
        <v>30</v>
      </c>
      <c r="D1935" s="158" t="str">
        <f>VLOOKUP(C1935,DMSP!$A$1:$C$39,2,0)</f>
        <v>7.KHÁC</v>
      </c>
      <c r="E1935" s="159" t="str">
        <f>VLOOKUP(C1935,DMSP!$A$1:$C$39,3,0)</f>
        <v>RỬA RONG RÊU</v>
      </c>
      <c r="F1935" s="160">
        <f t="shared" si="203"/>
        <v>0</v>
      </c>
      <c r="G1935" s="176"/>
      <c r="H1935" s="176"/>
      <c r="I1935" s="176"/>
      <c r="J1935" s="176"/>
      <c r="K1935" s="176"/>
      <c r="L1935" s="176"/>
      <c r="M1935" s="176"/>
      <c r="N1935" s="176"/>
      <c r="O1935" s="176"/>
      <c r="P1935" s="176"/>
      <c r="Q1935" s="176"/>
      <c r="R1935" s="176"/>
      <c r="S1935" s="162">
        <f t="shared" si="202"/>
        <v>0</v>
      </c>
      <c r="T1935" s="167"/>
    </row>
    <row r="1936" customHeight="1" spans="2:20">
      <c r="B1936" s="166"/>
      <c r="C1936" s="164">
        <f t="shared" si="201"/>
        <v>31</v>
      </c>
      <c r="D1936" s="158" t="str">
        <f>VLOOKUP(C1936,DMSP!$A$1:$C$39,2,0)</f>
        <v>7.KHÁC</v>
      </c>
      <c r="E1936" s="159" t="str">
        <f>VLOOKUP(C1936,DMSP!$A$1:$C$39,3,0)</f>
        <v>TB BO</v>
      </c>
      <c r="F1936" s="160">
        <f t="shared" si="203"/>
        <v>0</v>
      </c>
      <c r="G1936" s="176"/>
      <c r="H1936" s="176"/>
      <c r="I1936" s="176"/>
      <c r="J1936" s="176"/>
      <c r="K1936" s="176"/>
      <c r="L1936" s="176"/>
      <c r="M1936" s="176"/>
      <c r="N1936" s="176"/>
      <c r="O1936" s="176"/>
      <c r="P1936" s="176"/>
      <c r="Q1936" s="176"/>
      <c r="R1936" s="176"/>
      <c r="S1936" s="162">
        <f t="shared" si="202"/>
        <v>0</v>
      </c>
      <c r="T1936" s="167"/>
    </row>
    <row r="1937" customHeight="1" spans="2:20">
      <c r="B1937" s="166"/>
      <c r="C1937" s="164">
        <f t="shared" si="201"/>
        <v>32</v>
      </c>
      <c r="D1937" s="158" t="str">
        <f>VLOOKUP(C1937,DMSP!$A$1:$C$39,2,0)</f>
        <v>7.KHÁC</v>
      </c>
      <c r="E1937" s="159" t="str">
        <f>VLOOKUP(C1937,DMSP!$A$1:$C$39,3,0)</f>
        <v>TB FRUIT</v>
      </c>
      <c r="F1937" s="160">
        <f t="shared" si="203"/>
        <v>0</v>
      </c>
      <c r="G1937" s="176"/>
      <c r="H1937" s="176"/>
      <c r="I1937" s="176"/>
      <c r="J1937" s="176"/>
      <c r="K1937" s="176"/>
      <c r="L1937" s="176"/>
      <c r="M1937" s="176"/>
      <c r="N1937" s="176"/>
      <c r="O1937" s="176"/>
      <c r="P1937" s="176"/>
      <c r="Q1937" s="176"/>
      <c r="R1937" s="176"/>
      <c r="S1937" s="162">
        <f t="shared" si="202"/>
        <v>0</v>
      </c>
      <c r="T1937" s="167"/>
    </row>
    <row r="1938" customHeight="1" spans="2:20">
      <c r="B1938" s="166"/>
      <c r="C1938" s="164">
        <f t="shared" si="201"/>
        <v>33</v>
      </c>
      <c r="D1938" s="158" t="str">
        <f>VLOOKUP(C1938,DMSP!$A$1:$C$39,2,0)</f>
        <v>7.KHÁC</v>
      </c>
      <c r="E1938" s="159" t="str">
        <f>VLOOKUP(C1938,DMSP!$A$1:$C$39,3,0)</f>
        <v>TB PHOS</v>
      </c>
      <c r="F1938" s="160">
        <f t="shared" si="203"/>
        <v>0</v>
      </c>
      <c r="G1938" s="176"/>
      <c r="H1938" s="176"/>
      <c r="I1938" s="176"/>
      <c r="J1938" s="176"/>
      <c r="K1938" s="176"/>
      <c r="L1938" s="176"/>
      <c r="M1938" s="176"/>
      <c r="N1938" s="176"/>
      <c r="O1938" s="176"/>
      <c r="P1938" s="176"/>
      <c r="Q1938" s="176"/>
      <c r="R1938" s="176"/>
      <c r="S1938" s="162">
        <f t="shared" si="202"/>
        <v>0</v>
      </c>
      <c r="T1938" s="167"/>
    </row>
    <row r="1939" customHeight="1" spans="2:20">
      <c r="B1939" s="166"/>
      <c r="C1939" s="164">
        <f t="shared" si="201"/>
        <v>34</v>
      </c>
      <c r="D1939" s="158" t="str">
        <f>VLOOKUP(C1939,DMSP!$A$1:$C$39,2,0)</f>
        <v>7.KHÁC</v>
      </c>
      <c r="E1939" s="159" t="str">
        <f>VLOOKUP(C1939,DMSP!$A$1:$C$39,3,0)</f>
        <v>TOBA BÁM DÍNH</v>
      </c>
      <c r="F1939" s="160">
        <f t="shared" si="203"/>
        <v>0</v>
      </c>
      <c r="G1939" s="176"/>
      <c r="H1939" s="176"/>
      <c r="I1939" s="176"/>
      <c r="J1939" s="176"/>
      <c r="K1939" s="176"/>
      <c r="L1939" s="176"/>
      <c r="M1939" s="176"/>
      <c r="N1939" s="176"/>
      <c r="O1939" s="176"/>
      <c r="P1939" s="176"/>
      <c r="Q1939" s="176"/>
      <c r="R1939" s="176"/>
      <c r="S1939" s="162">
        <f t="shared" si="202"/>
        <v>0</v>
      </c>
      <c r="T1939" s="167"/>
    </row>
    <row r="1940" customHeight="1" spans="2:20">
      <c r="B1940" s="166"/>
      <c r="C1940" s="164">
        <f t="shared" si="201"/>
        <v>35</v>
      </c>
      <c r="D1940" s="158" t="str">
        <f>VLOOKUP(C1940,DMSP!$A$1:$C$39,2,0)</f>
        <v>7.KHÁC</v>
      </c>
      <c r="E1940" s="159" t="str">
        <f>VLOOKUP(C1940,DMSP!$A$1:$C$39,3,0)</f>
        <v>VỌT HOA NHÃN</v>
      </c>
      <c r="F1940" s="160">
        <f t="shared" si="203"/>
        <v>0</v>
      </c>
      <c r="G1940" s="176"/>
      <c r="H1940" s="176"/>
      <c r="I1940" s="176"/>
      <c r="J1940" s="176"/>
      <c r="K1940" s="176"/>
      <c r="L1940" s="176"/>
      <c r="M1940" s="176"/>
      <c r="N1940" s="176"/>
      <c r="O1940" s="176"/>
      <c r="P1940" s="176"/>
      <c r="Q1940" s="176"/>
      <c r="R1940" s="176"/>
      <c r="S1940" s="162">
        <f t="shared" si="202"/>
        <v>0</v>
      </c>
      <c r="T1940" s="167"/>
    </row>
    <row r="1941" customHeight="1" spans="2:20">
      <c r="B1941" s="166"/>
      <c r="C1941" s="164">
        <f t="shared" si="201"/>
        <v>36</v>
      </c>
      <c r="D1941" s="158" t="str">
        <f>VLOOKUP(C1941,DMSP!$A$1:$C$39,2,0)</f>
        <v>7.KHÁC</v>
      </c>
      <c r="E1941" s="159" t="str">
        <f>VLOOKUP(C1941,DMSP!$A$1:$C$39,3,0)</f>
        <v>VỌT HOA XOÀI</v>
      </c>
      <c r="F1941" s="160">
        <f t="shared" si="203"/>
        <v>0</v>
      </c>
      <c r="G1941" s="176"/>
      <c r="H1941" s="176"/>
      <c r="I1941" s="176"/>
      <c r="J1941" s="176"/>
      <c r="K1941" s="176"/>
      <c r="L1941" s="176"/>
      <c r="M1941" s="176"/>
      <c r="N1941" s="176"/>
      <c r="O1941" s="176"/>
      <c r="P1941" s="176"/>
      <c r="Q1941" s="176"/>
      <c r="R1941" s="176"/>
      <c r="S1941" s="162">
        <f t="shared" si="202"/>
        <v>0</v>
      </c>
      <c r="T1941" s="167"/>
    </row>
    <row r="1942" customHeight="1" spans="2:20">
      <c r="B1942" s="166"/>
      <c r="C1942" s="164">
        <f t="shared" si="201"/>
        <v>37</v>
      </c>
      <c r="D1942" s="158" t="str">
        <f>VLOOKUP(C1942,DMSP!$A$1:$C$39,2,0)</f>
        <v>7.KHÁC</v>
      </c>
      <c r="E1942" s="159" t="str">
        <f>VLOOKUP(C1942,DMSP!$A$1:$C$39,3,0)</f>
        <v>VỌT HOA XOÀI</v>
      </c>
      <c r="F1942" s="160">
        <f t="shared" si="203"/>
        <v>0</v>
      </c>
      <c r="G1942" s="176"/>
      <c r="H1942" s="176"/>
      <c r="I1942" s="176"/>
      <c r="J1942" s="176"/>
      <c r="K1942" s="176"/>
      <c r="L1942" s="176"/>
      <c r="M1942" s="176"/>
      <c r="N1942" s="176"/>
      <c r="O1942" s="176"/>
      <c r="P1942" s="176"/>
      <c r="Q1942" s="176"/>
      <c r="R1942" s="176"/>
      <c r="S1942" s="162">
        <f t="shared" si="202"/>
        <v>0</v>
      </c>
      <c r="T1942" s="167"/>
    </row>
    <row r="1943" customHeight="1" spans="2:20">
      <c r="B1943" s="92"/>
      <c r="C1943" s="170">
        <f>B1906</f>
        <v>0</v>
      </c>
      <c r="D1943" s="171"/>
      <c r="E1943" s="172" t="str">
        <f>"TOTAL "&amp;B1906</f>
        <v>TOTAL </v>
      </c>
      <c r="F1943" s="173">
        <f t="shared" si="203"/>
        <v>0</v>
      </c>
      <c r="G1943" s="174">
        <f>SUM(G1906:G1942)</f>
        <v>0</v>
      </c>
      <c r="H1943" s="174">
        <f t="shared" ref="H1943:R1943" si="204">SUM(H1906:H1942)</f>
        <v>0</v>
      </c>
      <c r="I1943" s="174">
        <f t="shared" si="204"/>
        <v>0</v>
      </c>
      <c r="J1943" s="174">
        <f t="shared" si="204"/>
        <v>0</v>
      </c>
      <c r="K1943" s="174">
        <f t="shared" si="204"/>
        <v>0</v>
      </c>
      <c r="L1943" s="174">
        <f t="shared" si="204"/>
        <v>0</v>
      </c>
      <c r="M1943" s="174">
        <f t="shared" si="204"/>
        <v>0</v>
      </c>
      <c r="N1943" s="174">
        <f t="shared" si="204"/>
        <v>0</v>
      </c>
      <c r="O1943" s="174">
        <f t="shared" si="204"/>
        <v>0</v>
      </c>
      <c r="P1943" s="174">
        <f t="shared" si="204"/>
        <v>0</v>
      </c>
      <c r="Q1943" s="174">
        <f t="shared" si="204"/>
        <v>0</v>
      </c>
      <c r="R1943" s="174">
        <f t="shared" si="204"/>
        <v>0</v>
      </c>
      <c r="S1943" s="174">
        <f t="shared" si="202"/>
        <v>0</v>
      </c>
      <c r="T1943" s="175"/>
    </row>
    <row r="1944" customHeight="1" spans="2:20">
      <c r="B1944" s="156"/>
      <c r="C1944" s="157">
        <v>1</v>
      </c>
      <c r="D1944" s="158" t="str">
        <f>VLOOKUP(C1944,DMSP!$A$1:$C$39,2,0)</f>
        <v>1.TOBA XANH</v>
      </c>
      <c r="E1944" s="159" t="str">
        <f>VLOOKUP(C1944,DMSP!$A$1:$C$39,3,0)</f>
        <v>TOBA XANH</v>
      </c>
      <c r="F1944" s="160">
        <f t="shared" si="203"/>
        <v>0</v>
      </c>
      <c r="G1944" s="176"/>
      <c r="H1944" s="176"/>
      <c r="I1944" s="176"/>
      <c r="J1944" s="176"/>
      <c r="K1944" s="176"/>
      <c r="L1944" s="176"/>
      <c r="M1944" s="176"/>
      <c r="N1944" s="176"/>
      <c r="O1944" s="176"/>
      <c r="P1944" s="176"/>
      <c r="Q1944" s="176"/>
      <c r="R1944" s="176"/>
      <c r="S1944" s="162">
        <f t="shared" si="202"/>
        <v>0</v>
      </c>
      <c r="T1944" s="163">
        <f>S1981</f>
        <v>0</v>
      </c>
    </row>
    <row r="1945" customHeight="1" spans="2:20">
      <c r="B1945" s="166"/>
      <c r="C1945" s="164">
        <f t="shared" ref="C1945:C1980" si="205">C1944+1</f>
        <v>2</v>
      </c>
      <c r="D1945" s="158" t="str">
        <f>VLOOKUP(C1945,DMSP!$A$1:$C$39,2,0)</f>
        <v>2.HC</v>
      </c>
      <c r="E1945" s="159" t="str">
        <f>VLOOKUP(C1945,DMSP!$A$1:$C$39,3,0)</f>
        <v>HC BOOSTER</v>
      </c>
      <c r="F1945" s="160">
        <f t="shared" si="203"/>
        <v>0</v>
      </c>
      <c r="G1945" s="176"/>
      <c r="H1945" s="176"/>
      <c r="I1945" s="176"/>
      <c r="J1945" s="176"/>
      <c r="K1945" s="176"/>
      <c r="L1945" s="176"/>
      <c r="M1945" s="176"/>
      <c r="N1945" s="176"/>
      <c r="O1945" s="176"/>
      <c r="P1945" s="176"/>
      <c r="Q1945" s="176"/>
      <c r="R1945" s="176"/>
      <c r="S1945" s="162">
        <f t="shared" ref="S1945:S1982" si="206">SUM(G1945:R1945)</f>
        <v>0</v>
      </c>
      <c r="T1945" s="167"/>
    </row>
    <row r="1946" customHeight="1" spans="2:20">
      <c r="B1946" s="166"/>
      <c r="C1946" s="164">
        <f t="shared" si="205"/>
        <v>3</v>
      </c>
      <c r="D1946" s="158" t="str">
        <f>VLOOKUP(C1946,DMSP!$A$1:$C$39,2,0)</f>
        <v>2.HC</v>
      </c>
      <c r="E1946" s="159" t="str">
        <f>VLOOKUP(C1946,DMSP!$A$1:$C$39,3,0)</f>
        <v>HC KING-ROOT</v>
      </c>
      <c r="F1946" s="160">
        <f t="shared" si="203"/>
        <v>0</v>
      </c>
      <c r="G1946" s="176"/>
      <c r="H1946" s="176"/>
      <c r="I1946" s="176"/>
      <c r="J1946" s="176"/>
      <c r="K1946" s="176"/>
      <c r="L1946" s="176"/>
      <c r="M1946" s="176"/>
      <c r="N1946" s="176"/>
      <c r="O1946" s="176"/>
      <c r="P1946" s="176"/>
      <c r="Q1946" s="176"/>
      <c r="R1946" s="176"/>
      <c r="S1946" s="162">
        <f t="shared" si="206"/>
        <v>0</v>
      </c>
      <c r="T1946" s="167"/>
    </row>
    <row r="1947" customHeight="1" spans="2:20">
      <c r="B1947" s="166"/>
      <c r="C1947" s="164">
        <f t="shared" si="205"/>
        <v>4</v>
      </c>
      <c r="D1947" s="158" t="str">
        <f>VLOOKUP(C1947,DMSP!$A$1:$C$39,2,0)</f>
        <v>2.HC</v>
      </c>
      <c r="E1947" s="159" t="str">
        <f>VLOOKUP(C1947,DMSP!$A$1:$C$39,3,0)</f>
        <v>HAPPY FARM</v>
      </c>
      <c r="F1947" s="160">
        <f t="shared" si="203"/>
        <v>0</v>
      </c>
      <c r="G1947" s="176"/>
      <c r="H1947" s="176"/>
      <c r="I1947" s="176"/>
      <c r="J1947" s="176"/>
      <c r="K1947" s="176"/>
      <c r="L1947" s="176"/>
      <c r="M1947" s="176"/>
      <c r="N1947" s="176"/>
      <c r="O1947" s="176"/>
      <c r="P1947" s="176"/>
      <c r="Q1947" s="176"/>
      <c r="R1947" s="176"/>
      <c r="S1947" s="162">
        <f t="shared" si="206"/>
        <v>0</v>
      </c>
      <c r="T1947" s="167"/>
    </row>
    <row r="1948" customHeight="1" spans="2:20">
      <c r="B1948" s="166"/>
      <c r="C1948" s="164">
        <f t="shared" si="205"/>
        <v>5</v>
      </c>
      <c r="D1948" s="158" t="str">
        <f>VLOOKUP(C1948,DMSP!$A$1:$C$39,2,0)</f>
        <v>2.HC</v>
      </c>
      <c r="E1948" s="159" t="str">
        <f>VLOOKUP(C1948,DMSP!$A$1:$C$39,3,0)</f>
        <v>WOW</v>
      </c>
      <c r="F1948" s="160">
        <f t="shared" si="203"/>
        <v>0</v>
      </c>
      <c r="G1948" s="176"/>
      <c r="H1948" s="176"/>
      <c r="I1948" s="176"/>
      <c r="J1948" s="176"/>
      <c r="K1948" s="176"/>
      <c r="L1948" s="176"/>
      <c r="M1948" s="176"/>
      <c r="N1948" s="176"/>
      <c r="O1948" s="176"/>
      <c r="P1948" s="176"/>
      <c r="Q1948" s="176"/>
      <c r="R1948" s="176"/>
      <c r="S1948" s="162">
        <f t="shared" si="206"/>
        <v>0</v>
      </c>
      <c r="T1948" s="167"/>
    </row>
    <row r="1949" customHeight="1" spans="2:20">
      <c r="B1949" s="166"/>
      <c r="C1949" s="164">
        <f t="shared" si="205"/>
        <v>6</v>
      </c>
      <c r="D1949" s="158" t="str">
        <f>VLOOKUP(C1949,DMSP!$A$1:$C$39,2,0)</f>
        <v>3.SPRAY </v>
      </c>
      <c r="E1949" s="159" t="str">
        <f>VLOOKUP(C1949,DMSP!$A$1:$C$39,3,0)</f>
        <v>KELPIT</v>
      </c>
      <c r="F1949" s="160">
        <f t="shared" si="203"/>
        <v>0</v>
      </c>
      <c r="G1949" s="176"/>
      <c r="H1949" s="176"/>
      <c r="I1949" s="176"/>
      <c r="J1949" s="176"/>
      <c r="K1949" s="176"/>
      <c r="L1949" s="176"/>
      <c r="M1949" s="176"/>
      <c r="N1949" s="176"/>
      <c r="O1949" s="176"/>
      <c r="P1949" s="176"/>
      <c r="Q1949" s="176"/>
      <c r="R1949" s="176"/>
      <c r="S1949" s="162">
        <f t="shared" si="206"/>
        <v>0</v>
      </c>
      <c r="T1949" s="167"/>
    </row>
    <row r="1950" customHeight="1" spans="2:20">
      <c r="B1950" s="166"/>
      <c r="C1950" s="164">
        <f t="shared" si="205"/>
        <v>7</v>
      </c>
      <c r="D1950" s="158" t="str">
        <f>VLOOKUP(C1950,DMSP!$A$1:$C$39,2,0)</f>
        <v>3.SPRAY </v>
      </c>
      <c r="E1950" s="159" t="str">
        <f>VLOOKUP(C1950,DMSP!$A$1:$C$39,3,0)</f>
        <v>SI-K</v>
      </c>
      <c r="F1950" s="160">
        <f t="shared" si="203"/>
        <v>0</v>
      </c>
      <c r="G1950" s="176"/>
      <c r="H1950" s="176"/>
      <c r="I1950" s="176"/>
      <c r="J1950" s="176"/>
      <c r="K1950" s="176"/>
      <c r="L1950" s="176"/>
      <c r="M1950" s="176"/>
      <c r="N1950" s="176"/>
      <c r="O1950" s="176"/>
      <c r="P1950" s="176"/>
      <c r="Q1950" s="176"/>
      <c r="R1950" s="176"/>
      <c r="S1950" s="162">
        <f t="shared" si="206"/>
        <v>0</v>
      </c>
      <c r="T1950" s="167"/>
    </row>
    <row r="1951" customHeight="1" spans="2:20">
      <c r="B1951" s="166"/>
      <c r="C1951" s="164">
        <f t="shared" si="205"/>
        <v>8</v>
      </c>
      <c r="D1951" s="158" t="str">
        <f>VLOOKUP(C1951,DMSP!$A$1:$C$39,2,0)</f>
        <v>3.SPRAY </v>
      </c>
      <c r="E1951" s="159" t="str">
        <f>VLOOKUP(C1951,DMSP!$A$1:$C$39,3,0)</f>
        <v>SPRAY PHOS 620</v>
      </c>
      <c r="F1951" s="160">
        <f t="shared" si="203"/>
        <v>0</v>
      </c>
      <c r="G1951" s="176"/>
      <c r="H1951" s="176"/>
      <c r="I1951" s="176"/>
      <c r="J1951" s="176"/>
      <c r="K1951" s="176"/>
      <c r="L1951" s="176"/>
      <c r="M1951" s="176"/>
      <c r="N1951" s="176"/>
      <c r="O1951" s="176"/>
      <c r="P1951" s="176"/>
      <c r="Q1951" s="176"/>
      <c r="R1951" s="176"/>
      <c r="S1951" s="162">
        <f t="shared" si="206"/>
        <v>0</v>
      </c>
      <c r="T1951" s="167"/>
    </row>
    <row r="1952" customHeight="1" spans="2:20">
      <c r="B1952" s="166"/>
      <c r="C1952" s="164">
        <f t="shared" si="205"/>
        <v>9</v>
      </c>
      <c r="D1952" s="158" t="str">
        <f>VLOOKUP(C1952,DMSP!$A$1:$C$39,2,0)</f>
        <v>4.DƯỠNG RỄ</v>
      </c>
      <c r="E1952" s="159" t="str">
        <f>VLOOKUP(C1952,DMSP!$A$1:$C$39,3,0)</f>
        <v>CHITOSAN</v>
      </c>
      <c r="F1952" s="160">
        <f t="shared" si="203"/>
        <v>0</v>
      </c>
      <c r="G1952" s="176"/>
      <c r="H1952" s="176"/>
      <c r="I1952" s="176"/>
      <c r="J1952" s="176"/>
      <c r="K1952" s="176"/>
      <c r="L1952" s="176"/>
      <c r="M1952" s="176"/>
      <c r="N1952" s="176"/>
      <c r="O1952" s="176"/>
      <c r="P1952" s="176"/>
      <c r="Q1952" s="176"/>
      <c r="R1952" s="176"/>
      <c r="S1952" s="162">
        <f t="shared" si="206"/>
        <v>0</v>
      </c>
      <c r="T1952" s="167"/>
    </row>
    <row r="1953" customHeight="1" spans="2:20">
      <c r="B1953" s="166"/>
      <c r="C1953" s="164">
        <f t="shared" si="205"/>
        <v>10</v>
      </c>
      <c r="D1953" s="158" t="str">
        <f>VLOOKUP(C1953,DMSP!$A$1:$C$39,2,0)</f>
        <v>4.DƯỠNG RỄ</v>
      </c>
      <c r="E1953" s="159" t="str">
        <f>VLOOKUP(C1953,DMSP!$A$1:$C$39,3,0)</f>
        <v>ĐẠM CÁ</v>
      </c>
      <c r="F1953" s="160">
        <f t="shared" si="203"/>
        <v>0</v>
      </c>
      <c r="G1953" s="176"/>
      <c r="H1953" s="176"/>
      <c r="I1953" s="176"/>
      <c r="J1953" s="176"/>
      <c r="K1953" s="176"/>
      <c r="L1953" s="176"/>
      <c r="M1953" s="176"/>
      <c r="N1953" s="176"/>
      <c r="O1953" s="176"/>
      <c r="P1953" s="176"/>
      <c r="Q1953" s="176"/>
      <c r="R1953" s="176"/>
      <c r="S1953" s="162">
        <f t="shared" si="206"/>
        <v>0</v>
      </c>
      <c r="T1953" s="167"/>
    </row>
    <row r="1954" customHeight="1" spans="2:20">
      <c r="B1954" s="166"/>
      <c r="C1954" s="164">
        <f t="shared" si="205"/>
        <v>11</v>
      </c>
      <c r="D1954" s="158" t="str">
        <f>VLOOKUP(C1954,DMSP!$A$1:$C$39,2,0)</f>
        <v>4.DƯỠNG RỄ</v>
      </c>
      <c r="E1954" s="159" t="str">
        <f>VLOOKUP(C1954,DMSP!$A$1:$C$39,3,0)</f>
        <v>ĐẠM TÔM</v>
      </c>
      <c r="F1954" s="160">
        <f t="shared" si="203"/>
        <v>0</v>
      </c>
      <c r="G1954" s="176"/>
      <c r="H1954" s="176"/>
      <c r="I1954" s="176"/>
      <c r="J1954" s="176"/>
      <c r="K1954" s="176"/>
      <c r="L1954" s="176"/>
      <c r="M1954" s="176"/>
      <c r="N1954" s="176"/>
      <c r="O1954" s="176"/>
      <c r="P1954" s="176"/>
      <c r="Q1954" s="176"/>
      <c r="R1954" s="176"/>
      <c r="S1954" s="162">
        <f t="shared" si="206"/>
        <v>0</v>
      </c>
      <c r="T1954" s="167"/>
    </row>
    <row r="1955" customHeight="1" spans="2:20">
      <c r="B1955" s="166"/>
      <c r="C1955" s="164">
        <f t="shared" si="205"/>
        <v>12</v>
      </c>
      <c r="D1955" s="158" t="str">
        <f>VLOOKUP(C1955,DMSP!$A$1:$C$39,2,0)</f>
        <v>4.DƯỠNG RỄ</v>
      </c>
      <c r="E1955" s="159" t="str">
        <f>VLOOKUP(C1955,DMSP!$A$1:$C$39,3,0)</f>
        <v>SUPERMIC</v>
      </c>
      <c r="F1955" s="160">
        <f t="shared" si="203"/>
        <v>0</v>
      </c>
      <c r="G1955" s="176"/>
      <c r="H1955" s="176"/>
      <c r="I1955" s="176"/>
      <c r="J1955" s="176"/>
      <c r="K1955" s="176"/>
      <c r="L1955" s="176"/>
      <c r="M1955" s="176"/>
      <c r="N1955" s="176"/>
      <c r="O1955" s="176"/>
      <c r="P1955" s="176"/>
      <c r="Q1955" s="176"/>
      <c r="R1955" s="176"/>
      <c r="S1955" s="162">
        <f t="shared" si="206"/>
        <v>0</v>
      </c>
      <c r="T1955" s="167"/>
    </row>
    <row r="1956" customHeight="1" spans="2:20">
      <c r="B1956" s="166"/>
      <c r="C1956" s="164">
        <f t="shared" si="205"/>
        <v>13</v>
      </c>
      <c r="D1956" s="158" t="str">
        <f>VLOOKUP(C1956,DMSP!$A$1:$C$39,2,0)</f>
        <v>5.TRUYỀN THỐNG</v>
      </c>
      <c r="E1956" s="159" t="str">
        <f>VLOOKUP(C1956,DMSP!$A$1:$C$39,3,0)</f>
        <v>CABO</v>
      </c>
      <c r="F1956" s="160">
        <f t="shared" si="203"/>
        <v>0</v>
      </c>
      <c r="G1956" s="176"/>
      <c r="H1956" s="176"/>
      <c r="I1956" s="176"/>
      <c r="J1956" s="176"/>
      <c r="K1956" s="176"/>
      <c r="L1956" s="176"/>
      <c r="M1956" s="176"/>
      <c r="N1956" s="176"/>
      <c r="O1956" s="176"/>
      <c r="P1956" s="176"/>
      <c r="Q1956" s="176"/>
      <c r="R1956" s="176"/>
      <c r="S1956" s="162">
        <f t="shared" si="206"/>
        <v>0</v>
      </c>
      <c r="T1956" s="167"/>
    </row>
    <row r="1957" customHeight="1" spans="2:20">
      <c r="B1957" s="166"/>
      <c r="C1957" s="164">
        <f t="shared" si="205"/>
        <v>14</v>
      </c>
      <c r="D1957" s="158" t="str">
        <f>VLOOKUP(C1957,DMSP!$A$1:$C$39,2,0)</f>
        <v>5.TRUYỀN THỐNG</v>
      </c>
      <c r="E1957" s="159" t="str">
        <f>VLOOKUP(C1957,DMSP!$A$1:$C$39,3,0)</f>
        <v>F94</v>
      </c>
      <c r="F1957" s="160">
        <f t="shared" si="203"/>
        <v>0</v>
      </c>
      <c r="G1957" s="176"/>
      <c r="H1957" s="176"/>
      <c r="I1957" s="176"/>
      <c r="J1957" s="176"/>
      <c r="K1957" s="176"/>
      <c r="L1957" s="176"/>
      <c r="M1957" s="176"/>
      <c r="N1957" s="176"/>
      <c r="O1957" s="176"/>
      <c r="P1957" s="176"/>
      <c r="Q1957" s="176"/>
      <c r="R1957" s="176"/>
      <c r="S1957" s="162">
        <f t="shared" si="206"/>
        <v>0</v>
      </c>
      <c r="T1957" s="167"/>
    </row>
    <row r="1958" customHeight="1" spans="2:20">
      <c r="B1958" s="166"/>
      <c r="C1958" s="164">
        <f t="shared" si="205"/>
        <v>15</v>
      </c>
      <c r="D1958" s="158" t="str">
        <f>VLOOKUP(C1958,DMSP!$A$1:$C$39,2,0)</f>
        <v>5.TRUYỀN THỐNG</v>
      </c>
      <c r="E1958" s="159" t="str">
        <f>VLOOKUP(C1958,DMSP!$A$1:$C$39,3,0)</f>
        <v>F95</v>
      </c>
      <c r="F1958" s="160">
        <f t="shared" si="203"/>
        <v>0</v>
      </c>
      <c r="G1958" s="176"/>
      <c r="H1958" s="176"/>
      <c r="I1958" s="176"/>
      <c r="J1958" s="176"/>
      <c r="K1958" s="176"/>
      <c r="L1958" s="176"/>
      <c r="M1958" s="176"/>
      <c r="N1958" s="176"/>
      <c r="O1958" s="176"/>
      <c r="P1958" s="176"/>
      <c r="Q1958" s="176"/>
      <c r="R1958" s="176"/>
      <c r="S1958" s="162">
        <f t="shared" si="206"/>
        <v>0</v>
      </c>
      <c r="T1958" s="167"/>
    </row>
    <row r="1959" customHeight="1" spans="2:20">
      <c r="B1959" s="166"/>
      <c r="C1959" s="164">
        <f t="shared" si="205"/>
        <v>16</v>
      </c>
      <c r="D1959" s="158" t="str">
        <f>VLOOKUP(C1959,DMSP!$A$1:$C$39,2,0)</f>
        <v>5.TRUYỀN THỐNG</v>
      </c>
      <c r="E1959" s="159" t="str">
        <f>VLOOKUP(C1959,DMSP!$A$1:$C$39,3,0)</f>
        <v>THIOURE</v>
      </c>
      <c r="F1959" s="160">
        <f t="shared" si="203"/>
        <v>0</v>
      </c>
      <c r="G1959" s="176"/>
      <c r="H1959" s="176"/>
      <c r="I1959" s="176"/>
      <c r="J1959" s="176"/>
      <c r="K1959" s="176"/>
      <c r="L1959" s="176"/>
      <c r="M1959" s="176"/>
      <c r="N1959" s="176"/>
      <c r="O1959" s="176"/>
      <c r="P1959" s="176"/>
      <c r="Q1959" s="176"/>
      <c r="R1959" s="176"/>
      <c r="S1959" s="162">
        <f t="shared" si="206"/>
        <v>0</v>
      </c>
      <c r="T1959" s="167"/>
    </row>
    <row r="1960" customHeight="1" spans="2:20">
      <c r="B1960" s="166"/>
      <c r="C1960" s="164">
        <f t="shared" si="205"/>
        <v>17</v>
      </c>
      <c r="D1960" s="158" t="str">
        <f>VLOOKUP(C1960,DMSP!$A$1:$C$39,2,0)</f>
        <v>5.TRUYỀN THỐNG</v>
      </c>
      <c r="E1960" s="159" t="str">
        <f>VLOOKUP(C1960,DMSP!$A$1:$C$39,3,0)</f>
        <v>TOBA JUM</v>
      </c>
      <c r="F1960" s="160">
        <f t="shared" si="203"/>
        <v>0</v>
      </c>
      <c r="G1960" s="176"/>
      <c r="H1960" s="176"/>
      <c r="I1960" s="176"/>
      <c r="J1960" s="176"/>
      <c r="K1960" s="176"/>
      <c r="L1960" s="176"/>
      <c r="M1960" s="176"/>
      <c r="N1960" s="176"/>
      <c r="O1960" s="176"/>
      <c r="P1960" s="176"/>
      <c r="Q1960" s="176"/>
      <c r="R1960" s="176"/>
      <c r="S1960" s="162">
        <f t="shared" si="206"/>
        <v>0</v>
      </c>
      <c r="T1960" s="167"/>
    </row>
    <row r="1961" customHeight="1" spans="2:20">
      <c r="B1961" s="166"/>
      <c r="C1961" s="164">
        <f t="shared" si="205"/>
        <v>18</v>
      </c>
      <c r="D1961" s="158" t="str">
        <f>VLOOKUP(C1961,DMSP!$A$1:$C$39,2,0)</f>
        <v>5.TRUYỀN THỐNG</v>
      </c>
      <c r="E1961" s="159" t="str">
        <f>VLOOKUP(C1961,DMSP!$A$1:$C$39,3,0)</f>
        <v>TOBA NET</v>
      </c>
      <c r="F1961" s="160">
        <f t="shared" si="203"/>
        <v>0</v>
      </c>
      <c r="G1961" s="176"/>
      <c r="H1961" s="176"/>
      <c r="I1961" s="176"/>
      <c r="J1961" s="176"/>
      <c r="K1961" s="176"/>
      <c r="L1961" s="176"/>
      <c r="M1961" s="176"/>
      <c r="N1961" s="176"/>
      <c r="O1961" s="176"/>
      <c r="P1961" s="176"/>
      <c r="Q1961" s="176"/>
      <c r="R1961" s="176"/>
      <c r="S1961" s="162">
        <f t="shared" si="206"/>
        <v>0</v>
      </c>
      <c r="T1961" s="167"/>
    </row>
    <row r="1962" customHeight="1" spans="2:20">
      <c r="B1962" s="166"/>
      <c r="C1962" s="164">
        <f t="shared" si="205"/>
        <v>19</v>
      </c>
      <c r="D1962" s="158" t="str">
        <f>VLOOKUP(C1962,DMSP!$A$1:$C$39,2,0)</f>
        <v>6.BVTV</v>
      </c>
      <c r="E1962" s="159" t="str">
        <f>VLOOKUP(C1962,DMSP!$A$1:$C$39,3,0)</f>
        <v>ABAFAX 1.8</v>
      </c>
      <c r="F1962" s="160">
        <f t="shared" si="203"/>
        <v>0</v>
      </c>
      <c r="G1962" s="176"/>
      <c r="H1962" s="176"/>
      <c r="I1962" s="176"/>
      <c r="J1962" s="176"/>
      <c r="K1962" s="176"/>
      <c r="L1962" s="176"/>
      <c r="M1962" s="176"/>
      <c r="N1962" s="176"/>
      <c r="O1962" s="176"/>
      <c r="P1962" s="176"/>
      <c r="Q1962" s="176"/>
      <c r="R1962" s="176"/>
      <c r="S1962" s="162">
        <f t="shared" si="206"/>
        <v>0</v>
      </c>
      <c r="T1962" s="167"/>
    </row>
    <row r="1963" customHeight="1" spans="2:20">
      <c r="B1963" s="166"/>
      <c r="C1963" s="164">
        <f t="shared" si="205"/>
        <v>20</v>
      </c>
      <c r="D1963" s="158" t="str">
        <f>VLOOKUP(C1963,DMSP!$A$1:$C$39,2,0)</f>
        <v>6.BVTV</v>
      </c>
      <c r="E1963" s="159" t="str">
        <f>VLOOKUP(C1963,DMSP!$A$1:$C$39,3,0)</f>
        <v>ABAFAX 3.6</v>
      </c>
      <c r="F1963" s="160">
        <f t="shared" si="203"/>
        <v>0</v>
      </c>
      <c r="G1963" s="176"/>
      <c r="H1963" s="176"/>
      <c r="I1963" s="176"/>
      <c r="J1963" s="176"/>
      <c r="K1963" s="176"/>
      <c r="L1963" s="176"/>
      <c r="M1963" s="176"/>
      <c r="N1963" s="176"/>
      <c r="O1963" s="176"/>
      <c r="P1963" s="176"/>
      <c r="Q1963" s="176"/>
      <c r="R1963" s="176"/>
      <c r="S1963" s="162">
        <f t="shared" si="206"/>
        <v>0</v>
      </c>
      <c r="T1963" s="167"/>
    </row>
    <row r="1964" customHeight="1" spans="2:20">
      <c r="B1964" s="166"/>
      <c r="C1964" s="164">
        <f t="shared" si="205"/>
        <v>21</v>
      </c>
      <c r="D1964" s="158" t="str">
        <f>VLOOKUP(C1964,DMSP!$A$1:$C$39,2,0)</f>
        <v>6.BVTV</v>
      </c>
      <c r="E1964" s="159" t="str">
        <f>VLOOKUP(C1964,DMSP!$A$1:$C$39,3,0)</f>
        <v>AZET</v>
      </c>
      <c r="F1964" s="160">
        <f t="shared" si="203"/>
        <v>0</v>
      </c>
      <c r="G1964" s="176"/>
      <c r="H1964" s="176"/>
      <c r="I1964" s="176"/>
      <c r="J1964" s="176"/>
      <c r="K1964" s="176"/>
      <c r="L1964" s="176"/>
      <c r="M1964" s="176"/>
      <c r="N1964" s="176"/>
      <c r="O1964" s="176"/>
      <c r="P1964" s="176"/>
      <c r="Q1964" s="176"/>
      <c r="R1964" s="176"/>
      <c r="S1964" s="162">
        <f t="shared" si="206"/>
        <v>0</v>
      </c>
      <c r="T1964" s="167"/>
    </row>
    <row r="1965" customHeight="1" spans="2:20">
      <c r="B1965" s="166"/>
      <c r="C1965" s="164">
        <f t="shared" si="205"/>
        <v>22</v>
      </c>
      <c r="D1965" s="158" t="str">
        <f>VLOOKUP(C1965,DMSP!$A$1:$C$39,2,0)</f>
        <v>6.BVTV</v>
      </c>
      <c r="E1965" s="159" t="str">
        <f>VLOOKUP(C1965,DMSP!$A$1:$C$39,3,0)</f>
        <v>BACBA</v>
      </c>
      <c r="F1965" s="160">
        <f t="shared" si="203"/>
        <v>0</v>
      </c>
      <c r="G1965" s="176"/>
      <c r="H1965" s="176"/>
      <c r="I1965" s="176"/>
      <c r="J1965" s="176"/>
      <c r="K1965" s="176"/>
      <c r="L1965" s="176"/>
      <c r="M1965" s="176"/>
      <c r="N1965" s="176"/>
      <c r="O1965" s="176"/>
      <c r="P1965" s="176"/>
      <c r="Q1965" s="176"/>
      <c r="R1965" s="176"/>
      <c r="S1965" s="162">
        <f t="shared" si="206"/>
        <v>0</v>
      </c>
      <c r="T1965" s="167"/>
    </row>
    <row r="1966" customHeight="1" spans="2:20">
      <c r="B1966" s="166"/>
      <c r="C1966" s="164">
        <f t="shared" si="205"/>
        <v>23</v>
      </c>
      <c r="D1966" s="158" t="str">
        <f>VLOOKUP(C1966,DMSP!$A$1:$C$39,2,0)</f>
        <v>6.BVTV</v>
      </c>
      <c r="E1966" s="159" t="str">
        <f>VLOOKUP(C1966,DMSP!$A$1:$C$39,3,0)</f>
        <v>BIOROSAMIL</v>
      </c>
      <c r="F1966" s="160">
        <f t="shared" si="203"/>
        <v>0</v>
      </c>
      <c r="G1966" s="176"/>
      <c r="H1966" s="176"/>
      <c r="I1966" s="176"/>
      <c r="J1966" s="176"/>
      <c r="K1966" s="176"/>
      <c r="L1966" s="176"/>
      <c r="M1966" s="176"/>
      <c r="N1966" s="176"/>
      <c r="O1966" s="176"/>
      <c r="P1966" s="176"/>
      <c r="Q1966" s="176"/>
      <c r="R1966" s="176"/>
      <c r="S1966" s="162">
        <f t="shared" si="206"/>
        <v>0</v>
      </c>
      <c r="T1966" s="167"/>
    </row>
    <row r="1967" customHeight="1" spans="2:20">
      <c r="B1967" s="166"/>
      <c r="C1967" s="164">
        <f t="shared" si="205"/>
        <v>24</v>
      </c>
      <c r="D1967" s="158" t="str">
        <f>VLOOKUP(C1967,DMSP!$A$1:$C$39,2,0)</f>
        <v>6.BVTV</v>
      </c>
      <c r="E1967" s="159" t="str">
        <f>VLOOKUP(C1967,DMSP!$A$1:$C$39,3,0)</f>
        <v>COC 86</v>
      </c>
      <c r="F1967" s="160">
        <f t="shared" si="203"/>
        <v>0</v>
      </c>
      <c r="G1967" s="176"/>
      <c r="H1967" s="176"/>
      <c r="I1967" s="176"/>
      <c r="J1967" s="176"/>
      <c r="K1967" s="176"/>
      <c r="L1967" s="176"/>
      <c r="M1967" s="176"/>
      <c r="N1967" s="176"/>
      <c r="O1967" s="176"/>
      <c r="P1967" s="176"/>
      <c r="Q1967" s="176"/>
      <c r="R1967" s="176"/>
      <c r="S1967" s="162">
        <f t="shared" si="206"/>
        <v>0</v>
      </c>
      <c r="T1967" s="167"/>
    </row>
    <row r="1968" customHeight="1" spans="2:20">
      <c r="B1968" s="166"/>
      <c r="C1968" s="164">
        <f t="shared" si="205"/>
        <v>25</v>
      </c>
      <c r="D1968" s="158" t="str">
        <f>VLOOKUP(C1968,DMSP!$A$1:$C$39,2,0)</f>
        <v>6.BVTV</v>
      </c>
      <c r="E1968" s="159" t="str">
        <f>VLOOKUP(C1968,DMSP!$A$1:$C$39,3,0)</f>
        <v>HEXA 5</v>
      </c>
      <c r="F1968" s="160">
        <f t="shared" si="203"/>
        <v>0</v>
      </c>
      <c r="G1968" s="176"/>
      <c r="H1968" s="176"/>
      <c r="I1968" s="176"/>
      <c r="J1968" s="176"/>
      <c r="K1968" s="176"/>
      <c r="L1968" s="176"/>
      <c r="M1968" s="176"/>
      <c r="N1968" s="176"/>
      <c r="O1968" s="176"/>
      <c r="P1968" s="176"/>
      <c r="Q1968" s="176"/>
      <c r="R1968" s="176"/>
      <c r="S1968" s="162">
        <f t="shared" si="206"/>
        <v>0</v>
      </c>
      <c r="T1968" s="167"/>
    </row>
    <row r="1969" customHeight="1" spans="2:20">
      <c r="B1969" s="166"/>
      <c r="C1969" s="164">
        <f t="shared" si="205"/>
        <v>26</v>
      </c>
      <c r="D1969" s="158" t="str">
        <f>VLOOKUP(C1969,DMSP!$A$1:$C$39,2,0)</f>
        <v>6.BVTV</v>
      </c>
      <c r="E1969" s="159" t="str">
        <f>VLOOKUP(C1969,DMSP!$A$1:$C$39,3,0)</f>
        <v>TAMALA</v>
      </c>
      <c r="F1969" s="160">
        <f t="shared" si="203"/>
        <v>0</v>
      </c>
      <c r="G1969" s="176"/>
      <c r="H1969" s="176"/>
      <c r="I1969" s="176"/>
      <c r="J1969" s="176"/>
      <c r="K1969" s="176"/>
      <c r="L1969" s="176"/>
      <c r="M1969" s="176"/>
      <c r="N1969" s="176"/>
      <c r="O1969" s="176"/>
      <c r="P1969" s="176"/>
      <c r="Q1969" s="176"/>
      <c r="R1969" s="176"/>
      <c r="S1969" s="162">
        <f t="shared" si="206"/>
        <v>0</v>
      </c>
      <c r="T1969" s="167"/>
    </row>
    <row r="1970" customHeight="1" spans="2:20">
      <c r="B1970" s="166"/>
      <c r="C1970" s="164">
        <f t="shared" si="205"/>
        <v>27</v>
      </c>
      <c r="D1970" s="158" t="str">
        <f>VLOOKUP(C1970,DMSP!$A$1:$C$39,2,0)</f>
        <v>7.KHÁC</v>
      </c>
      <c r="E1970" s="159" t="str">
        <f>VLOOKUP(C1970,DMSP!$A$1:$C$39,3,0)</f>
        <v>KẼM VÀNG</v>
      </c>
      <c r="F1970" s="160">
        <f t="shared" si="203"/>
        <v>0</v>
      </c>
      <c r="G1970" s="176"/>
      <c r="H1970" s="176"/>
      <c r="I1970" s="176"/>
      <c r="J1970" s="176"/>
      <c r="K1970" s="176"/>
      <c r="L1970" s="176"/>
      <c r="M1970" s="176"/>
      <c r="N1970" s="176"/>
      <c r="O1970" s="176"/>
      <c r="P1970" s="176"/>
      <c r="Q1970" s="176"/>
      <c r="R1970" s="176"/>
      <c r="S1970" s="162">
        <f t="shared" si="206"/>
        <v>0</v>
      </c>
      <c r="T1970" s="167"/>
    </row>
    <row r="1971" customHeight="1" spans="2:20">
      <c r="B1971" s="166"/>
      <c r="C1971" s="164">
        <f t="shared" si="205"/>
        <v>28</v>
      </c>
      <c r="D1971" s="158" t="str">
        <f>VLOOKUP(C1971,DMSP!$A$1:$C$39,2,0)</f>
        <v>7.KHÁC</v>
      </c>
      <c r="E1971" s="159" t="str">
        <f>VLOOKUP(C1971,DMSP!$A$1:$C$39,3,0)</f>
        <v>KHÁC1</v>
      </c>
      <c r="F1971" s="160">
        <f t="shared" si="203"/>
        <v>0</v>
      </c>
      <c r="G1971" s="176"/>
      <c r="H1971" s="176"/>
      <c r="I1971" s="176"/>
      <c r="J1971" s="176"/>
      <c r="K1971" s="176"/>
      <c r="L1971" s="176"/>
      <c r="M1971" s="176"/>
      <c r="N1971" s="176"/>
      <c r="O1971" s="176"/>
      <c r="P1971" s="176"/>
      <c r="Q1971" s="176"/>
      <c r="R1971" s="176"/>
      <c r="S1971" s="162">
        <f t="shared" si="206"/>
        <v>0</v>
      </c>
      <c r="T1971" s="167"/>
    </row>
    <row r="1972" customHeight="1" spans="2:20">
      <c r="B1972" s="166"/>
      <c r="C1972" s="164">
        <f t="shared" si="205"/>
        <v>29</v>
      </c>
      <c r="D1972" s="158" t="str">
        <f>VLOOKUP(C1972,DMSP!$A$1:$C$39,2,0)</f>
        <v>7.KHÁC</v>
      </c>
      <c r="E1972" s="169" t="s">
        <v>13</v>
      </c>
      <c r="F1972" s="160">
        <f t="shared" si="203"/>
        <v>0</v>
      </c>
      <c r="G1972" s="176"/>
      <c r="H1972" s="176"/>
      <c r="I1972" s="176"/>
      <c r="J1972" s="176"/>
      <c r="K1972" s="176"/>
      <c r="L1972" s="176"/>
      <c r="M1972" s="176"/>
      <c r="N1972" s="176"/>
      <c r="O1972" s="176"/>
      <c r="P1972" s="176"/>
      <c r="Q1972" s="176"/>
      <c r="R1972" s="176"/>
      <c r="S1972" s="162">
        <f t="shared" si="206"/>
        <v>0</v>
      </c>
      <c r="T1972" s="167"/>
    </row>
    <row r="1973" customHeight="1" spans="2:20">
      <c r="B1973" s="166"/>
      <c r="C1973" s="164">
        <f t="shared" si="205"/>
        <v>30</v>
      </c>
      <c r="D1973" s="158" t="str">
        <f>VLOOKUP(C1973,DMSP!$A$1:$C$39,2,0)</f>
        <v>7.KHÁC</v>
      </c>
      <c r="E1973" s="159" t="str">
        <f>VLOOKUP(C1973,DMSP!$A$1:$C$39,3,0)</f>
        <v>RỬA RONG RÊU</v>
      </c>
      <c r="F1973" s="160">
        <f t="shared" si="203"/>
        <v>0</v>
      </c>
      <c r="G1973" s="176"/>
      <c r="H1973" s="176"/>
      <c r="I1973" s="176"/>
      <c r="J1973" s="176"/>
      <c r="K1973" s="176"/>
      <c r="L1973" s="176"/>
      <c r="M1973" s="176"/>
      <c r="N1973" s="176"/>
      <c r="O1973" s="176"/>
      <c r="P1973" s="176"/>
      <c r="Q1973" s="176"/>
      <c r="R1973" s="176"/>
      <c r="S1973" s="162">
        <f t="shared" si="206"/>
        <v>0</v>
      </c>
      <c r="T1973" s="167"/>
    </row>
    <row r="1974" customHeight="1" spans="2:20">
      <c r="B1974" s="166"/>
      <c r="C1974" s="164">
        <f t="shared" si="205"/>
        <v>31</v>
      </c>
      <c r="D1974" s="158" t="str">
        <f>VLOOKUP(C1974,DMSP!$A$1:$C$39,2,0)</f>
        <v>7.KHÁC</v>
      </c>
      <c r="E1974" s="159" t="str">
        <f>VLOOKUP(C1974,DMSP!$A$1:$C$39,3,0)</f>
        <v>TB BO</v>
      </c>
      <c r="F1974" s="160">
        <f t="shared" si="203"/>
        <v>0</v>
      </c>
      <c r="G1974" s="176"/>
      <c r="H1974" s="176"/>
      <c r="I1974" s="176"/>
      <c r="J1974" s="176"/>
      <c r="K1974" s="176"/>
      <c r="L1974" s="176"/>
      <c r="M1974" s="176"/>
      <c r="N1974" s="176"/>
      <c r="O1974" s="176"/>
      <c r="P1974" s="176"/>
      <c r="Q1974" s="176"/>
      <c r="R1974" s="176"/>
      <c r="S1974" s="162">
        <f t="shared" si="206"/>
        <v>0</v>
      </c>
      <c r="T1974" s="167"/>
    </row>
    <row r="1975" customHeight="1" spans="2:20">
      <c r="B1975" s="166"/>
      <c r="C1975" s="164">
        <f t="shared" si="205"/>
        <v>32</v>
      </c>
      <c r="D1975" s="158" t="str">
        <f>VLOOKUP(C1975,DMSP!$A$1:$C$39,2,0)</f>
        <v>7.KHÁC</v>
      </c>
      <c r="E1975" s="159" t="str">
        <f>VLOOKUP(C1975,DMSP!$A$1:$C$39,3,0)</f>
        <v>TB FRUIT</v>
      </c>
      <c r="F1975" s="160">
        <f t="shared" si="203"/>
        <v>0</v>
      </c>
      <c r="G1975" s="176"/>
      <c r="H1975" s="176"/>
      <c r="I1975" s="176"/>
      <c r="J1975" s="176"/>
      <c r="K1975" s="176"/>
      <c r="L1975" s="176"/>
      <c r="M1975" s="176"/>
      <c r="N1975" s="176"/>
      <c r="O1975" s="176"/>
      <c r="P1975" s="176"/>
      <c r="Q1975" s="176"/>
      <c r="R1975" s="176"/>
      <c r="S1975" s="162">
        <f t="shared" si="206"/>
        <v>0</v>
      </c>
      <c r="T1975" s="167"/>
    </row>
    <row r="1976" customHeight="1" spans="2:20">
      <c r="B1976" s="166"/>
      <c r="C1976" s="164">
        <f t="shared" si="205"/>
        <v>33</v>
      </c>
      <c r="D1976" s="158" t="str">
        <f>VLOOKUP(C1976,DMSP!$A$1:$C$39,2,0)</f>
        <v>7.KHÁC</v>
      </c>
      <c r="E1976" s="159" t="str">
        <f>VLOOKUP(C1976,DMSP!$A$1:$C$39,3,0)</f>
        <v>TB PHOS</v>
      </c>
      <c r="F1976" s="160">
        <f t="shared" si="203"/>
        <v>0</v>
      </c>
      <c r="G1976" s="176"/>
      <c r="H1976" s="176"/>
      <c r="I1976" s="176"/>
      <c r="J1976" s="176"/>
      <c r="K1976" s="176"/>
      <c r="L1976" s="176"/>
      <c r="M1976" s="176"/>
      <c r="N1976" s="176"/>
      <c r="O1976" s="176"/>
      <c r="P1976" s="176"/>
      <c r="Q1976" s="176"/>
      <c r="R1976" s="176"/>
      <c r="S1976" s="162">
        <f t="shared" si="206"/>
        <v>0</v>
      </c>
      <c r="T1976" s="167"/>
    </row>
    <row r="1977" customHeight="1" spans="2:20">
      <c r="B1977" s="166"/>
      <c r="C1977" s="164">
        <f t="shared" si="205"/>
        <v>34</v>
      </c>
      <c r="D1977" s="158" t="str">
        <f>VLOOKUP(C1977,DMSP!$A$1:$C$39,2,0)</f>
        <v>7.KHÁC</v>
      </c>
      <c r="E1977" s="159" t="str">
        <f>VLOOKUP(C1977,DMSP!$A$1:$C$39,3,0)</f>
        <v>TOBA BÁM DÍNH</v>
      </c>
      <c r="F1977" s="160">
        <f t="shared" si="203"/>
        <v>0</v>
      </c>
      <c r="G1977" s="176"/>
      <c r="H1977" s="176"/>
      <c r="I1977" s="176"/>
      <c r="J1977" s="176"/>
      <c r="K1977" s="176"/>
      <c r="L1977" s="176"/>
      <c r="M1977" s="176"/>
      <c r="N1977" s="176"/>
      <c r="O1977" s="176"/>
      <c r="P1977" s="176"/>
      <c r="Q1977" s="176"/>
      <c r="R1977" s="176"/>
      <c r="S1977" s="162">
        <f t="shared" si="206"/>
        <v>0</v>
      </c>
      <c r="T1977" s="167"/>
    </row>
    <row r="1978" customHeight="1" spans="2:20">
      <c r="B1978" s="166"/>
      <c r="C1978" s="164">
        <f t="shared" si="205"/>
        <v>35</v>
      </c>
      <c r="D1978" s="158" t="str">
        <f>VLOOKUP(C1978,DMSP!$A$1:$C$39,2,0)</f>
        <v>7.KHÁC</v>
      </c>
      <c r="E1978" s="159" t="str">
        <f>VLOOKUP(C1978,DMSP!$A$1:$C$39,3,0)</f>
        <v>VỌT HOA NHÃN</v>
      </c>
      <c r="F1978" s="160">
        <f t="shared" si="203"/>
        <v>0</v>
      </c>
      <c r="G1978" s="176"/>
      <c r="H1978" s="176"/>
      <c r="I1978" s="176"/>
      <c r="J1978" s="176"/>
      <c r="K1978" s="176"/>
      <c r="L1978" s="176"/>
      <c r="M1978" s="176"/>
      <c r="N1978" s="176"/>
      <c r="O1978" s="176"/>
      <c r="P1978" s="176"/>
      <c r="Q1978" s="176"/>
      <c r="R1978" s="176"/>
      <c r="S1978" s="162">
        <f t="shared" si="206"/>
        <v>0</v>
      </c>
      <c r="T1978" s="167"/>
    </row>
    <row r="1979" customHeight="1" spans="2:20">
      <c r="B1979" s="166"/>
      <c r="C1979" s="164">
        <f t="shared" si="205"/>
        <v>36</v>
      </c>
      <c r="D1979" s="158" t="str">
        <f>VLOOKUP(C1979,DMSP!$A$1:$C$39,2,0)</f>
        <v>7.KHÁC</v>
      </c>
      <c r="E1979" s="159" t="str">
        <f>VLOOKUP(C1979,DMSP!$A$1:$C$39,3,0)</f>
        <v>VỌT HOA XOÀI</v>
      </c>
      <c r="F1979" s="160">
        <f t="shared" si="203"/>
        <v>0</v>
      </c>
      <c r="G1979" s="176"/>
      <c r="H1979" s="176"/>
      <c r="I1979" s="176"/>
      <c r="J1979" s="176"/>
      <c r="K1979" s="176"/>
      <c r="L1979" s="176"/>
      <c r="M1979" s="176"/>
      <c r="N1979" s="176"/>
      <c r="O1979" s="176"/>
      <c r="P1979" s="176"/>
      <c r="Q1979" s="176"/>
      <c r="R1979" s="176"/>
      <c r="S1979" s="162">
        <f t="shared" si="206"/>
        <v>0</v>
      </c>
      <c r="T1979" s="167"/>
    </row>
    <row r="1980" customHeight="1" spans="2:20">
      <c r="B1980" s="166"/>
      <c r="C1980" s="164">
        <f t="shared" si="205"/>
        <v>37</v>
      </c>
      <c r="D1980" s="158" t="str">
        <f>VLOOKUP(C1980,DMSP!$A$1:$C$39,2,0)</f>
        <v>7.KHÁC</v>
      </c>
      <c r="E1980" s="159" t="str">
        <f>VLOOKUP(C1980,DMSP!$A$1:$C$39,3,0)</f>
        <v>VỌT HOA XOÀI</v>
      </c>
      <c r="F1980" s="160">
        <f t="shared" si="203"/>
        <v>0</v>
      </c>
      <c r="G1980" s="176"/>
      <c r="H1980" s="176"/>
      <c r="I1980" s="176"/>
      <c r="J1980" s="176"/>
      <c r="K1980" s="176"/>
      <c r="L1980" s="176"/>
      <c r="M1980" s="176"/>
      <c r="N1980" s="176"/>
      <c r="O1980" s="176"/>
      <c r="P1980" s="176"/>
      <c r="Q1980" s="176"/>
      <c r="R1980" s="176"/>
      <c r="S1980" s="162">
        <f t="shared" si="206"/>
        <v>0</v>
      </c>
      <c r="T1980" s="167"/>
    </row>
    <row r="1981" customHeight="1" spans="2:20">
      <c r="B1981" s="92"/>
      <c r="C1981" s="170">
        <f>B1944</f>
        <v>0</v>
      </c>
      <c r="D1981" s="171"/>
      <c r="E1981" s="172" t="str">
        <f>"TOTAL "&amp;B1944</f>
        <v>TOTAL </v>
      </c>
      <c r="F1981" s="173">
        <f t="shared" si="203"/>
        <v>0</v>
      </c>
      <c r="G1981" s="174">
        <f>SUM(G1944:G1980)</f>
        <v>0</v>
      </c>
      <c r="H1981" s="174">
        <f t="shared" ref="H1981:R1981" si="207">SUM(H1944:H1980)</f>
        <v>0</v>
      </c>
      <c r="I1981" s="174">
        <f t="shared" si="207"/>
        <v>0</v>
      </c>
      <c r="J1981" s="174">
        <f t="shared" si="207"/>
        <v>0</v>
      </c>
      <c r="K1981" s="174">
        <f t="shared" si="207"/>
        <v>0</v>
      </c>
      <c r="L1981" s="174">
        <f t="shared" si="207"/>
        <v>0</v>
      </c>
      <c r="M1981" s="174">
        <f t="shared" si="207"/>
        <v>0</v>
      </c>
      <c r="N1981" s="174">
        <f t="shared" si="207"/>
        <v>0</v>
      </c>
      <c r="O1981" s="174">
        <f t="shared" si="207"/>
        <v>0</v>
      </c>
      <c r="P1981" s="174">
        <f t="shared" si="207"/>
        <v>0</v>
      </c>
      <c r="Q1981" s="174">
        <f t="shared" si="207"/>
        <v>0</v>
      </c>
      <c r="R1981" s="174">
        <f t="shared" si="207"/>
        <v>0</v>
      </c>
      <c r="S1981" s="174">
        <f t="shared" si="206"/>
        <v>0</v>
      </c>
      <c r="T1981" s="175"/>
    </row>
    <row r="1982" customHeight="1" spans="2:20">
      <c r="B1982" s="156"/>
      <c r="C1982" s="157">
        <v>1</v>
      </c>
      <c r="D1982" s="158" t="str">
        <f>VLOOKUP(C1982,DMSP!$A$1:$C$39,2,0)</f>
        <v>1.TOBA XANH</v>
      </c>
      <c r="E1982" s="159" t="str">
        <f>VLOOKUP(C1982,DMSP!$A$1:$C$39,3,0)</f>
        <v>TOBA XANH</v>
      </c>
      <c r="F1982" s="160">
        <f t="shared" si="203"/>
        <v>0</v>
      </c>
      <c r="G1982" s="176"/>
      <c r="H1982" s="176"/>
      <c r="I1982" s="176"/>
      <c r="J1982" s="176"/>
      <c r="K1982" s="176"/>
      <c r="L1982" s="176"/>
      <c r="M1982" s="176"/>
      <c r="N1982" s="176"/>
      <c r="O1982" s="176"/>
      <c r="P1982" s="176"/>
      <c r="Q1982" s="176"/>
      <c r="R1982" s="176"/>
      <c r="S1982" s="162">
        <f t="shared" si="206"/>
        <v>0</v>
      </c>
      <c r="T1982" s="163">
        <f>S2019</f>
        <v>0</v>
      </c>
    </row>
    <row r="1983" customHeight="1" spans="2:20">
      <c r="B1983" s="166"/>
      <c r="C1983" s="164">
        <f t="shared" ref="C1983:C2018" si="208">C1982+1</f>
        <v>2</v>
      </c>
      <c r="D1983" s="158" t="str">
        <f>VLOOKUP(C1983,DMSP!$A$1:$C$39,2,0)</f>
        <v>2.HC</v>
      </c>
      <c r="E1983" s="159" t="str">
        <f>VLOOKUP(C1983,DMSP!$A$1:$C$39,3,0)</f>
        <v>HC BOOSTER</v>
      </c>
      <c r="F1983" s="160">
        <f t="shared" si="203"/>
        <v>0</v>
      </c>
      <c r="G1983" s="176"/>
      <c r="H1983" s="176"/>
      <c r="I1983" s="176"/>
      <c r="J1983" s="176"/>
      <c r="K1983" s="176"/>
      <c r="L1983" s="176"/>
      <c r="M1983" s="176"/>
      <c r="N1983" s="176"/>
      <c r="O1983" s="176"/>
      <c r="P1983" s="176"/>
      <c r="Q1983" s="176"/>
      <c r="R1983" s="176"/>
      <c r="S1983" s="162">
        <f t="shared" ref="S1983:S2020" si="209">SUM(G1983:R1983)</f>
        <v>0</v>
      </c>
      <c r="T1983" s="167"/>
    </row>
    <row r="1984" customHeight="1" spans="2:20">
      <c r="B1984" s="166"/>
      <c r="C1984" s="164">
        <f t="shared" si="208"/>
        <v>3</v>
      </c>
      <c r="D1984" s="158" t="str">
        <f>VLOOKUP(C1984,DMSP!$A$1:$C$39,2,0)</f>
        <v>2.HC</v>
      </c>
      <c r="E1984" s="159" t="str">
        <f>VLOOKUP(C1984,DMSP!$A$1:$C$39,3,0)</f>
        <v>HC KING-ROOT</v>
      </c>
      <c r="F1984" s="160">
        <f t="shared" si="203"/>
        <v>0</v>
      </c>
      <c r="G1984" s="176"/>
      <c r="H1984" s="176"/>
      <c r="I1984" s="176"/>
      <c r="J1984" s="176"/>
      <c r="K1984" s="176"/>
      <c r="L1984" s="176"/>
      <c r="M1984" s="176"/>
      <c r="N1984" s="176"/>
      <c r="O1984" s="176"/>
      <c r="P1984" s="176"/>
      <c r="Q1984" s="176"/>
      <c r="R1984" s="176"/>
      <c r="S1984" s="162">
        <f t="shared" si="209"/>
        <v>0</v>
      </c>
      <c r="T1984" s="167"/>
    </row>
    <row r="1985" customHeight="1" spans="2:20">
      <c r="B1985" s="166"/>
      <c r="C1985" s="164">
        <f t="shared" si="208"/>
        <v>4</v>
      </c>
      <c r="D1985" s="158" t="str">
        <f>VLOOKUP(C1985,DMSP!$A$1:$C$39,2,0)</f>
        <v>2.HC</v>
      </c>
      <c r="E1985" s="159" t="str">
        <f>VLOOKUP(C1985,DMSP!$A$1:$C$39,3,0)</f>
        <v>HAPPY FARM</v>
      </c>
      <c r="F1985" s="160">
        <f t="shared" si="203"/>
        <v>0</v>
      </c>
      <c r="G1985" s="176"/>
      <c r="H1985" s="176"/>
      <c r="I1985" s="176"/>
      <c r="J1985" s="176"/>
      <c r="K1985" s="176"/>
      <c r="L1985" s="176"/>
      <c r="M1985" s="176"/>
      <c r="N1985" s="176"/>
      <c r="O1985" s="176"/>
      <c r="P1985" s="176"/>
      <c r="Q1985" s="176"/>
      <c r="R1985" s="176"/>
      <c r="S1985" s="162">
        <f t="shared" si="209"/>
        <v>0</v>
      </c>
      <c r="T1985" s="167"/>
    </row>
    <row r="1986" customHeight="1" spans="2:20">
      <c r="B1986" s="166"/>
      <c r="C1986" s="164">
        <f t="shared" si="208"/>
        <v>5</v>
      </c>
      <c r="D1986" s="158" t="str">
        <f>VLOOKUP(C1986,DMSP!$A$1:$C$39,2,0)</f>
        <v>2.HC</v>
      </c>
      <c r="E1986" s="159" t="str">
        <f>VLOOKUP(C1986,DMSP!$A$1:$C$39,3,0)</f>
        <v>WOW</v>
      </c>
      <c r="F1986" s="160">
        <f t="shared" si="203"/>
        <v>0</v>
      </c>
      <c r="G1986" s="176"/>
      <c r="H1986" s="176"/>
      <c r="I1986" s="176"/>
      <c r="J1986" s="176"/>
      <c r="K1986" s="176"/>
      <c r="L1986" s="176"/>
      <c r="M1986" s="176"/>
      <c r="N1986" s="176"/>
      <c r="O1986" s="176"/>
      <c r="P1986" s="176"/>
      <c r="Q1986" s="176"/>
      <c r="R1986" s="176"/>
      <c r="S1986" s="162">
        <f t="shared" si="209"/>
        <v>0</v>
      </c>
      <c r="T1986" s="167"/>
    </row>
    <row r="1987" customHeight="1" spans="2:20">
      <c r="B1987" s="166"/>
      <c r="C1987" s="164">
        <f t="shared" si="208"/>
        <v>6</v>
      </c>
      <c r="D1987" s="158" t="str">
        <f>VLOOKUP(C1987,DMSP!$A$1:$C$39,2,0)</f>
        <v>3.SPRAY </v>
      </c>
      <c r="E1987" s="159" t="str">
        <f>VLOOKUP(C1987,DMSP!$A$1:$C$39,3,0)</f>
        <v>KELPIT</v>
      </c>
      <c r="F1987" s="160">
        <f t="shared" si="203"/>
        <v>0</v>
      </c>
      <c r="G1987" s="176"/>
      <c r="H1987" s="176"/>
      <c r="I1987" s="176"/>
      <c r="J1987" s="176"/>
      <c r="K1987" s="176"/>
      <c r="L1987" s="176"/>
      <c r="M1987" s="176"/>
      <c r="N1987" s="176"/>
      <c r="O1987" s="176"/>
      <c r="P1987" s="176"/>
      <c r="Q1987" s="176"/>
      <c r="R1987" s="176"/>
      <c r="S1987" s="162">
        <f t="shared" si="209"/>
        <v>0</v>
      </c>
      <c r="T1987" s="167"/>
    </row>
    <row r="1988" customHeight="1" spans="2:20">
      <c r="B1988" s="166"/>
      <c r="C1988" s="164">
        <f t="shared" si="208"/>
        <v>7</v>
      </c>
      <c r="D1988" s="158" t="str">
        <f>VLOOKUP(C1988,DMSP!$A$1:$C$39,2,0)</f>
        <v>3.SPRAY </v>
      </c>
      <c r="E1988" s="159" t="str">
        <f>VLOOKUP(C1988,DMSP!$A$1:$C$39,3,0)</f>
        <v>SI-K</v>
      </c>
      <c r="F1988" s="160">
        <f t="shared" si="203"/>
        <v>0</v>
      </c>
      <c r="G1988" s="176"/>
      <c r="H1988" s="176"/>
      <c r="I1988" s="176"/>
      <c r="J1988" s="176"/>
      <c r="K1988" s="176"/>
      <c r="L1988" s="176"/>
      <c r="M1988" s="176"/>
      <c r="N1988" s="176"/>
      <c r="O1988" s="176"/>
      <c r="P1988" s="176"/>
      <c r="Q1988" s="176"/>
      <c r="R1988" s="176"/>
      <c r="S1988" s="162">
        <f t="shared" si="209"/>
        <v>0</v>
      </c>
      <c r="T1988" s="167"/>
    </row>
    <row r="1989" customHeight="1" spans="2:20">
      <c r="B1989" s="166"/>
      <c r="C1989" s="164">
        <f t="shared" si="208"/>
        <v>8</v>
      </c>
      <c r="D1989" s="158" t="str">
        <f>VLOOKUP(C1989,DMSP!$A$1:$C$39,2,0)</f>
        <v>3.SPRAY </v>
      </c>
      <c r="E1989" s="159" t="str">
        <f>VLOOKUP(C1989,DMSP!$A$1:$C$39,3,0)</f>
        <v>SPRAY PHOS 620</v>
      </c>
      <c r="F1989" s="160">
        <f t="shared" si="203"/>
        <v>0</v>
      </c>
      <c r="G1989" s="176"/>
      <c r="H1989" s="176"/>
      <c r="I1989" s="176"/>
      <c r="J1989" s="176"/>
      <c r="K1989" s="176"/>
      <c r="L1989" s="176"/>
      <c r="M1989" s="176"/>
      <c r="N1989" s="176"/>
      <c r="O1989" s="176"/>
      <c r="P1989" s="176"/>
      <c r="Q1989" s="176"/>
      <c r="R1989" s="176"/>
      <c r="S1989" s="162">
        <f t="shared" si="209"/>
        <v>0</v>
      </c>
      <c r="T1989" s="167"/>
    </row>
    <row r="1990" customHeight="1" spans="2:20">
      <c r="B1990" s="166"/>
      <c r="C1990" s="164">
        <f t="shared" si="208"/>
        <v>9</v>
      </c>
      <c r="D1990" s="158" t="str">
        <f>VLOOKUP(C1990,DMSP!$A$1:$C$39,2,0)</f>
        <v>4.DƯỠNG RỄ</v>
      </c>
      <c r="E1990" s="159" t="str">
        <f>VLOOKUP(C1990,DMSP!$A$1:$C$39,3,0)</f>
        <v>CHITOSAN</v>
      </c>
      <c r="F1990" s="160">
        <f t="shared" si="203"/>
        <v>0</v>
      </c>
      <c r="G1990" s="176"/>
      <c r="H1990" s="176"/>
      <c r="I1990" s="176"/>
      <c r="J1990" s="176"/>
      <c r="K1990" s="176"/>
      <c r="L1990" s="176"/>
      <c r="M1990" s="176"/>
      <c r="N1990" s="176"/>
      <c r="O1990" s="176"/>
      <c r="P1990" s="176"/>
      <c r="Q1990" s="176"/>
      <c r="R1990" s="176"/>
      <c r="S1990" s="162">
        <f t="shared" si="209"/>
        <v>0</v>
      </c>
      <c r="T1990" s="167"/>
    </row>
    <row r="1991" customHeight="1" spans="2:20">
      <c r="B1991" s="166"/>
      <c r="C1991" s="164">
        <f t="shared" si="208"/>
        <v>10</v>
      </c>
      <c r="D1991" s="158" t="str">
        <f>VLOOKUP(C1991,DMSP!$A$1:$C$39,2,0)</f>
        <v>4.DƯỠNG RỄ</v>
      </c>
      <c r="E1991" s="159" t="str">
        <f>VLOOKUP(C1991,DMSP!$A$1:$C$39,3,0)</f>
        <v>ĐẠM CÁ</v>
      </c>
      <c r="F1991" s="160">
        <f t="shared" ref="F1991:F2054" si="210">S1991</f>
        <v>0</v>
      </c>
      <c r="G1991" s="176"/>
      <c r="H1991" s="176"/>
      <c r="I1991" s="176"/>
      <c r="J1991" s="176"/>
      <c r="K1991" s="176"/>
      <c r="L1991" s="176"/>
      <c r="M1991" s="176"/>
      <c r="N1991" s="176"/>
      <c r="O1991" s="176"/>
      <c r="P1991" s="176"/>
      <c r="Q1991" s="176"/>
      <c r="R1991" s="176"/>
      <c r="S1991" s="162">
        <f t="shared" si="209"/>
        <v>0</v>
      </c>
      <c r="T1991" s="167"/>
    </row>
    <row r="1992" customHeight="1" spans="2:20">
      <c r="B1992" s="166"/>
      <c r="C1992" s="164">
        <f t="shared" si="208"/>
        <v>11</v>
      </c>
      <c r="D1992" s="158" t="str">
        <f>VLOOKUP(C1992,DMSP!$A$1:$C$39,2,0)</f>
        <v>4.DƯỠNG RỄ</v>
      </c>
      <c r="E1992" s="159" t="str">
        <f>VLOOKUP(C1992,DMSP!$A$1:$C$39,3,0)</f>
        <v>ĐẠM TÔM</v>
      </c>
      <c r="F1992" s="160">
        <f t="shared" si="210"/>
        <v>0</v>
      </c>
      <c r="G1992" s="176"/>
      <c r="H1992" s="176"/>
      <c r="I1992" s="176"/>
      <c r="J1992" s="176"/>
      <c r="K1992" s="176"/>
      <c r="L1992" s="176"/>
      <c r="M1992" s="176"/>
      <c r="N1992" s="176"/>
      <c r="O1992" s="176"/>
      <c r="P1992" s="176"/>
      <c r="Q1992" s="176"/>
      <c r="R1992" s="176"/>
      <c r="S1992" s="162">
        <f t="shared" si="209"/>
        <v>0</v>
      </c>
      <c r="T1992" s="167"/>
    </row>
    <row r="1993" customHeight="1" spans="2:20">
      <c r="B1993" s="166"/>
      <c r="C1993" s="164">
        <f t="shared" si="208"/>
        <v>12</v>
      </c>
      <c r="D1993" s="158" t="str">
        <f>VLOOKUP(C1993,DMSP!$A$1:$C$39,2,0)</f>
        <v>4.DƯỠNG RỄ</v>
      </c>
      <c r="E1993" s="159" t="str">
        <f>VLOOKUP(C1993,DMSP!$A$1:$C$39,3,0)</f>
        <v>SUPERMIC</v>
      </c>
      <c r="F1993" s="160">
        <f t="shared" si="210"/>
        <v>0</v>
      </c>
      <c r="G1993" s="176"/>
      <c r="H1993" s="176"/>
      <c r="I1993" s="176"/>
      <c r="J1993" s="176"/>
      <c r="K1993" s="176"/>
      <c r="L1993" s="176"/>
      <c r="M1993" s="176"/>
      <c r="N1993" s="176"/>
      <c r="O1993" s="176"/>
      <c r="P1993" s="176"/>
      <c r="Q1993" s="176"/>
      <c r="R1993" s="176"/>
      <c r="S1993" s="162">
        <f t="shared" si="209"/>
        <v>0</v>
      </c>
      <c r="T1993" s="167"/>
    </row>
    <row r="1994" customHeight="1" spans="2:20">
      <c r="B1994" s="166"/>
      <c r="C1994" s="164">
        <f t="shared" si="208"/>
        <v>13</v>
      </c>
      <c r="D1994" s="158" t="str">
        <f>VLOOKUP(C1994,DMSP!$A$1:$C$39,2,0)</f>
        <v>5.TRUYỀN THỐNG</v>
      </c>
      <c r="E1994" s="159" t="str">
        <f>VLOOKUP(C1994,DMSP!$A$1:$C$39,3,0)</f>
        <v>CABO</v>
      </c>
      <c r="F1994" s="160">
        <f t="shared" si="210"/>
        <v>0</v>
      </c>
      <c r="G1994" s="176"/>
      <c r="H1994" s="176"/>
      <c r="I1994" s="176"/>
      <c r="J1994" s="176"/>
      <c r="K1994" s="176"/>
      <c r="L1994" s="176"/>
      <c r="M1994" s="176"/>
      <c r="N1994" s="176"/>
      <c r="O1994" s="176"/>
      <c r="P1994" s="176"/>
      <c r="Q1994" s="176"/>
      <c r="R1994" s="176"/>
      <c r="S1994" s="162">
        <f t="shared" si="209"/>
        <v>0</v>
      </c>
      <c r="T1994" s="167"/>
    </row>
    <row r="1995" customHeight="1" spans="2:20">
      <c r="B1995" s="166"/>
      <c r="C1995" s="164">
        <f t="shared" si="208"/>
        <v>14</v>
      </c>
      <c r="D1995" s="158" t="str">
        <f>VLOOKUP(C1995,DMSP!$A$1:$C$39,2,0)</f>
        <v>5.TRUYỀN THỐNG</v>
      </c>
      <c r="E1995" s="159" t="str">
        <f>VLOOKUP(C1995,DMSP!$A$1:$C$39,3,0)</f>
        <v>F94</v>
      </c>
      <c r="F1995" s="160">
        <f t="shared" si="210"/>
        <v>0</v>
      </c>
      <c r="G1995" s="176"/>
      <c r="H1995" s="176"/>
      <c r="I1995" s="176"/>
      <c r="J1995" s="176"/>
      <c r="K1995" s="176"/>
      <c r="L1995" s="176"/>
      <c r="M1995" s="176"/>
      <c r="N1995" s="176"/>
      <c r="O1995" s="176"/>
      <c r="P1995" s="176"/>
      <c r="Q1995" s="176"/>
      <c r="R1995" s="176"/>
      <c r="S1995" s="162">
        <f t="shared" si="209"/>
        <v>0</v>
      </c>
      <c r="T1995" s="167"/>
    </row>
    <row r="1996" customHeight="1" spans="2:20">
      <c r="B1996" s="166"/>
      <c r="C1996" s="164">
        <f t="shared" si="208"/>
        <v>15</v>
      </c>
      <c r="D1996" s="158" t="str">
        <f>VLOOKUP(C1996,DMSP!$A$1:$C$39,2,0)</f>
        <v>5.TRUYỀN THỐNG</v>
      </c>
      <c r="E1996" s="159" t="str">
        <f>VLOOKUP(C1996,DMSP!$A$1:$C$39,3,0)</f>
        <v>F95</v>
      </c>
      <c r="F1996" s="160">
        <f t="shared" si="210"/>
        <v>0</v>
      </c>
      <c r="G1996" s="176"/>
      <c r="H1996" s="176"/>
      <c r="I1996" s="176"/>
      <c r="J1996" s="176"/>
      <c r="K1996" s="176"/>
      <c r="L1996" s="176"/>
      <c r="M1996" s="176"/>
      <c r="N1996" s="176"/>
      <c r="O1996" s="176"/>
      <c r="P1996" s="176"/>
      <c r="Q1996" s="176"/>
      <c r="R1996" s="176"/>
      <c r="S1996" s="162">
        <f t="shared" si="209"/>
        <v>0</v>
      </c>
      <c r="T1996" s="167"/>
    </row>
    <row r="1997" customHeight="1" spans="2:20">
      <c r="B1997" s="166"/>
      <c r="C1997" s="164">
        <f t="shared" si="208"/>
        <v>16</v>
      </c>
      <c r="D1997" s="158" t="str">
        <f>VLOOKUP(C1997,DMSP!$A$1:$C$39,2,0)</f>
        <v>5.TRUYỀN THỐNG</v>
      </c>
      <c r="E1997" s="159" t="str">
        <f>VLOOKUP(C1997,DMSP!$A$1:$C$39,3,0)</f>
        <v>THIOURE</v>
      </c>
      <c r="F1997" s="160">
        <f t="shared" si="210"/>
        <v>0</v>
      </c>
      <c r="G1997" s="176"/>
      <c r="H1997" s="176"/>
      <c r="I1997" s="176"/>
      <c r="J1997" s="176"/>
      <c r="K1997" s="176"/>
      <c r="L1997" s="176"/>
      <c r="M1997" s="176"/>
      <c r="N1997" s="176"/>
      <c r="O1997" s="176"/>
      <c r="P1997" s="176"/>
      <c r="Q1997" s="176"/>
      <c r="R1997" s="176"/>
      <c r="S1997" s="162">
        <f t="shared" si="209"/>
        <v>0</v>
      </c>
      <c r="T1997" s="167"/>
    </row>
    <row r="1998" customHeight="1" spans="2:20">
      <c r="B1998" s="166"/>
      <c r="C1998" s="164">
        <f t="shared" si="208"/>
        <v>17</v>
      </c>
      <c r="D1998" s="158" t="str">
        <f>VLOOKUP(C1998,DMSP!$A$1:$C$39,2,0)</f>
        <v>5.TRUYỀN THỐNG</v>
      </c>
      <c r="E1998" s="159" t="str">
        <f>VLOOKUP(C1998,DMSP!$A$1:$C$39,3,0)</f>
        <v>TOBA JUM</v>
      </c>
      <c r="F1998" s="160">
        <f t="shared" si="210"/>
        <v>0</v>
      </c>
      <c r="G1998" s="176"/>
      <c r="H1998" s="176"/>
      <c r="I1998" s="176"/>
      <c r="J1998" s="176"/>
      <c r="K1998" s="176"/>
      <c r="L1998" s="176"/>
      <c r="M1998" s="176"/>
      <c r="N1998" s="176"/>
      <c r="O1998" s="176"/>
      <c r="P1998" s="176"/>
      <c r="Q1998" s="176"/>
      <c r="R1998" s="176"/>
      <c r="S1998" s="162">
        <f t="shared" si="209"/>
        <v>0</v>
      </c>
      <c r="T1998" s="167"/>
    </row>
    <row r="1999" customHeight="1" spans="2:20">
      <c r="B1999" s="166"/>
      <c r="C1999" s="164">
        <f t="shared" si="208"/>
        <v>18</v>
      </c>
      <c r="D1999" s="158" t="str">
        <f>VLOOKUP(C1999,DMSP!$A$1:$C$39,2,0)</f>
        <v>5.TRUYỀN THỐNG</v>
      </c>
      <c r="E1999" s="159" t="str">
        <f>VLOOKUP(C1999,DMSP!$A$1:$C$39,3,0)</f>
        <v>TOBA NET</v>
      </c>
      <c r="F1999" s="160">
        <f t="shared" si="210"/>
        <v>0</v>
      </c>
      <c r="G1999" s="176"/>
      <c r="H1999" s="176"/>
      <c r="I1999" s="176"/>
      <c r="J1999" s="176"/>
      <c r="K1999" s="176"/>
      <c r="L1999" s="176"/>
      <c r="M1999" s="176"/>
      <c r="N1999" s="176"/>
      <c r="O1999" s="176"/>
      <c r="P1999" s="176"/>
      <c r="Q1999" s="176"/>
      <c r="R1999" s="176"/>
      <c r="S1999" s="162">
        <f t="shared" si="209"/>
        <v>0</v>
      </c>
      <c r="T1999" s="167"/>
    </row>
    <row r="2000" customHeight="1" spans="2:20">
      <c r="B2000" s="166"/>
      <c r="C2000" s="164">
        <f t="shared" si="208"/>
        <v>19</v>
      </c>
      <c r="D2000" s="158" t="str">
        <f>VLOOKUP(C2000,DMSP!$A$1:$C$39,2,0)</f>
        <v>6.BVTV</v>
      </c>
      <c r="E2000" s="159" t="str">
        <f>VLOOKUP(C2000,DMSP!$A$1:$C$39,3,0)</f>
        <v>ABAFAX 1.8</v>
      </c>
      <c r="F2000" s="160">
        <f t="shared" si="210"/>
        <v>0</v>
      </c>
      <c r="G2000" s="176"/>
      <c r="H2000" s="176"/>
      <c r="I2000" s="176"/>
      <c r="J2000" s="176"/>
      <c r="K2000" s="176"/>
      <c r="L2000" s="176"/>
      <c r="M2000" s="176"/>
      <c r="N2000" s="176"/>
      <c r="O2000" s="176"/>
      <c r="P2000" s="176"/>
      <c r="Q2000" s="176"/>
      <c r="R2000" s="176"/>
      <c r="S2000" s="162">
        <f t="shared" si="209"/>
        <v>0</v>
      </c>
      <c r="T2000" s="167"/>
    </row>
    <row r="2001" customHeight="1" spans="2:20">
      <c r="B2001" s="166"/>
      <c r="C2001" s="164">
        <f t="shared" si="208"/>
        <v>20</v>
      </c>
      <c r="D2001" s="158" t="str">
        <f>VLOOKUP(C2001,DMSP!$A$1:$C$39,2,0)</f>
        <v>6.BVTV</v>
      </c>
      <c r="E2001" s="159" t="str">
        <f>VLOOKUP(C2001,DMSP!$A$1:$C$39,3,0)</f>
        <v>ABAFAX 3.6</v>
      </c>
      <c r="F2001" s="160">
        <f t="shared" si="210"/>
        <v>0</v>
      </c>
      <c r="G2001" s="176"/>
      <c r="H2001" s="176"/>
      <c r="I2001" s="176"/>
      <c r="J2001" s="176"/>
      <c r="K2001" s="176"/>
      <c r="L2001" s="176"/>
      <c r="M2001" s="176"/>
      <c r="N2001" s="176"/>
      <c r="O2001" s="176"/>
      <c r="P2001" s="176"/>
      <c r="Q2001" s="176"/>
      <c r="R2001" s="176"/>
      <c r="S2001" s="162">
        <f t="shared" si="209"/>
        <v>0</v>
      </c>
      <c r="T2001" s="167"/>
    </row>
    <row r="2002" customHeight="1" spans="2:20">
      <c r="B2002" s="166"/>
      <c r="C2002" s="164">
        <f t="shared" si="208"/>
        <v>21</v>
      </c>
      <c r="D2002" s="158" t="str">
        <f>VLOOKUP(C2002,DMSP!$A$1:$C$39,2,0)</f>
        <v>6.BVTV</v>
      </c>
      <c r="E2002" s="159" t="str">
        <f>VLOOKUP(C2002,DMSP!$A$1:$C$39,3,0)</f>
        <v>AZET</v>
      </c>
      <c r="F2002" s="160">
        <f t="shared" si="210"/>
        <v>0</v>
      </c>
      <c r="G2002" s="176"/>
      <c r="H2002" s="176"/>
      <c r="I2002" s="176"/>
      <c r="J2002" s="176"/>
      <c r="K2002" s="176"/>
      <c r="L2002" s="176"/>
      <c r="M2002" s="176"/>
      <c r="N2002" s="176"/>
      <c r="O2002" s="176"/>
      <c r="P2002" s="176"/>
      <c r="Q2002" s="176"/>
      <c r="R2002" s="176"/>
      <c r="S2002" s="162">
        <f t="shared" si="209"/>
        <v>0</v>
      </c>
      <c r="T2002" s="167"/>
    </row>
    <row r="2003" customHeight="1" spans="2:20">
      <c r="B2003" s="166"/>
      <c r="C2003" s="164">
        <f t="shared" si="208"/>
        <v>22</v>
      </c>
      <c r="D2003" s="158" t="str">
        <f>VLOOKUP(C2003,DMSP!$A$1:$C$39,2,0)</f>
        <v>6.BVTV</v>
      </c>
      <c r="E2003" s="159" t="str">
        <f>VLOOKUP(C2003,DMSP!$A$1:$C$39,3,0)</f>
        <v>BACBA</v>
      </c>
      <c r="F2003" s="160">
        <f t="shared" si="210"/>
        <v>0</v>
      </c>
      <c r="G2003" s="176"/>
      <c r="H2003" s="176"/>
      <c r="I2003" s="176"/>
      <c r="J2003" s="176"/>
      <c r="K2003" s="176"/>
      <c r="L2003" s="176"/>
      <c r="M2003" s="176"/>
      <c r="N2003" s="176"/>
      <c r="O2003" s="176"/>
      <c r="P2003" s="176"/>
      <c r="Q2003" s="176"/>
      <c r="R2003" s="176"/>
      <c r="S2003" s="162">
        <f t="shared" si="209"/>
        <v>0</v>
      </c>
      <c r="T2003" s="167"/>
    </row>
    <row r="2004" customHeight="1" spans="2:20">
      <c r="B2004" s="166"/>
      <c r="C2004" s="164">
        <f t="shared" si="208"/>
        <v>23</v>
      </c>
      <c r="D2004" s="158" t="str">
        <f>VLOOKUP(C2004,DMSP!$A$1:$C$39,2,0)</f>
        <v>6.BVTV</v>
      </c>
      <c r="E2004" s="159" t="str">
        <f>VLOOKUP(C2004,DMSP!$A$1:$C$39,3,0)</f>
        <v>BIOROSAMIL</v>
      </c>
      <c r="F2004" s="160">
        <f t="shared" si="210"/>
        <v>0</v>
      </c>
      <c r="G2004" s="176"/>
      <c r="H2004" s="176"/>
      <c r="I2004" s="176"/>
      <c r="J2004" s="176"/>
      <c r="K2004" s="176"/>
      <c r="L2004" s="176"/>
      <c r="M2004" s="176"/>
      <c r="N2004" s="176"/>
      <c r="O2004" s="176"/>
      <c r="P2004" s="176"/>
      <c r="Q2004" s="176"/>
      <c r="R2004" s="176"/>
      <c r="S2004" s="162">
        <f t="shared" si="209"/>
        <v>0</v>
      </c>
      <c r="T2004" s="167"/>
    </row>
    <row r="2005" customHeight="1" spans="2:20">
      <c r="B2005" s="166"/>
      <c r="C2005" s="164">
        <f t="shared" si="208"/>
        <v>24</v>
      </c>
      <c r="D2005" s="158" t="str">
        <f>VLOOKUP(C2005,DMSP!$A$1:$C$39,2,0)</f>
        <v>6.BVTV</v>
      </c>
      <c r="E2005" s="159" t="str">
        <f>VLOOKUP(C2005,DMSP!$A$1:$C$39,3,0)</f>
        <v>COC 86</v>
      </c>
      <c r="F2005" s="160">
        <f t="shared" si="210"/>
        <v>0</v>
      </c>
      <c r="G2005" s="176"/>
      <c r="H2005" s="176"/>
      <c r="I2005" s="176"/>
      <c r="J2005" s="176"/>
      <c r="K2005" s="176"/>
      <c r="L2005" s="176"/>
      <c r="M2005" s="176"/>
      <c r="N2005" s="176"/>
      <c r="O2005" s="176"/>
      <c r="P2005" s="176"/>
      <c r="Q2005" s="176"/>
      <c r="R2005" s="176"/>
      <c r="S2005" s="162">
        <f t="shared" si="209"/>
        <v>0</v>
      </c>
      <c r="T2005" s="167"/>
    </row>
    <row r="2006" customHeight="1" spans="2:20">
      <c r="B2006" s="166"/>
      <c r="C2006" s="164">
        <f t="shared" si="208"/>
        <v>25</v>
      </c>
      <c r="D2006" s="158" t="str">
        <f>VLOOKUP(C2006,DMSP!$A$1:$C$39,2,0)</f>
        <v>6.BVTV</v>
      </c>
      <c r="E2006" s="159" t="str">
        <f>VLOOKUP(C2006,DMSP!$A$1:$C$39,3,0)</f>
        <v>HEXA 5</v>
      </c>
      <c r="F2006" s="160">
        <f t="shared" si="210"/>
        <v>0</v>
      </c>
      <c r="G2006" s="176"/>
      <c r="H2006" s="176"/>
      <c r="I2006" s="176"/>
      <c r="J2006" s="176"/>
      <c r="K2006" s="176"/>
      <c r="L2006" s="176"/>
      <c r="M2006" s="176"/>
      <c r="N2006" s="176"/>
      <c r="O2006" s="176"/>
      <c r="P2006" s="176"/>
      <c r="Q2006" s="176"/>
      <c r="R2006" s="176"/>
      <c r="S2006" s="162">
        <f t="shared" si="209"/>
        <v>0</v>
      </c>
      <c r="T2006" s="167"/>
    </row>
    <row r="2007" customHeight="1" spans="2:20">
      <c r="B2007" s="166"/>
      <c r="C2007" s="164">
        <f t="shared" si="208"/>
        <v>26</v>
      </c>
      <c r="D2007" s="158" t="str">
        <f>VLOOKUP(C2007,DMSP!$A$1:$C$39,2,0)</f>
        <v>6.BVTV</v>
      </c>
      <c r="E2007" s="159" t="str">
        <f>VLOOKUP(C2007,DMSP!$A$1:$C$39,3,0)</f>
        <v>TAMALA</v>
      </c>
      <c r="F2007" s="160">
        <f t="shared" si="210"/>
        <v>0</v>
      </c>
      <c r="G2007" s="176"/>
      <c r="H2007" s="176"/>
      <c r="I2007" s="176"/>
      <c r="J2007" s="176"/>
      <c r="K2007" s="176"/>
      <c r="L2007" s="176"/>
      <c r="M2007" s="176"/>
      <c r="N2007" s="176"/>
      <c r="O2007" s="176"/>
      <c r="P2007" s="176"/>
      <c r="Q2007" s="176"/>
      <c r="R2007" s="176"/>
      <c r="S2007" s="162">
        <f t="shared" si="209"/>
        <v>0</v>
      </c>
      <c r="T2007" s="167"/>
    </row>
    <row r="2008" customHeight="1" spans="2:20">
      <c r="B2008" s="166"/>
      <c r="C2008" s="164">
        <f t="shared" si="208"/>
        <v>27</v>
      </c>
      <c r="D2008" s="158" t="str">
        <f>VLOOKUP(C2008,DMSP!$A$1:$C$39,2,0)</f>
        <v>7.KHÁC</v>
      </c>
      <c r="E2008" s="159" t="str">
        <f>VLOOKUP(C2008,DMSP!$A$1:$C$39,3,0)</f>
        <v>KẼM VÀNG</v>
      </c>
      <c r="F2008" s="160">
        <f t="shared" si="210"/>
        <v>0</v>
      </c>
      <c r="G2008" s="176"/>
      <c r="H2008" s="176"/>
      <c r="I2008" s="176"/>
      <c r="J2008" s="176"/>
      <c r="K2008" s="176"/>
      <c r="L2008" s="176"/>
      <c r="M2008" s="176"/>
      <c r="N2008" s="176"/>
      <c r="O2008" s="176"/>
      <c r="P2008" s="176"/>
      <c r="Q2008" s="176"/>
      <c r="R2008" s="176"/>
      <c r="S2008" s="162">
        <f t="shared" si="209"/>
        <v>0</v>
      </c>
      <c r="T2008" s="167"/>
    </row>
    <row r="2009" customHeight="1" spans="2:20">
      <c r="B2009" s="166"/>
      <c r="C2009" s="164">
        <f t="shared" si="208"/>
        <v>28</v>
      </c>
      <c r="D2009" s="158" t="str">
        <f>VLOOKUP(C2009,DMSP!$A$1:$C$39,2,0)</f>
        <v>7.KHÁC</v>
      </c>
      <c r="E2009" s="159" t="str">
        <f>VLOOKUP(C2009,DMSP!$A$1:$C$39,3,0)</f>
        <v>KHÁC1</v>
      </c>
      <c r="F2009" s="160">
        <f t="shared" si="210"/>
        <v>0</v>
      </c>
      <c r="G2009" s="176"/>
      <c r="H2009" s="176"/>
      <c r="I2009" s="176"/>
      <c r="J2009" s="176"/>
      <c r="K2009" s="176"/>
      <c r="L2009" s="176"/>
      <c r="M2009" s="176"/>
      <c r="N2009" s="176"/>
      <c r="O2009" s="176"/>
      <c r="P2009" s="176"/>
      <c r="Q2009" s="176"/>
      <c r="R2009" s="176"/>
      <c r="S2009" s="162">
        <f t="shared" si="209"/>
        <v>0</v>
      </c>
      <c r="T2009" s="167"/>
    </row>
    <row r="2010" customHeight="1" spans="2:20">
      <c r="B2010" s="166"/>
      <c r="C2010" s="164">
        <f t="shared" si="208"/>
        <v>29</v>
      </c>
      <c r="D2010" s="158" t="str">
        <f>VLOOKUP(C2010,DMSP!$A$1:$C$39,2,0)</f>
        <v>7.KHÁC</v>
      </c>
      <c r="E2010" s="169" t="s">
        <v>13</v>
      </c>
      <c r="F2010" s="160">
        <f t="shared" si="210"/>
        <v>0</v>
      </c>
      <c r="G2010" s="176"/>
      <c r="H2010" s="176"/>
      <c r="I2010" s="176"/>
      <c r="J2010" s="176"/>
      <c r="K2010" s="176"/>
      <c r="L2010" s="176"/>
      <c r="M2010" s="176"/>
      <c r="N2010" s="176"/>
      <c r="O2010" s="176"/>
      <c r="P2010" s="176"/>
      <c r="Q2010" s="176"/>
      <c r="R2010" s="176"/>
      <c r="S2010" s="162">
        <f t="shared" si="209"/>
        <v>0</v>
      </c>
      <c r="T2010" s="167"/>
    </row>
    <row r="2011" customHeight="1" spans="2:20">
      <c r="B2011" s="166"/>
      <c r="C2011" s="164">
        <f t="shared" si="208"/>
        <v>30</v>
      </c>
      <c r="D2011" s="158" t="str">
        <f>VLOOKUP(C2011,DMSP!$A$1:$C$39,2,0)</f>
        <v>7.KHÁC</v>
      </c>
      <c r="E2011" s="159" t="str">
        <f>VLOOKUP(C2011,DMSP!$A$1:$C$39,3,0)</f>
        <v>RỬA RONG RÊU</v>
      </c>
      <c r="F2011" s="160">
        <f t="shared" si="210"/>
        <v>0</v>
      </c>
      <c r="G2011" s="176"/>
      <c r="H2011" s="176"/>
      <c r="I2011" s="176"/>
      <c r="J2011" s="176"/>
      <c r="K2011" s="176"/>
      <c r="L2011" s="176"/>
      <c r="M2011" s="176"/>
      <c r="N2011" s="176"/>
      <c r="O2011" s="176"/>
      <c r="P2011" s="176"/>
      <c r="Q2011" s="176"/>
      <c r="R2011" s="176"/>
      <c r="S2011" s="162">
        <f t="shared" si="209"/>
        <v>0</v>
      </c>
      <c r="T2011" s="167"/>
    </row>
    <row r="2012" customHeight="1" spans="2:20">
      <c r="B2012" s="166"/>
      <c r="C2012" s="164">
        <f t="shared" si="208"/>
        <v>31</v>
      </c>
      <c r="D2012" s="158" t="str">
        <f>VLOOKUP(C2012,DMSP!$A$1:$C$39,2,0)</f>
        <v>7.KHÁC</v>
      </c>
      <c r="E2012" s="159" t="str">
        <f>VLOOKUP(C2012,DMSP!$A$1:$C$39,3,0)</f>
        <v>TB BO</v>
      </c>
      <c r="F2012" s="160">
        <f t="shared" si="210"/>
        <v>0</v>
      </c>
      <c r="G2012" s="176"/>
      <c r="H2012" s="176"/>
      <c r="I2012" s="176"/>
      <c r="J2012" s="176"/>
      <c r="K2012" s="176"/>
      <c r="L2012" s="176"/>
      <c r="M2012" s="176"/>
      <c r="N2012" s="176"/>
      <c r="O2012" s="176"/>
      <c r="P2012" s="176"/>
      <c r="Q2012" s="176"/>
      <c r="R2012" s="176"/>
      <c r="S2012" s="162">
        <f t="shared" si="209"/>
        <v>0</v>
      </c>
      <c r="T2012" s="167"/>
    </row>
    <row r="2013" customHeight="1" spans="2:20">
      <c r="B2013" s="166"/>
      <c r="C2013" s="164">
        <f t="shared" si="208"/>
        <v>32</v>
      </c>
      <c r="D2013" s="158" t="str">
        <f>VLOOKUP(C2013,DMSP!$A$1:$C$39,2,0)</f>
        <v>7.KHÁC</v>
      </c>
      <c r="E2013" s="159" t="str">
        <f>VLOOKUP(C2013,DMSP!$A$1:$C$39,3,0)</f>
        <v>TB FRUIT</v>
      </c>
      <c r="F2013" s="160">
        <f t="shared" si="210"/>
        <v>0</v>
      </c>
      <c r="G2013" s="176"/>
      <c r="H2013" s="176"/>
      <c r="I2013" s="176"/>
      <c r="J2013" s="176"/>
      <c r="K2013" s="176"/>
      <c r="L2013" s="176"/>
      <c r="M2013" s="176"/>
      <c r="N2013" s="176"/>
      <c r="O2013" s="176"/>
      <c r="P2013" s="176"/>
      <c r="Q2013" s="176"/>
      <c r="R2013" s="176"/>
      <c r="S2013" s="162">
        <f t="shared" si="209"/>
        <v>0</v>
      </c>
      <c r="T2013" s="167"/>
    </row>
    <row r="2014" customHeight="1" spans="2:20">
      <c r="B2014" s="166"/>
      <c r="C2014" s="164">
        <f t="shared" si="208"/>
        <v>33</v>
      </c>
      <c r="D2014" s="158" t="str">
        <f>VLOOKUP(C2014,DMSP!$A$1:$C$39,2,0)</f>
        <v>7.KHÁC</v>
      </c>
      <c r="E2014" s="159" t="str">
        <f>VLOOKUP(C2014,DMSP!$A$1:$C$39,3,0)</f>
        <v>TB PHOS</v>
      </c>
      <c r="F2014" s="160">
        <f t="shared" si="210"/>
        <v>0</v>
      </c>
      <c r="G2014" s="176"/>
      <c r="H2014" s="176"/>
      <c r="I2014" s="176"/>
      <c r="J2014" s="176"/>
      <c r="K2014" s="176"/>
      <c r="L2014" s="176"/>
      <c r="M2014" s="176"/>
      <c r="N2014" s="176"/>
      <c r="O2014" s="176"/>
      <c r="P2014" s="176"/>
      <c r="Q2014" s="176"/>
      <c r="R2014" s="176"/>
      <c r="S2014" s="162">
        <f t="shared" si="209"/>
        <v>0</v>
      </c>
      <c r="T2014" s="167"/>
    </row>
    <row r="2015" customHeight="1" spans="2:20">
      <c r="B2015" s="166"/>
      <c r="C2015" s="164">
        <f t="shared" si="208"/>
        <v>34</v>
      </c>
      <c r="D2015" s="158" t="str">
        <f>VLOOKUP(C2015,DMSP!$A$1:$C$39,2,0)</f>
        <v>7.KHÁC</v>
      </c>
      <c r="E2015" s="159" t="str">
        <f>VLOOKUP(C2015,DMSP!$A$1:$C$39,3,0)</f>
        <v>TOBA BÁM DÍNH</v>
      </c>
      <c r="F2015" s="160">
        <f t="shared" si="210"/>
        <v>0</v>
      </c>
      <c r="G2015" s="176"/>
      <c r="H2015" s="176"/>
      <c r="I2015" s="176"/>
      <c r="J2015" s="176"/>
      <c r="K2015" s="176"/>
      <c r="L2015" s="176"/>
      <c r="M2015" s="176"/>
      <c r="N2015" s="176"/>
      <c r="O2015" s="176"/>
      <c r="P2015" s="176"/>
      <c r="Q2015" s="176"/>
      <c r="R2015" s="176"/>
      <c r="S2015" s="162">
        <f t="shared" si="209"/>
        <v>0</v>
      </c>
      <c r="T2015" s="167"/>
    </row>
    <row r="2016" customHeight="1" spans="2:20">
      <c r="B2016" s="166"/>
      <c r="C2016" s="164">
        <f t="shared" si="208"/>
        <v>35</v>
      </c>
      <c r="D2016" s="158" t="str">
        <f>VLOOKUP(C2016,DMSP!$A$1:$C$39,2,0)</f>
        <v>7.KHÁC</v>
      </c>
      <c r="E2016" s="159" t="str">
        <f>VLOOKUP(C2016,DMSP!$A$1:$C$39,3,0)</f>
        <v>VỌT HOA NHÃN</v>
      </c>
      <c r="F2016" s="160">
        <f t="shared" si="210"/>
        <v>0</v>
      </c>
      <c r="G2016" s="176"/>
      <c r="H2016" s="176"/>
      <c r="I2016" s="176"/>
      <c r="J2016" s="176"/>
      <c r="K2016" s="176"/>
      <c r="L2016" s="176"/>
      <c r="M2016" s="176"/>
      <c r="N2016" s="176"/>
      <c r="O2016" s="176"/>
      <c r="P2016" s="176"/>
      <c r="Q2016" s="176"/>
      <c r="R2016" s="176"/>
      <c r="S2016" s="162">
        <f t="shared" si="209"/>
        <v>0</v>
      </c>
      <c r="T2016" s="167"/>
    </row>
    <row r="2017" customHeight="1" spans="2:20">
      <c r="B2017" s="166"/>
      <c r="C2017" s="164">
        <f t="shared" si="208"/>
        <v>36</v>
      </c>
      <c r="D2017" s="158" t="str">
        <f>VLOOKUP(C2017,DMSP!$A$1:$C$39,2,0)</f>
        <v>7.KHÁC</v>
      </c>
      <c r="E2017" s="159" t="str">
        <f>VLOOKUP(C2017,DMSP!$A$1:$C$39,3,0)</f>
        <v>VỌT HOA XOÀI</v>
      </c>
      <c r="F2017" s="160">
        <f t="shared" si="210"/>
        <v>0</v>
      </c>
      <c r="G2017" s="176"/>
      <c r="H2017" s="176"/>
      <c r="I2017" s="176"/>
      <c r="J2017" s="176"/>
      <c r="K2017" s="176"/>
      <c r="L2017" s="176"/>
      <c r="M2017" s="176"/>
      <c r="N2017" s="176"/>
      <c r="O2017" s="176"/>
      <c r="P2017" s="176"/>
      <c r="Q2017" s="176"/>
      <c r="R2017" s="176"/>
      <c r="S2017" s="162">
        <f t="shared" si="209"/>
        <v>0</v>
      </c>
      <c r="T2017" s="167"/>
    </row>
    <row r="2018" customHeight="1" spans="2:20">
      <c r="B2018" s="166"/>
      <c r="C2018" s="164">
        <f t="shared" si="208"/>
        <v>37</v>
      </c>
      <c r="D2018" s="158" t="str">
        <f>VLOOKUP(C2018,DMSP!$A$1:$C$39,2,0)</f>
        <v>7.KHÁC</v>
      </c>
      <c r="E2018" s="159" t="str">
        <f>VLOOKUP(C2018,DMSP!$A$1:$C$39,3,0)</f>
        <v>VỌT HOA XOÀI</v>
      </c>
      <c r="F2018" s="160">
        <f t="shared" si="210"/>
        <v>0</v>
      </c>
      <c r="G2018" s="176"/>
      <c r="H2018" s="176"/>
      <c r="I2018" s="176"/>
      <c r="J2018" s="176"/>
      <c r="K2018" s="176"/>
      <c r="L2018" s="176"/>
      <c r="M2018" s="176"/>
      <c r="N2018" s="176"/>
      <c r="O2018" s="176"/>
      <c r="P2018" s="176"/>
      <c r="Q2018" s="176"/>
      <c r="R2018" s="176"/>
      <c r="S2018" s="162">
        <f t="shared" si="209"/>
        <v>0</v>
      </c>
      <c r="T2018" s="167"/>
    </row>
    <row r="2019" customHeight="1" spans="2:20">
      <c r="B2019" s="92"/>
      <c r="C2019" s="170">
        <f>B1982</f>
        <v>0</v>
      </c>
      <c r="D2019" s="171"/>
      <c r="E2019" s="172" t="str">
        <f>"TOTAL "&amp;B1982</f>
        <v>TOTAL </v>
      </c>
      <c r="F2019" s="173">
        <f t="shared" si="210"/>
        <v>0</v>
      </c>
      <c r="G2019" s="174">
        <f>SUM(G1982:G2018)</f>
        <v>0</v>
      </c>
      <c r="H2019" s="174">
        <f t="shared" ref="H2019:R2019" si="211">SUM(H1982:H2018)</f>
        <v>0</v>
      </c>
      <c r="I2019" s="174">
        <f t="shared" si="211"/>
        <v>0</v>
      </c>
      <c r="J2019" s="174">
        <f t="shared" si="211"/>
        <v>0</v>
      </c>
      <c r="K2019" s="174">
        <f t="shared" si="211"/>
        <v>0</v>
      </c>
      <c r="L2019" s="174">
        <f t="shared" si="211"/>
        <v>0</v>
      </c>
      <c r="M2019" s="174">
        <f t="shared" si="211"/>
        <v>0</v>
      </c>
      <c r="N2019" s="174">
        <f t="shared" si="211"/>
        <v>0</v>
      </c>
      <c r="O2019" s="174">
        <f t="shared" si="211"/>
        <v>0</v>
      </c>
      <c r="P2019" s="174">
        <f t="shared" si="211"/>
        <v>0</v>
      </c>
      <c r="Q2019" s="174">
        <f t="shared" si="211"/>
        <v>0</v>
      </c>
      <c r="R2019" s="174">
        <f t="shared" si="211"/>
        <v>0</v>
      </c>
      <c r="S2019" s="174">
        <f t="shared" si="209"/>
        <v>0</v>
      </c>
      <c r="T2019" s="175"/>
    </row>
    <row r="2020" customHeight="1" spans="2:20">
      <c r="B2020" s="156"/>
      <c r="C2020" s="157">
        <v>1</v>
      </c>
      <c r="D2020" s="158" t="str">
        <f>VLOOKUP(C2020,DMSP!$A$1:$C$39,2,0)</f>
        <v>1.TOBA XANH</v>
      </c>
      <c r="E2020" s="159" t="str">
        <f>VLOOKUP(C2020,DMSP!$A$1:$C$39,3,0)</f>
        <v>TOBA XANH</v>
      </c>
      <c r="F2020" s="160">
        <f t="shared" si="210"/>
        <v>0</v>
      </c>
      <c r="G2020" s="176"/>
      <c r="H2020" s="176"/>
      <c r="I2020" s="176"/>
      <c r="J2020" s="176"/>
      <c r="K2020" s="176"/>
      <c r="L2020" s="176"/>
      <c r="M2020" s="176"/>
      <c r="N2020" s="176"/>
      <c r="O2020" s="176"/>
      <c r="P2020" s="176"/>
      <c r="Q2020" s="176"/>
      <c r="R2020" s="176"/>
      <c r="S2020" s="162">
        <f t="shared" si="209"/>
        <v>0</v>
      </c>
      <c r="T2020" s="163">
        <f>S2057</f>
        <v>0</v>
      </c>
    </row>
    <row r="2021" customHeight="1" spans="2:20">
      <c r="B2021" s="166"/>
      <c r="C2021" s="164">
        <f t="shared" ref="C2021:C2056" si="212">C2020+1</f>
        <v>2</v>
      </c>
      <c r="D2021" s="158" t="str">
        <f>VLOOKUP(C2021,DMSP!$A$1:$C$39,2,0)</f>
        <v>2.HC</v>
      </c>
      <c r="E2021" s="159" t="str">
        <f>VLOOKUP(C2021,DMSP!$A$1:$C$39,3,0)</f>
        <v>HC BOOSTER</v>
      </c>
      <c r="F2021" s="160">
        <f t="shared" si="210"/>
        <v>0</v>
      </c>
      <c r="G2021" s="176"/>
      <c r="H2021" s="176"/>
      <c r="I2021" s="176"/>
      <c r="J2021" s="176"/>
      <c r="K2021" s="176"/>
      <c r="L2021" s="176"/>
      <c r="M2021" s="176"/>
      <c r="N2021" s="176"/>
      <c r="O2021" s="176"/>
      <c r="P2021" s="176"/>
      <c r="Q2021" s="176"/>
      <c r="R2021" s="176"/>
      <c r="S2021" s="162">
        <f t="shared" ref="S2021:S2058" si="213">SUM(G2021:R2021)</f>
        <v>0</v>
      </c>
      <c r="T2021" s="167"/>
    </row>
    <row r="2022" customHeight="1" spans="2:20">
      <c r="B2022" s="166"/>
      <c r="C2022" s="164">
        <f t="shared" si="212"/>
        <v>3</v>
      </c>
      <c r="D2022" s="158" t="str">
        <f>VLOOKUP(C2022,DMSP!$A$1:$C$39,2,0)</f>
        <v>2.HC</v>
      </c>
      <c r="E2022" s="159" t="str">
        <f>VLOOKUP(C2022,DMSP!$A$1:$C$39,3,0)</f>
        <v>HC KING-ROOT</v>
      </c>
      <c r="F2022" s="160">
        <f t="shared" si="210"/>
        <v>0</v>
      </c>
      <c r="G2022" s="176"/>
      <c r="H2022" s="176"/>
      <c r="I2022" s="176"/>
      <c r="J2022" s="176"/>
      <c r="K2022" s="176"/>
      <c r="L2022" s="176"/>
      <c r="M2022" s="176"/>
      <c r="N2022" s="176"/>
      <c r="O2022" s="176"/>
      <c r="P2022" s="176"/>
      <c r="Q2022" s="176"/>
      <c r="R2022" s="176"/>
      <c r="S2022" s="162">
        <f t="shared" si="213"/>
        <v>0</v>
      </c>
      <c r="T2022" s="167"/>
    </row>
    <row r="2023" customHeight="1" spans="2:20">
      <c r="B2023" s="166"/>
      <c r="C2023" s="164">
        <f t="shared" si="212"/>
        <v>4</v>
      </c>
      <c r="D2023" s="158" t="str">
        <f>VLOOKUP(C2023,DMSP!$A$1:$C$39,2,0)</f>
        <v>2.HC</v>
      </c>
      <c r="E2023" s="159" t="str">
        <f>VLOOKUP(C2023,DMSP!$A$1:$C$39,3,0)</f>
        <v>HAPPY FARM</v>
      </c>
      <c r="F2023" s="160">
        <f t="shared" si="210"/>
        <v>0</v>
      </c>
      <c r="G2023" s="176"/>
      <c r="H2023" s="176"/>
      <c r="I2023" s="176"/>
      <c r="J2023" s="176"/>
      <c r="K2023" s="176"/>
      <c r="L2023" s="176"/>
      <c r="M2023" s="176"/>
      <c r="N2023" s="176"/>
      <c r="O2023" s="176"/>
      <c r="P2023" s="176"/>
      <c r="Q2023" s="176"/>
      <c r="R2023" s="176"/>
      <c r="S2023" s="162">
        <f t="shared" si="213"/>
        <v>0</v>
      </c>
      <c r="T2023" s="167"/>
    </row>
    <row r="2024" customHeight="1" spans="2:20">
      <c r="B2024" s="166"/>
      <c r="C2024" s="164">
        <f t="shared" si="212"/>
        <v>5</v>
      </c>
      <c r="D2024" s="158" t="str">
        <f>VLOOKUP(C2024,DMSP!$A$1:$C$39,2,0)</f>
        <v>2.HC</v>
      </c>
      <c r="E2024" s="159" t="str">
        <f>VLOOKUP(C2024,DMSP!$A$1:$C$39,3,0)</f>
        <v>WOW</v>
      </c>
      <c r="F2024" s="160">
        <f t="shared" si="210"/>
        <v>0</v>
      </c>
      <c r="G2024" s="176"/>
      <c r="H2024" s="176"/>
      <c r="I2024" s="176"/>
      <c r="J2024" s="176"/>
      <c r="K2024" s="176"/>
      <c r="L2024" s="176"/>
      <c r="M2024" s="176"/>
      <c r="N2024" s="176"/>
      <c r="O2024" s="176"/>
      <c r="P2024" s="176"/>
      <c r="Q2024" s="176"/>
      <c r="R2024" s="176"/>
      <c r="S2024" s="162">
        <f t="shared" si="213"/>
        <v>0</v>
      </c>
      <c r="T2024" s="167"/>
    </row>
    <row r="2025" customHeight="1" spans="2:20">
      <c r="B2025" s="166"/>
      <c r="C2025" s="164">
        <f t="shared" si="212"/>
        <v>6</v>
      </c>
      <c r="D2025" s="158" t="str">
        <f>VLOOKUP(C2025,DMSP!$A$1:$C$39,2,0)</f>
        <v>3.SPRAY </v>
      </c>
      <c r="E2025" s="159" t="str">
        <f>VLOOKUP(C2025,DMSP!$A$1:$C$39,3,0)</f>
        <v>KELPIT</v>
      </c>
      <c r="F2025" s="160">
        <f t="shared" si="210"/>
        <v>0</v>
      </c>
      <c r="G2025" s="176"/>
      <c r="H2025" s="176"/>
      <c r="I2025" s="176"/>
      <c r="J2025" s="176"/>
      <c r="K2025" s="176"/>
      <c r="L2025" s="176"/>
      <c r="M2025" s="176"/>
      <c r="N2025" s="176"/>
      <c r="O2025" s="176"/>
      <c r="P2025" s="176"/>
      <c r="Q2025" s="176"/>
      <c r="R2025" s="176"/>
      <c r="S2025" s="162">
        <f t="shared" si="213"/>
        <v>0</v>
      </c>
      <c r="T2025" s="167"/>
    </row>
    <row r="2026" customHeight="1" spans="2:20">
      <c r="B2026" s="166"/>
      <c r="C2026" s="164">
        <f t="shared" si="212"/>
        <v>7</v>
      </c>
      <c r="D2026" s="158" t="str">
        <f>VLOOKUP(C2026,DMSP!$A$1:$C$39,2,0)</f>
        <v>3.SPRAY </v>
      </c>
      <c r="E2026" s="159" t="str">
        <f>VLOOKUP(C2026,DMSP!$A$1:$C$39,3,0)</f>
        <v>SI-K</v>
      </c>
      <c r="F2026" s="160">
        <f t="shared" si="210"/>
        <v>0</v>
      </c>
      <c r="G2026" s="176"/>
      <c r="H2026" s="176"/>
      <c r="I2026" s="176"/>
      <c r="J2026" s="176"/>
      <c r="K2026" s="176"/>
      <c r="L2026" s="176"/>
      <c r="M2026" s="176"/>
      <c r="N2026" s="176"/>
      <c r="O2026" s="176"/>
      <c r="P2026" s="176"/>
      <c r="Q2026" s="176"/>
      <c r="R2026" s="176"/>
      <c r="S2026" s="162">
        <f t="shared" si="213"/>
        <v>0</v>
      </c>
      <c r="T2026" s="167"/>
    </row>
    <row r="2027" customHeight="1" spans="2:20">
      <c r="B2027" s="166"/>
      <c r="C2027" s="164">
        <f t="shared" si="212"/>
        <v>8</v>
      </c>
      <c r="D2027" s="158" t="str">
        <f>VLOOKUP(C2027,DMSP!$A$1:$C$39,2,0)</f>
        <v>3.SPRAY </v>
      </c>
      <c r="E2027" s="159" t="str">
        <f>VLOOKUP(C2027,DMSP!$A$1:$C$39,3,0)</f>
        <v>SPRAY PHOS 620</v>
      </c>
      <c r="F2027" s="160">
        <f t="shared" si="210"/>
        <v>0</v>
      </c>
      <c r="G2027" s="176"/>
      <c r="H2027" s="176"/>
      <c r="I2027" s="176"/>
      <c r="J2027" s="176"/>
      <c r="K2027" s="176"/>
      <c r="L2027" s="176"/>
      <c r="M2027" s="176"/>
      <c r="N2027" s="176"/>
      <c r="O2027" s="176"/>
      <c r="P2027" s="176"/>
      <c r="Q2027" s="176"/>
      <c r="R2027" s="176"/>
      <c r="S2027" s="162">
        <f t="shared" si="213"/>
        <v>0</v>
      </c>
      <c r="T2027" s="167"/>
    </row>
    <row r="2028" customHeight="1" spans="2:20">
      <c r="B2028" s="166"/>
      <c r="C2028" s="164">
        <f t="shared" si="212"/>
        <v>9</v>
      </c>
      <c r="D2028" s="158" t="str">
        <f>VLOOKUP(C2028,DMSP!$A$1:$C$39,2,0)</f>
        <v>4.DƯỠNG RỄ</v>
      </c>
      <c r="E2028" s="159" t="str">
        <f>VLOOKUP(C2028,DMSP!$A$1:$C$39,3,0)</f>
        <v>CHITOSAN</v>
      </c>
      <c r="F2028" s="160">
        <f t="shared" si="210"/>
        <v>0</v>
      </c>
      <c r="G2028" s="176"/>
      <c r="H2028" s="176"/>
      <c r="I2028" s="176"/>
      <c r="J2028" s="176"/>
      <c r="K2028" s="176"/>
      <c r="L2028" s="176"/>
      <c r="M2028" s="176"/>
      <c r="N2028" s="176"/>
      <c r="O2028" s="176"/>
      <c r="P2028" s="176"/>
      <c r="Q2028" s="176"/>
      <c r="R2028" s="176"/>
      <c r="S2028" s="162">
        <f t="shared" si="213"/>
        <v>0</v>
      </c>
      <c r="T2028" s="167"/>
    </row>
    <row r="2029" customHeight="1" spans="2:20">
      <c r="B2029" s="166"/>
      <c r="C2029" s="164">
        <f t="shared" si="212"/>
        <v>10</v>
      </c>
      <c r="D2029" s="158" t="str">
        <f>VLOOKUP(C2029,DMSP!$A$1:$C$39,2,0)</f>
        <v>4.DƯỠNG RỄ</v>
      </c>
      <c r="E2029" s="159" t="str">
        <f>VLOOKUP(C2029,DMSP!$A$1:$C$39,3,0)</f>
        <v>ĐẠM CÁ</v>
      </c>
      <c r="F2029" s="160">
        <f t="shared" si="210"/>
        <v>0</v>
      </c>
      <c r="G2029" s="176"/>
      <c r="H2029" s="176"/>
      <c r="I2029" s="176"/>
      <c r="J2029" s="176"/>
      <c r="K2029" s="176"/>
      <c r="L2029" s="176"/>
      <c r="M2029" s="176"/>
      <c r="N2029" s="176"/>
      <c r="O2029" s="176"/>
      <c r="P2029" s="176"/>
      <c r="Q2029" s="176"/>
      <c r="R2029" s="176"/>
      <c r="S2029" s="162">
        <f t="shared" si="213"/>
        <v>0</v>
      </c>
      <c r="T2029" s="167"/>
    </row>
    <row r="2030" customHeight="1" spans="2:20">
      <c r="B2030" s="166"/>
      <c r="C2030" s="164">
        <f t="shared" si="212"/>
        <v>11</v>
      </c>
      <c r="D2030" s="158" t="str">
        <f>VLOOKUP(C2030,DMSP!$A$1:$C$39,2,0)</f>
        <v>4.DƯỠNG RỄ</v>
      </c>
      <c r="E2030" s="159" t="str">
        <f>VLOOKUP(C2030,DMSP!$A$1:$C$39,3,0)</f>
        <v>ĐẠM TÔM</v>
      </c>
      <c r="F2030" s="160">
        <f t="shared" si="210"/>
        <v>0</v>
      </c>
      <c r="G2030" s="176"/>
      <c r="H2030" s="176"/>
      <c r="I2030" s="176"/>
      <c r="J2030" s="176"/>
      <c r="K2030" s="176"/>
      <c r="L2030" s="176"/>
      <c r="M2030" s="176"/>
      <c r="N2030" s="176"/>
      <c r="O2030" s="176"/>
      <c r="P2030" s="176"/>
      <c r="Q2030" s="176"/>
      <c r="R2030" s="176"/>
      <c r="S2030" s="162">
        <f t="shared" si="213"/>
        <v>0</v>
      </c>
      <c r="T2030" s="167"/>
    </row>
    <row r="2031" customHeight="1" spans="2:20">
      <c r="B2031" s="166"/>
      <c r="C2031" s="164">
        <f t="shared" si="212"/>
        <v>12</v>
      </c>
      <c r="D2031" s="158" t="str">
        <f>VLOOKUP(C2031,DMSP!$A$1:$C$39,2,0)</f>
        <v>4.DƯỠNG RỄ</v>
      </c>
      <c r="E2031" s="159" t="str">
        <f>VLOOKUP(C2031,DMSP!$A$1:$C$39,3,0)</f>
        <v>SUPERMIC</v>
      </c>
      <c r="F2031" s="160">
        <f t="shared" si="210"/>
        <v>0</v>
      </c>
      <c r="G2031" s="176"/>
      <c r="H2031" s="176"/>
      <c r="I2031" s="176"/>
      <c r="J2031" s="176"/>
      <c r="K2031" s="176"/>
      <c r="L2031" s="176"/>
      <c r="M2031" s="176"/>
      <c r="N2031" s="176"/>
      <c r="O2031" s="176"/>
      <c r="P2031" s="176"/>
      <c r="Q2031" s="176"/>
      <c r="R2031" s="176"/>
      <c r="S2031" s="162">
        <f t="shared" si="213"/>
        <v>0</v>
      </c>
      <c r="T2031" s="167"/>
    </row>
    <row r="2032" customHeight="1" spans="2:20">
      <c r="B2032" s="166"/>
      <c r="C2032" s="164">
        <f t="shared" si="212"/>
        <v>13</v>
      </c>
      <c r="D2032" s="158" t="str">
        <f>VLOOKUP(C2032,DMSP!$A$1:$C$39,2,0)</f>
        <v>5.TRUYỀN THỐNG</v>
      </c>
      <c r="E2032" s="159" t="str">
        <f>VLOOKUP(C2032,DMSP!$A$1:$C$39,3,0)</f>
        <v>CABO</v>
      </c>
      <c r="F2032" s="160">
        <f t="shared" si="210"/>
        <v>0</v>
      </c>
      <c r="G2032" s="176"/>
      <c r="H2032" s="176"/>
      <c r="I2032" s="176"/>
      <c r="J2032" s="176"/>
      <c r="K2032" s="176"/>
      <c r="L2032" s="176"/>
      <c r="M2032" s="176"/>
      <c r="N2032" s="176"/>
      <c r="O2032" s="176"/>
      <c r="P2032" s="176"/>
      <c r="Q2032" s="176"/>
      <c r="R2032" s="176"/>
      <c r="S2032" s="162">
        <f t="shared" si="213"/>
        <v>0</v>
      </c>
      <c r="T2032" s="167"/>
    </row>
    <row r="2033" customHeight="1" spans="2:20">
      <c r="B2033" s="166"/>
      <c r="C2033" s="164">
        <f t="shared" si="212"/>
        <v>14</v>
      </c>
      <c r="D2033" s="158" t="str">
        <f>VLOOKUP(C2033,DMSP!$A$1:$C$39,2,0)</f>
        <v>5.TRUYỀN THỐNG</v>
      </c>
      <c r="E2033" s="159" t="str">
        <f>VLOOKUP(C2033,DMSP!$A$1:$C$39,3,0)</f>
        <v>F94</v>
      </c>
      <c r="F2033" s="160">
        <f t="shared" si="210"/>
        <v>0</v>
      </c>
      <c r="G2033" s="176"/>
      <c r="H2033" s="176"/>
      <c r="I2033" s="176"/>
      <c r="J2033" s="176"/>
      <c r="K2033" s="176"/>
      <c r="L2033" s="176"/>
      <c r="M2033" s="176"/>
      <c r="N2033" s="176"/>
      <c r="O2033" s="176"/>
      <c r="P2033" s="176"/>
      <c r="Q2033" s="176"/>
      <c r="R2033" s="176"/>
      <c r="S2033" s="162">
        <f t="shared" si="213"/>
        <v>0</v>
      </c>
      <c r="T2033" s="167"/>
    </row>
    <row r="2034" customHeight="1" spans="2:20">
      <c r="B2034" s="166"/>
      <c r="C2034" s="164">
        <f t="shared" si="212"/>
        <v>15</v>
      </c>
      <c r="D2034" s="158" t="str">
        <f>VLOOKUP(C2034,DMSP!$A$1:$C$39,2,0)</f>
        <v>5.TRUYỀN THỐNG</v>
      </c>
      <c r="E2034" s="159" t="str">
        <f>VLOOKUP(C2034,DMSP!$A$1:$C$39,3,0)</f>
        <v>F95</v>
      </c>
      <c r="F2034" s="160">
        <f t="shared" si="210"/>
        <v>0</v>
      </c>
      <c r="G2034" s="176"/>
      <c r="H2034" s="176"/>
      <c r="I2034" s="176"/>
      <c r="J2034" s="176"/>
      <c r="K2034" s="176"/>
      <c r="L2034" s="176"/>
      <c r="M2034" s="176"/>
      <c r="N2034" s="176"/>
      <c r="O2034" s="176"/>
      <c r="P2034" s="176"/>
      <c r="Q2034" s="176"/>
      <c r="R2034" s="176"/>
      <c r="S2034" s="162">
        <f t="shared" si="213"/>
        <v>0</v>
      </c>
      <c r="T2034" s="167"/>
    </row>
    <row r="2035" customHeight="1" spans="2:20">
      <c r="B2035" s="166"/>
      <c r="C2035" s="164">
        <f t="shared" si="212"/>
        <v>16</v>
      </c>
      <c r="D2035" s="158" t="str">
        <f>VLOOKUP(C2035,DMSP!$A$1:$C$39,2,0)</f>
        <v>5.TRUYỀN THỐNG</v>
      </c>
      <c r="E2035" s="159" t="str">
        <f>VLOOKUP(C2035,DMSP!$A$1:$C$39,3,0)</f>
        <v>THIOURE</v>
      </c>
      <c r="F2035" s="160">
        <f t="shared" si="210"/>
        <v>0</v>
      </c>
      <c r="G2035" s="176"/>
      <c r="H2035" s="176"/>
      <c r="I2035" s="176"/>
      <c r="J2035" s="176"/>
      <c r="K2035" s="176"/>
      <c r="L2035" s="176"/>
      <c r="M2035" s="176"/>
      <c r="N2035" s="176"/>
      <c r="O2035" s="176"/>
      <c r="P2035" s="176"/>
      <c r="Q2035" s="176"/>
      <c r="R2035" s="176"/>
      <c r="S2035" s="162">
        <f t="shared" si="213"/>
        <v>0</v>
      </c>
      <c r="T2035" s="167"/>
    </row>
    <row r="2036" customHeight="1" spans="2:20">
      <c r="B2036" s="166"/>
      <c r="C2036" s="164">
        <f t="shared" si="212"/>
        <v>17</v>
      </c>
      <c r="D2036" s="158" t="str">
        <f>VLOOKUP(C2036,DMSP!$A$1:$C$39,2,0)</f>
        <v>5.TRUYỀN THỐNG</v>
      </c>
      <c r="E2036" s="159" t="str">
        <f>VLOOKUP(C2036,DMSP!$A$1:$C$39,3,0)</f>
        <v>TOBA JUM</v>
      </c>
      <c r="F2036" s="160">
        <f t="shared" si="210"/>
        <v>0</v>
      </c>
      <c r="G2036" s="176"/>
      <c r="H2036" s="176"/>
      <c r="I2036" s="176"/>
      <c r="J2036" s="176"/>
      <c r="K2036" s="176"/>
      <c r="L2036" s="176"/>
      <c r="M2036" s="176"/>
      <c r="N2036" s="176"/>
      <c r="O2036" s="176"/>
      <c r="P2036" s="176"/>
      <c r="Q2036" s="176"/>
      <c r="R2036" s="176"/>
      <c r="S2036" s="162">
        <f t="shared" si="213"/>
        <v>0</v>
      </c>
      <c r="T2036" s="167"/>
    </row>
    <row r="2037" customHeight="1" spans="2:20">
      <c r="B2037" s="166"/>
      <c r="C2037" s="164">
        <f t="shared" si="212"/>
        <v>18</v>
      </c>
      <c r="D2037" s="158" t="str">
        <f>VLOOKUP(C2037,DMSP!$A$1:$C$39,2,0)</f>
        <v>5.TRUYỀN THỐNG</v>
      </c>
      <c r="E2037" s="159" t="str">
        <f>VLOOKUP(C2037,DMSP!$A$1:$C$39,3,0)</f>
        <v>TOBA NET</v>
      </c>
      <c r="F2037" s="160">
        <f t="shared" si="210"/>
        <v>0</v>
      </c>
      <c r="G2037" s="176"/>
      <c r="H2037" s="176"/>
      <c r="I2037" s="176"/>
      <c r="J2037" s="176"/>
      <c r="K2037" s="176"/>
      <c r="L2037" s="176"/>
      <c r="M2037" s="176"/>
      <c r="N2037" s="176"/>
      <c r="O2037" s="176"/>
      <c r="P2037" s="176"/>
      <c r="Q2037" s="176"/>
      <c r="R2037" s="176"/>
      <c r="S2037" s="162">
        <f t="shared" si="213"/>
        <v>0</v>
      </c>
      <c r="T2037" s="167"/>
    </row>
    <row r="2038" customHeight="1" spans="2:20">
      <c r="B2038" s="166"/>
      <c r="C2038" s="164">
        <f t="shared" si="212"/>
        <v>19</v>
      </c>
      <c r="D2038" s="158" t="str">
        <f>VLOOKUP(C2038,DMSP!$A$1:$C$39,2,0)</f>
        <v>6.BVTV</v>
      </c>
      <c r="E2038" s="159" t="str">
        <f>VLOOKUP(C2038,DMSP!$A$1:$C$39,3,0)</f>
        <v>ABAFAX 1.8</v>
      </c>
      <c r="F2038" s="160">
        <f t="shared" si="210"/>
        <v>0</v>
      </c>
      <c r="G2038" s="176"/>
      <c r="H2038" s="176"/>
      <c r="I2038" s="176"/>
      <c r="J2038" s="176"/>
      <c r="K2038" s="176"/>
      <c r="L2038" s="176"/>
      <c r="M2038" s="176"/>
      <c r="N2038" s="176"/>
      <c r="O2038" s="176"/>
      <c r="P2038" s="176"/>
      <c r="Q2038" s="176"/>
      <c r="R2038" s="176"/>
      <c r="S2038" s="162">
        <f t="shared" si="213"/>
        <v>0</v>
      </c>
      <c r="T2038" s="167"/>
    </row>
    <row r="2039" customHeight="1" spans="2:20">
      <c r="B2039" s="166"/>
      <c r="C2039" s="164">
        <f t="shared" si="212"/>
        <v>20</v>
      </c>
      <c r="D2039" s="158" t="str">
        <f>VLOOKUP(C2039,DMSP!$A$1:$C$39,2,0)</f>
        <v>6.BVTV</v>
      </c>
      <c r="E2039" s="159" t="str">
        <f>VLOOKUP(C2039,DMSP!$A$1:$C$39,3,0)</f>
        <v>ABAFAX 3.6</v>
      </c>
      <c r="F2039" s="160">
        <f t="shared" si="210"/>
        <v>0</v>
      </c>
      <c r="G2039" s="176"/>
      <c r="H2039" s="176"/>
      <c r="I2039" s="176"/>
      <c r="J2039" s="176"/>
      <c r="K2039" s="176"/>
      <c r="L2039" s="176"/>
      <c r="M2039" s="176"/>
      <c r="N2039" s="176"/>
      <c r="O2039" s="176"/>
      <c r="P2039" s="176"/>
      <c r="Q2039" s="176"/>
      <c r="R2039" s="176"/>
      <c r="S2039" s="162">
        <f t="shared" si="213"/>
        <v>0</v>
      </c>
      <c r="T2039" s="167"/>
    </row>
    <row r="2040" customHeight="1" spans="2:20">
      <c r="B2040" s="166"/>
      <c r="C2040" s="164">
        <f t="shared" si="212"/>
        <v>21</v>
      </c>
      <c r="D2040" s="158" t="str">
        <f>VLOOKUP(C2040,DMSP!$A$1:$C$39,2,0)</f>
        <v>6.BVTV</v>
      </c>
      <c r="E2040" s="159" t="str">
        <f>VLOOKUP(C2040,DMSP!$A$1:$C$39,3,0)</f>
        <v>AZET</v>
      </c>
      <c r="F2040" s="160">
        <f t="shared" si="210"/>
        <v>0</v>
      </c>
      <c r="G2040" s="176"/>
      <c r="H2040" s="176"/>
      <c r="I2040" s="176"/>
      <c r="J2040" s="176"/>
      <c r="K2040" s="176"/>
      <c r="L2040" s="176"/>
      <c r="M2040" s="176"/>
      <c r="N2040" s="176"/>
      <c r="O2040" s="176"/>
      <c r="P2040" s="176"/>
      <c r="Q2040" s="176"/>
      <c r="R2040" s="176"/>
      <c r="S2040" s="162">
        <f t="shared" si="213"/>
        <v>0</v>
      </c>
      <c r="T2040" s="167"/>
    </row>
    <row r="2041" customHeight="1" spans="2:20">
      <c r="B2041" s="166"/>
      <c r="C2041" s="164">
        <f t="shared" si="212"/>
        <v>22</v>
      </c>
      <c r="D2041" s="158" t="str">
        <f>VLOOKUP(C2041,DMSP!$A$1:$C$39,2,0)</f>
        <v>6.BVTV</v>
      </c>
      <c r="E2041" s="159" t="str">
        <f>VLOOKUP(C2041,DMSP!$A$1:$C$39,3,0)</f>
        <v>BACBA</v>
      </c>
      <c r="F2041" s="160">
        <f t="shared" si="210"/>
        <v>0</v>
      </c>
      <c r="G2041" s="176"/>
      <c r="H2041" s="176"/>
      <c r="I2041" s="176"/>
      <c r="J2041" s="176"/>
      <c r="K2041" s="176"/>
      <c r="L2041" s="176"/>
      <c r="M2041" s="176"/>
      <c r="N2041" s="176"/>
      <c r="O2041" s="176"/>
      <c r="P2041" s="176"/>
      <c r="Q2041" s="176"/>
      <c r="R2041" s="176"/>
      <c r="S2041" s="162">
        <f t="shared" si="213"/>
        <v>0</v>
      </c>
      <c r="T2041" s="167"/>
    </row>
    <row r="2042" customHeight="1" spans="2:20">
      <c r="B2042" s="166"/>
      <c r="C2042" s="164">
        <f t="shared" si="212"/>
        <v>23</v>
      </c>
      <c r="D2042" s="158" t="str">
        <f>VLOOKUP(C2042,DMSP!$A$1:$C$39,2,0)</f>
        <v>6.BVTV</v>
      </c>
      <c r="E2042" s="159" t="str">
        <f>VLOOKUP(C2042,DMSP!$A$1:$C$39,3,0)</f>
        <v>BIOROSAMIL</v>
      </c>
      <c r="F2042" s="160">
        <f t="shared" si="210"/>
        <v>0</v>
      </c>
      <c r="G2042" s="176"/>
      <c r="H2042" s="176"/>
      <c r="I2042" s="176"/>
      <c r="J2042" s="176"/>
      <c r="K2042" s="176"/>
      <c r="L2042" s="176"/>
      <c r="M2042" s="176"/>
      <c r="N2042" s="176"/>
      <c r="O2042" s="176"/>
      <c r="P2042" s="176"/>
      <c r="Q2042" s="176"/>
      <c r="R2042" s="176"/>
      <c r="S2042" s="162">
        <f t="shared" si="213"/>
        <v>0</v>
      </c>
      <c r="T2042" s="167"/>
    </row>
    <row r="2043" customHeight="1" spans="2:20">
      <c r="B2043" s="166"/>
      <c r="C2043" s="164">
        <f t="shared" si="212"/>
        <v>24</v>
      </c>
      <c r="D2043" s="158" t="str">
        <f>VLOOKUP(C2043,DMSP!$A$1:$C$39,2,0)</f>
        <v>6.BVTV</v>
      </c>
      <c r="E2043" s="159" t="str">
        <f>VLOOKUP(C2043,DMSP!$A$1:$C$39,3,0)</f>
        <v>COC 86</v>
      </c>
      <c r="F2043" s="160">
        <f t="shared" si="210"/>
        <v>0</v>
      </c>
      <c r="G2043" s="176"/>
      <c r="H2043" s="176"/>
      <c r="I2043" s="176"/>
      <c r="J2043" s="176"/>
      <c r="K2043" s="176"/>
      <c r="L2043" s="176"/>
      <c r="M2043" s="176"/>
      <c r="N2043" s="176"/>
      <c r="O2043" s="176"/>
      <c r="P2043" s="176"/>
      <c r="Q2043" s="176"/>
      <c r="R2043" s="176"/>
      <c r="S2043" s="162">
        <f t="shared" si="213"/>
        <v>0</v>
      </c>
      <c r="T2043" s="167"/>
    </row>
    <row r="2044" customHeight="1" spans="2:20">
      <c r="B2044" s="166"/>
      <c r="C2044" s="164">
        <f t="shared" si="212"/>
        <v>25</v>
      </c>
      <c r="D2044" s="158" t="str">
        <f>VLOOKUP(C2044,DMSP!$A$1:$C$39,2,0)</f>
        <v>6.BVTV</v>
      </c>
      <c r="E2044" s="159" t="str">
        <f>VLOOKUP(C2044,DMSP!$A$1:$C$39,3,0)</f>
        <v>HEXA 5</v>
      </c>
      <c r="F2044" s="160">
        <f t="shared" si="210"/>
        <v>0</v>
      </c>
      <c r="G2044" s="176"/>
      <c r="H2044" s="176"/>
      <c r="I2044" s="176"/>
      <c r="J2044" s="176"/>
      <c r="K2044" s="176"/>
      <c r="L2044" s="176"/>
      <c r="M2044" s="176"/>
      <c r="N2044" s="176"/>
      <c r="O2044" s="176"/>
      <c r="P2044" s="176"/>
      <c r="Q2044" s="176"/>
      <c r="R2044" s="176"/>
      <c r="S2044" s="162">
        <f t="shared" si="213"/>
        <v>0</v>
      </c>
      <c r="T2044" s="167"/>
    </row>
    <row r="2045" customHeight="1" spans="2:20">
      <c r="B2045" s="166"/>
      <c r="C2045" s="164">
        <f t="shared" si="212"/>
        <v>26</v>
      </c>
      <c r="D2045" s="158" t="str">
        <f>VLOOKUP(C2045,DMSP!$A$1:$C$39,2,0)</f>
        <v>6.BVTV</v>
      </c>
      <c r="E2045" s="159" t="str">
        <f>VLOOKUP(C2045,DMSP!$A$1:$C$39,3,0)</f>
        <v>TAMALA</v>
      </c>
      <c r="F2045" s="160">
        <f t="shared" si="210"/>
        <v>0</v>
      </c>
      <c r="G2045" s="176"/>
      <c r="H2045" s="176"/>
      <c r="I2045" s="176"/>
      <c r="J2045" s="176"/>
      <c r="K2045" s="176"/>
      <c r="L2045" s="176"/>
      <c r="M2045" s="176"/>
      <c r="N2045" s="176"/>
      <c r="O2045" s="176"/>
      <c r="P2045" s="176"/>
      <c r="Q2045" s="176"/>
      <c r="R2045" s="176"/>
      <c r="S2045" s="162">
        <f t="shared" si="213"/>
        <v>0</v>
      </c>
      <c r="T2045" s="167"/>
    </row>
    <row r="2046" customHeight="1" spans="2:20">
      <c r="B2046" s="166"/>
      <c r="C2046" s="164">
        <f t="shared" si="212"/>
        <v>27</v>
      </c>
      <c r="D2046" s="158" t="str">
        <f>VLOOKUP(C2046,DMSP!$A$1:$C$39,2,0)</f>
        <v>7.KHÁC</v>
      </c>
      <c r="E2046" s="159" t="str">
        <f>VLOOKUP(C2046,DMSP!$A$1:$C$39,3,0)</f>
        <v>KẼM VÀNG</v>
      </c>
      <c r="F2046" s="160">
        <f t="shared" si="210"/>
        <v>0</v>
      </c>
      <c r="G2046" s="176"/>
      <c r="H2046" s="176"/>
      <c r="I2046" s="176"/>
      <c r="J2046" s="176"/>
      <c r="K2046" s="176"/>
      <c r="L2046" s="176"/>
      <c r="M2046" s="176"/>
      <c r="N2046" s="176"/>
      <c r="O2046" s="176"/>
      <c r="P2046" s="176"/>
      <c r="Q2046" s="176"/>
      <c r="R2046" s="176"/>
      <c r="S2046" s="162">
        <f t="shared" si="213"/>
        <v>0</v>
      </c>
      <c r="T2046" s="167"/>
    </row>
    <row r="2047" customHeight="1" spans="2:20">
      <c r="B2047" s="166"/>
      <c r="C2047" s="164">
        <f t="shared" si="212"/>
        <v>28</v>
      </c>
      <c r="D2047" s="158" t="str">
        <f>VLOOKUP(C2047,DMSP!$A$1:$C$39,2,0)</f>
        <v>7.KHÁC</v>
      </c>
      <c r="E2047" s="159" t="str">
        <f>VLOOKUP(C2047,DMSP!$A$1:$C$39,3,0)</f>
        <v>KHÁC1</v>
      </c>
      <c r="F2047" s="160">
        <f t="shared" si="210"/>
        <v>0</v>
      </c>
      <c r="G2047" s="176"/>
      <c r="H2047" s="176"/>
      <c r="I2047" s="176"/>
      <c r="J2047" s="176"/>
      <c r="K2047" s="176"/>
      <c r="L2047" s="176"/>
      <c r="M2047" s="176"/>
      <c r="N2047" s="176"/>
      <c r="O2047" s="176"/>
      <c r="P2047" s="176"/>
      <c r="Q2047" s="176"/>
      <c r="R2047" s="176"/>
      <c r="S2047" s="162">
        <f t="shared" si="213"/>
        <v>0</v>
      </c>
      <c r="T2047" s="167"/>
    </row>
    <row r="2048" customHeight="1" spans="2:20">
      <c r="B2048" s="166"/>
      <c r="C2048" s="164">
        <f t="shared" si="212"/>
        <v>29</v>
      </c>
      <c r="D2048" s="158" t="str">
        <f>VLOOKUP(C2048,DMSP!$A$1:$C$39,2,0)</f>
        <v>7.KHÁC</v>
      </c>
      <c r="E2048" s="169" t="s">
        <v>13</v>
      </c>
      <c r="F2048" s="160">
        <f t="shared" si="210"/>
        <v>0</v>
      </c>
      <c r="G2048" s="176"/>
      <c r="H2048" s="176"/>
      <c r="I2048" s="176"/>
      <c r="J2048" s="176"/>
      <c r="K2048" s="176"/>
      <c r="L2048" s="176"/>
      <c r="M2048" s="176"/>
      <c r="N2048" s="176"/>
      <c r="O2048" s="176"/>
      <c r="P2048" s="176"/>
      <c r="Q2048" s="176"/>
      <c r="R2048" s="176"/>
      <c r="S2048" s="162">
        <f t="shared" si="213"/>
        <v>0</v>
      </c>
      <c r="T2048" s="167"/>
    </row>
    <row r="2049" customHeight="1" spans="2:20">
      <c r="B2049" s="166"/>
      <c r="C2049" s="164">
        <f t="shared" si="212"/>
        <v>30</v>
      </c>
      <c r="D2049" s="158" t="str">
        <f>VLOOKUP(C2049,DMSP!$A$1:$C$39,2,0)</f>
        <v>7.KHÁC</v>
      </c>
      <c r="E2049" s="159" t="str">
        <f>VLOOKUP(C2049,DMSP!$A$1:$C$39,3,0)</f>
        <v>RỬA RONG RÊU</v>
      </c>
      <c r="F2049" s="160">
        <f t="shared" si="210"/>
        <v>0</v>
      </c>
      <c r="G2049" s="176"/>
      <c r="H2049" s="176"/>
      <c r="I2049" s="176"/>
      <c r="J2049" s="176"/>
      <c r="K2049" s="176"/>
      <c r="L2049" s="176"/>
      <c r="M2049" s="176"/>
      <c r="N2049" s="176"/>
      <c r="O2049" s="176"/>
      <c r="P2049" s="176"/>
      <c r="Q2049" s="176"/>
      <c r="R2049" s="176"/>
      <c r="S2049" s="162">
        <f t="shared" si="213"/>
        <v>0</v>
      </c>
      <c r="T2049" s="167"/>
    </row>
    <row r="2050" customHeight="1" spans="2:20">
      <c r="B2050" s="166"/>
      <c r="C2050" s="164">
        <f t="shared" si="212"/>
        <v>31</v>
      </c>
      <c r="D2050" s="158" t="str">
        <f>VLOOKUP(C2050,DMSP!$A$1:$C$39,2,0)</f>
        <v>7.KHÁC</v>
      </c>
      <c r="E2050" s="159" t="str">
        <f>VLOOKUP(C2050,DMSP!$A$1:$C$39,3,0)</f>
        <v>TB BO</v>
      </c>
      <c r="F2050" s="160">
        <f t="shared" si="210"/>
        <v>0</v>
      </c>
      <c r="G2050" s="176"/>
      <c r="H2050" s="176"/>
      <c r="I2050" s="176"/>
      <c r="J2050" s="176"/>
      <c r="K2050" s="176"/>
      <c r="L2050" s="176"/>
      <c r="M2050" s="176"/>
      <c r="N2050" s="176"/>
      <c r="O2050" s="176"/>
      <c r="P2050" s="176"/>
      <c r="Q2050" s="176"/>
      <c r="R2050" s="176"/>
      <c r="S2050" s="162">
        <f t="shared" si="213"/>
        <v>0</v>
      </c>
      <c r="T2050" s="167"/>
    </row>
    <row r="2051" customHeight="1" spans="2:20">
      <c r="B2051" s="166"/>
      <c r="C2051" s="164">
        <f t="shared" si="212"/>
        <v>32</v>
      </c>
      <c r="D2051" s="158" t="str">
        <f>VLOOKUP(C2051,DMSP!$A$1:$C$39,2,0)</f>
        <v>7.KHÁC</v>
      </c>
      <c r="E2051" s="159" t="str">
        <f>VLOOKUP(C2051,DMSP!$A$1:$C$39,3,0)</f>
        <v>TB FRUIT</v>
      </c>
      <c r="F2051" s="160">
        <f t="shared" si="210"/>
        <v>0</v>
      </c>
      <c r="G2051" s="176"/>
      <c r="H2051" s="176"/>
      <c r="I2051" s="176"/>
      <c r="J2051" s="176"/>
      <c r="K2051" s="176"/>
      <c r="L2051" s="176"/>
      <c r="M2051" s="176"/>
      <c r="N2051" s="176"/>
      <c r="O2051" s="176"/>
      <c r="P2051" s="176"/>
      <c r="Q2051" s="176"/>
      <c r="R2051" s="176"/>
      <c r="S2051" s="162">
        <f t="shared" si="213"/>
        <v>0</v>
      </c>
      <c r="T2051" s="167"/>
    </row>
    <row r="2052" customHeight="1" spans="2:20">
      <c r="B2052" s="166"/>
      <c r="C2052" s="164">
        <f t="shared" si="212"/>
        <v>33</v>
      </c>
      <c r="D2052" s="158" t="str">
        <f>VLOOKUP(C2052,DMSP!$A$1:$C$39,2,0)</f>
        <v>7.KHÁC</v>
      </c>
      <c r="E2052" s="159" t="str">
        <f>VLOOKUP(C2052,DMSP!$A$1:$C$39,3,0)</f>
        <v>TB PHOS</v>
      </c>
      <c r="F2052" s="160">
        <f t="shared" si="210"/>
        <v>0</v>
      </c>
      <c r="G2052" s="176"/>
      <c r="H2052" s="176"/>
      <c r="I2052" s="176"/>
      <c r="J2052" s="176"/>
      <c r="K2052" s="176"/>
      <c r="L2052" s="176"/>
      <c r="M2052" s="176"/>
      <c r="N2052" s="176"/>
      <c r="O2052" s="176"/>
      <c r="P2052" s="176"/>
      <c r="Q2052" s="176"/>
      <c r="R2052" s="176"/>
      <c r="S2052" s="162">
        <f t="shared" si="213"/>
        <v>0</v>
      </c>
      <c r="T2052" s="167"/>
    </row>
    <row r="2053" customHeight="1" spans="2:20">
      <c r="B2053" s="166"/>
      <c r="C2053" s="164">
        <f t="shared" si="212"/>
        <v>34</v>
      </c>
      <c r="D2053" s="158" t="str">
        <f>VLOOKUP(C2053,DMSP!$A$1:$C$39,2,0)</f>
        <v>7.KHÁC</v>
      </c>
      <c r="E2053" s="159" t="str">
        <f>VLOOKUP(C2053,DMSP!$A$1:$C$39,3,0)</f>
        <v>TOBA BÁM DÍNH</v>
      </c>
      <c r="F2053" s="160">
        <f t="shared" si="210"/>
        <v>0</v>
      </c>
      <c r="G2053" s="176"/>
      <c r="H2053" s="176"/>
      <c r="I2053" s="176"/>
      <c r="J2053" s="176"/>
      <c r="K2053" s="176"/>
      <c r="L2053" s="176"/>
      <c r="M2053" s="176"/>
      <c r="N2053" s="176"/>
      <c r="O2053" s="176"/>
      <c r="P2053" s="176"/>
      <c r="Q2053" s="176"/>
      <c r="R2053" s="176"/>
      <c r="S2053" s="162">
        <f t="shared" si="213"/>
        <v>0</v>
      </c>
      <c r="T2053" s="167"/>
    </row>
    <row r="2054" customHeight="1" spans="2:20">
      <c r="B2054" s="166"/>
      <c r="C2054" s="164">
        <f t="shared" si="212"/>
        <v>35</v>
      </c>
      <c r="D2054" s="158" t="str">
        <f>VLOOKUP(C2054,DMSP!$A$1:$C$39,2,0)</f>
        <v>7.KHÁC</v>
      </c>
      <c r="E2054" s="159" t="str">
        <f>VLOOKUP(C2054,DMSP!$A$1:$C$39,3,0)</f>
        <v>VỌT HOA NHÃN</v>
      </c>
      <c r="F2054" s="160">
        <f t="shared" si="210"/>
        <v>0</v>
      </c>
      <c r="G2054" s="176"/>
      <c r="H2054" s="176"/>
      <c r="I2054" s="176"/>
      <c r="J2054" s="176"/>
      <c r="K2054" s="176"/>
      <c r="L2054" s="176"/>
      <c r="M2054" s="176"/>
      <c r="N2054" s="176"/>
      <c r="O2054" s="176"/>
      <c r="P2054" s="176"/>
      <c r="Q2054" s="176"/>
      <c r="R2054" s="176"/>
      <c r="S2054" s="162">
        <f t="shared" si="213"/>
        <v>0</v>
      </c>
      <c r="T2054" s="167"/>
    </row>
    <row r="2055" customHeight="1" spans="2:20">
      <c r="B2055" s="166"/>
      <c r="C2055" s="164">
        <f t="shared" si="212"/>
        <v>36</v>
      </c>
      <c r="D2055" s="158" t="str">
        <f>VLOOKUP(C2055,DMSP!$A$1:$C$39,2,0)</f>
        <v>7.KHÁC</v>
      </c>
      <c r="E2055" s="159" t="str">
        <f>VLOOKUP(C2055,DMSP!$A$1:$C$39,3,0)</f>
        <v>VỌT HOA XOÀI</v>
      </c>
      <c r="F2055" s="160">
        <f t="shared" ref="F2055:F2118" si="214">S2055</f>
        <v>0</v>
      </c>
      <c r="G2055" s="176"/>
      <c r="H2055" s="176"/>
      <c r="I2055" s="176"/>
      <c r="J2055" s="176"/>
      <c r="K2055" s="176"/>
      <c r="L2055" s="176"/>
      <c r="M2055" s="176"/>
      <c r="N2055" s="176"/>
      <c r="O2055" s="176"/>
      <c r="P2055" s="176"/>
      <c r="Q2055" s="176"/>
      <c r="R2055" s="176"/>
      <c r="S2055" s="162">
        <f t="shared" si="213"/>
        <v>0</v>
      </c>
      <c r="T2055" s="167"/>
    </row>
    <row r="2056" customHeight="1" spans="2:20">
      <c r="B2056" s="166"/>
      <c r="C2056" s="164">
        <f t="shared" si="212"/>
        <v>37</v>
      </c>
      <c r="D2056" s="158" t="str">
        <f>VLOOKUP(C2056,DMSP!$A$1:$C$39,2,0)</f>
        <v>7.KHÁC</v>
      </c>
      <c r="E2056" s="159" t="str">
        <f>VLOOKUP(C2056,DMSP!$A$1:$C$39,3,0)</f>
        <v>VỌT HOA XOÀI</v>
      </c>
      <c r="F2056" s="160">
        <f t="shared" si="214"/>
        <v>0</v>
      </c>
      <c r="G2056" s="176"/>
      <c r="H2056" s="176"/>
      <c r="I2056" s="176"/>
      <c r="J2056" s="176"/>
      <c r="K2056" s="176"/>
      <c r="L2056" s="176"/>
      <c r="M2056" s="176"/>
      <c r="N2056" s="176"/>
      <c r="O2056" s="176"/>
      <c r="P2056" s="176"/>
      <c r="Q2056" s="176"/>
      <c r="R2056" s="176"/>
      <c r="S2056" s="162">
        <f t="shared" si="213"/>
        <v>0</v>
      </c>
      <c r="T2056" s="167"/>
    </row>
    <row r="2057" customHeight="1" spans="2:20">
      <c r="B2057" s="92"/>
      <c r="C2057" s="170">
        <f>B2020</f>
        <v>0</v>
      </c>
      <c r="D2057" s="171"/>
      <c r="E2057" s="172" t="str">
        <f>"TOTAL "&amp;B2020</f>
        <v>TOTAL </v>
      </c>
      <c r="F2057" s="173">
        <f t="shared" si="214"/>
        <v>0</v>
      </c>
      <c r="G2057" s="174">
        <f>SUM(G2020:G2056)</f>
        <v>0</v>
      </c>
      <c r="H2057" s="174">
        <f t="shared" ref="H2057:R2057" si="215">SUM(H2020:H2056)</f>
        <v>0</v>
      </c>
      <c r="I2057" s="174">
        <f t="shared" si="215"/>
        <v>0</v>
      </c>
      <c r="J2057" s="174">
        <f t="shared" si="215"/>
        <v>0</v>
      </c>
      <c r="K2057" s="174">
        <f t="shared" si="215"/>
        <v>0</v>
      </c>
      <c r="L2057" s="174">
        <f t="shared" si="215"/>
        <v>0</v>
      </c>
      <c r="M2057" s="174">
        <f t="shared" si="215"/>
        <v>0</v>
      </c>
      <c r="N2057" s="174">
        <f t="shared" si="215"/>
        <v>0</v>
      </c>
      <c r="O2057" s="174">
        <f t="shared" si="215"/>
        <v>0</v>
      </c>
      <c r="P2057" s="174">
        <f t="shared" si="215"/>
        <v>0</v>
      </c>
      <c r="Q2057" s="174">
        <f t="shared" si="215"/>
        <v>0</v>
      </c>
      <c r="R2057" s="174">
        <f t="shared" si="215"/>
        <v>0</v>
      </c>
      <c r="S2057" s="174">
        <f t="shared" si="213"/>
        <v>0</v>
      </c>
      <c r="T2057" s="175"/>
    </row>
    <row r="2058" customHeight="1" spans="2:20">
      <c r="B2058" s="156"/>
      <c r="C2058" s="157">
        <v>1</v>
      </c>
      <c r="D2058" s="158" t="str">
        <f>VLOOKUP(C2058,DMSP!$A$1:$C$39,2,0)</f>
        <v>1.TOBA XANH</v>
      </c>
      <c r="E2058" s="159" t="str">
        <f>VLOOKUP(C2058,DMSP!$A$1:$C$39,3,0)</f>
        <v>TOBA XANH</v>
      </c>
      <c r="F2058" s="160">
        <f t="shared" si="214"/>
        <v>0</v>
      </c>
      <c r="G2058" s="176"/>
      <c r="H2058" s="176"/>
      <c r="I2058" s="176"/>
      <c r="J2058" s="176"/>
      <c r="K2058" s="176"/>
      <c r="L2058" s="176"/>
      <c r="M2058" s="176"/>
      <c r="N2058" s="176"/>
      <c r="O2058" s="176"/>
      <c r="P2058" s="176"/>
      <c r="Q2058" s="176"/>
      <c r="R2058" s="176"/>
      <c r="S2058" s="162">
        <f t="shared" si="213"/>
        <v>0</v>
      </c>
      <c r="T2058" s="163">
        <f t="shared" ref="T2058" si="216">S2095</f>
        <v>0</v>
      </c>
    </row>
    <row r="2059" customHeight="1" spans="2:20">
      <c r="B2059" s="166"/>
      <c r="C2059" s="164">
        <f t="shared" ref="C2059:C2122" si="217">C2058+1</f>
        <v>2</v>
      </c>
      <c r="D2059" s="158" t="str">
        <f>VLOOKUP(C2059,DMSP!$A$1:$C$39,2,0)</f>
        <v>2.HC</v>
      </c>
      <c r="E2059" s="159" t="str">
        <f>VLOOKUP(C2059,DMSP!$A$1:$C$39,3,0)</f>
        <v>HC BOOSTER</v>
      </c>
      <c r="F2059" s="160">
        <f t="shared" si="214"/>
        <v>0</v>
      </c>
      <c r="G2059" s="176"/>
      <c r="H2059" s="176"/>
      <c r="I2059" s="176"/>
      <c r="J2059" s="176"/>
      <c r="K2059" s="176"/>
      <c r="L2059" s="176"/>
      <c r="M2059" s="176"/>
      <c r="N2059" s="176"/>
      <c r="O2059" s="176"/>
      <c r="P2059" s="176"/>
      <c r="Q2059" s="176"/>
      <c r="R2059" s="176"/>
      <c r="S2059" s="162">
        <f t="shared" ref="S2059:S2096" si="218">SUM(G2059:R2059)</f>
        <v>0</v>
      </c>
      <c r="T2059" s="167"/>
    </row>
    <row r="2060" customHeight="1" spans="2:20">
      <c r="B2060" s="166"/>
      <c r="C2060" s="164">
        <f t="shared" si="217"/>
        <v>3</v>
      </c>
      <c r="D2060" s="158" t="str">
        <f>VLOOKUP(C2060,DMSP!$A$1:$C$39,2,0)</f>
        <v>2.HC</v>
      </c>
      <c r="E2060" s="159" t="str">
        <f>VLOOKUP(C2060,DMSP!$A$1:$C$39,3,0)</f>
        <v>HC KING-ROOT</v>
      </c>
      <c r="F2060" s="160">
        <f t="shared" si="214"/>
        <v>0</v>
      </c>
      <c r="G2060" s="176"/>
      <c r="H2060" s="176"/>
      <c r="I2060" s="176"/>
      <c r="J2060" s="176"/>
      <c r="K2060" s="176"/>
      <c r="L2060" s="176"/>
      <c r="M2060" s="176"/>
      <c r="N2060" s="176"/>
      <c r="O2060" s="176"/>
      <c r="P2060" s="176"/>
      <c r="Q2060" s="176"/>
      <c r="R2060" s="176"/>
      <c r="S2060" s="162">
        <f t="shared" si="218"/>
        <v>0</v>
      </c>
      <c r="T2060" s="167"/>
    </row>
    <row r="2061" customHeight="1" spans="2:20">
      <c r="B2061" s="166"/>
      <c r="C2061" s="164">
        <f t="shared" si="217"/>
        <v>4</v>
      </c>
      <c r="D2061" s="158" t="str">
        <f>VLOOKUP(C2061,DMSP!$A$1:$C$39,2,0)</f>
        <v>2.HC</v>
      </c>
      <c r="E2061" s="159" t="str">
        <f>VLOOKUP(C2061,DMSP!$A$1:$C$39,3,0)</f>
        <v>HAPPY FARM</v>
      </c>
      <c r="F2061" s="160">
        <f t="shared" si="214"/>
        <v>0</v>
      </c>
      <c r="G2061" s="176"/>
      <c r="H2061" s="176"/>
      <c r="I2061" s="176"/>
      <c r="J2061" s="176"/>
      <c r="K2061" s="176"/>
      <c r="L2061" s="176"/>
      <c r="M2061" s="176"/>
      <c r="N2061" s="176"/>
      <c r="O2061" s="176"/>
      <c r="P2061" s="176"/>
      <c r="Q2061" s="176"/>
      <c r="R2061" s="176"/>
      <c r="S2061" s="162">
        <f t="shared" si="218"/>
        <v>0</v>
      </c>
      <c r="T2061" s="167"/>
    </row>
    <row r="2062" customHeight="1" spans="2:20">
      <c r="B2062" s="166"/>
      <c r="C2062" s="164">
        <f t="shared" si="217"/>
        <v>5</v>
      </c>
      <c r="D2062" s="158" t="str">
        <f>VLOOKUP(C2062,DMSP!$A$1:$C$39,2,0)</f>
        <v>2.HC</v>
      </c>
      <c r="E2062" s="159" t="str">
        <f>VLOOKUP(C2062,DMSP!$A$1:$C$39,3,0)</f>
        <v>WOW</v>
      </c>
      <c r="F2062" s="160">
        <f t="shared" si="214"/>
        <v>0</v>
      </c>
      <c r="G2062" s="176"/>
      <c r="H2062" s="176"/>
      <c r="I2062" s="176"/>
      <c r="J2062" s="176"/>
      <c r="K2062" s="176"/>
      <c r="L2062" s="176"/>
      <c r="M2062" s="176"/>
      <c r="N2062" s="176"/>
      <c r="O2062" s="176"/>
      <c r="P2062" s="176"/>
      <c r="Q2062" s="176"/>
      <c r="R2062" s="176"/>
      <c r="S2062" s="162">
        <f t="shared" si="218"/>
        <v>0</v>
      </c>
      <c r="T2062" s="167"/>
    </row>
    <row r="2063" customHeight="1" spans="2:20">
      <c r="B2063" s="166"/>
      <c r="C2063" s="164">
        <f t="shared" si="217"/>
        <v>6</v>
      </c>
      <c r="D2063" s="158" t="str">
        <f>VLOOKUP(C2063,DMSP!$A$1:$C$39,2,0)</f>
        <v>3.SPRAY </v>
      </c>
      <c r="E2063" s="159" t="str">
        <f>VLOOKUP(C2063,DMSP!$A$1:$C$39,3,0)</f>
        <v>KELPIT</v>
      </c>
      <c r="F2063" s="160">
        <f t="shared" si="214"/>
        <v>0</v>
      </c>
      <c r="G2063" s="176"/>
      <c r="H2063" s="176"/>
      <c r="I2063" s="176"/>
      <c r="J2063" s="176"/>
      <c r="K2063" s="176"/>
      <c r="L2063" s="176"/>
      <c r="M2063" s="176"/>
      <c r="N2063" s="176"/>
      <c r="O2063" s="176"/>
      <c r="P2063" s="176"/>
      <c r="Q2063" s="176"/>
      <c r="R2063" s="176"/>
      <c r="S2063" s="162">
        <f t="shared" si="218"/>
        <v>0</v>
      </c>
      <c r="T2063" s="167"/>
    </row>
    <row r="2064" customHeight="1" spans="2:20">
      <c r="B2064" s="166"/>
      <c r="C2064" s="164">
        <f t="shared" si="217"/>
        <v>7</v>
      </c>
      <c r="D2064" s="158" t="str">
        <f>VLOOKUP(C2064,DMSP!$A$1:$C$39,2,0)</f>
        <v>3.SPRAY </v>
      </c>
      <c r="E2064" s="159" t="str">
        <f>VLOOKUP(C2064,DMSP!$A$1:$C$39,3,0)</f>
        <v>SI-K</v>
      </c>
      <c r="F2064" s="160">
        <f t="shared" si="214"/>
        <v>0</v>
      </c>
      <c r="G2064" s="176"/>
      <c r="H2064" s="176"/>
      <c r="I2064" s="176"/>
      <c r="J2064" s="176"/>
      <c r="K2064" s="176"/>
      <c r="L2064" s="176"/>
      <c r="M2064" s="176"/>
      <c r="N2064" s="176"/>
      <c r="O2064" s="176"/>
      <c r="P2064" s="176"/>
      <c r="Q2064" s="176"/>
      <c r="R2064" s="176"/>
      <c r="S2064" s="162">
        <f t="shared" si="218"/>
        <v>0</v>
      </c>
      <c r="T2064" s="167"/>
    </row>
    <row r="2065" customHeight="1" spans="2:20">
      <c r="B2065" s="166"/>
      <c r="C2065" s="164">
        <f t="shared" si="217"/>
        <v>8</v>
      </c>
      <c r="D2065" s="158" t="str">
        <f>VLOOKUP(C2065,DMSP!$A$1:$C$39,2,0)</f>
        <v>3.SPRAY </v>
      </c>
      <c r="E2065" s="159" t="str">
        <f>VLOOKUP(C2065,DMSP!$A$1:$C$39,3,0)</f>
        <v>SPRAY PHOS 620</v>
      </c>
      <c r="F2065" s="160">
        <f t="shared" si="214"/>
        <v>0</v>
      </c>
      <c r="G2065" s="176"/>
      <c r="H2065" s="176"/>
      <c r="I2065" s="176"/>
      <c r="J2065" s="176"/>
      <c r="K2065" s="176"/>
      <c r="L2065" s="176"/>
      <c r="M2065" s="176"/>
      <c r="N2065" s="176"/>
      <c r="O2065" s="176"/>
      <c r="P2065" s="176"/>
      <c r="Q2065" s="176"/>
      <c r="R2065" s="176"/>
      <c r="S2065" s="162">
        <f t="shared" si="218"/>
        <v>0</v>
      </c>
      <c r="T2065" s="167"/>
    </row>
    <row r="2066" customHeight="1" spans="2:20">
      <c r="B2066" s="166"/>
      <c r="C2066" s="164">
        <f t="shared" si="217"/>
        <v>9</v>
      </c>
      <c r="D2066" s="158" t="str">
        <f>VLOOKUP(C2066,DMSP!$A$1:$C$39,2,0)</f>
        <v>4.DƯỠNG RỄ</v>
      </c>
      <c r="E2066" s="159" t="str">
        <f>VLOOKUP(C2066,DMSP!$A$1:$C$39,3,0)</f>
        <v>CHITOSAN</v>
      </c>
      <c r="F2066" s="160">
        <f t="shared" si="214"/>
        <v>0</v>
      </c>
      <c r="G2066" s="176"/>
      <c r="H2066" s="176"/>
      <c r="I2066" s="176"/>
      <c r="J2066" s="176"/>
      <c r="K2066" s="176"/>
      <c r="L2066" s="176"/>
      <c r="M2066" s="176"/>
      <c r="N2066" s="176"/>
      <c r="O2066" s="176"/>
      <c r="P2066" s="176"/>
      <c r="Q2066" s="176"/>
      <c r="R2066" s="176"/>
      <c r="S2066" s="162">
        <f t="shared" si="218"/>
        <v>0</v>
      </c>
      <c r="T2066" s="167"/>
    </row>
    <row r="2067" customHeight="1" spans="2:20">
      <c r="B2067" s="166"/>
      <c r="C2067" s="164">
        <f t="shared" si="217"/>
        <v>10</v>
      </c>
      <c r="D2067" s="158" t="str">
        <f>VLOOKUP(C2067,DMSP!$A$1:$C$39,2,0)</f>
        <v>4.DƯỠNG RỄ</v>
      </c>
      <c r="E2067" s="159" t="str">
        <f>VLOOKUP(C2067,DMSP!$A$1:$C$39,3,0)</f>
        <v>ĐẠM CÁ</v>
      </c>
      <c r="F2067" s="160">
        <f t="shared" si="214"/>
        <v>0</v>
      </c>
      <c r="G2067" s="176"/>
      <c r="H2067" s="176"/>
      <c r="I2067" s="176"/>
      <c r="J2067" s="176"/>
      <c r="K2067" s="176"/>
      <c r="L2067" s="176"/>
      <c r="M2067" s="176"/>
      <c r="N2067" s="176"/>
      <c r="O2067" s="176"/>
      <c r="P2067" s="176"/>
      <c r="Q2067" s="176"/>
      <c r="R2067" s="176"/>
      <c r="S2067" s="162">
        <f t="shared" si="218"/>
        <v>0</v>
      </c>
      <c r="T2067" s="167"/>
    </row>
    <row r="2068" customHeight="1" spans="2:20">
      <c r="B2068" s="166"/>
      <c r="C2068" s="164">
        <f t="shared" si="217"/>
        <v>11</v>
      </c>
      <c r="D2068" s="158" t="str">
        <f>VLOOKUP(C2068,DMSP!$A$1:$C$39,2,0)</f>
        <v>4.DƯỠNG RỄ</v>
      </c>
      <c r="E2068" s="159" t="str">
        <f>VLOOKUP(C2068,DMSP!$A$1:$C$39,3,0)</f>
        <v>ĐẠM TÔM</v>
      </c>
      <c r="F2068" s="160">
        <f t="shared" si="214"/>
        <v>0</v>
      </c>
      <c r="G2068" s="176"/>
      <c r="H2068" s="176"/>
      <c r="I2068" s="176"/>
      <c r="J2068" s="176"/>
      <c r="K2068" s="176"/>
      <c r="L2068" s="176"/>
      <c r="M2068" s="176"/>
      <c r="N2068" s="176"/>
      <c r="O2068" s="176"/>
      <c r="P2068" s="176"/>
      <c r="Q2068" s="176"/>
      <c r="R2068" s="176"/>
      <c r="S2068" s="162">
        <f t="shared" si="218"/>
        <v>0</v>
      </c>
      <c r="T2068" s="167"/>
    </row>
    <row r="2069" customHeight="1" spans="2:20">
      <c r="B2069" s="166"/>
      <c r="C2069" s="164">
        <f t="shared" si="217"/>
        <v>12</v>
      </c>
      <c r="D2069" s="158" t="str">
        <f>VLOOKUP(C2069,DMSP!$A$1:$C$39,2,0)</f>
        <v>4.DƯỠNG RỄ</v>
      </c>
      <c r="E2069" s="159" t="str">
        <f>VLOOKUP(C2069,DMSP!$A$1:$C$39,3,0)</f>
        <v>SUPERMIC</v>
      </c>
      <c r="F2069" s="160">
        <f t="shared" si="214"/>
        <v>0</v>
      </c>
      <c r="G2069" s="176"/>
      <c r="H2069" s="176"/>
      <c r="I2069" s="176"/>
      <c r="J2069" s="176"/>
      <c r="K2069" s="176"/>
      <c r="L2069" s="176"/>
      <c r="M2069" s="176"/>
      <c r="N2069" s="176"/>
      <c r="O2069" s="176"/>
      <c r="P2069" s="176"/>
      <c r="Q2069" s="176"/>
      <c r="R2069" s="176"/>
      <c r="S2069" s="162">
        <f t="shared" si="218"/>
        <v>0</v>
      </c>
      <c r="T2069" s="167"/>
    </row>
    <row r="2070" customHeight="1" spans="2:20">
      <c r="B2070" s="166"/>
      <c r="C2070" s="164">
        <f t="shared" si="217"/>
        <v>13</v>
      </c>
      <c r="D2070" s="158" t="str">
        <f>VLOOKUP(C2070,DMSP!$A$1:$C$39,2,0)</f>
        <v>5.TRUYỀN THỐNG</v>
      </c>
      <c r="E2070" s="159" t="str">
        <f>VLOOKUP(C2070,DMSP!$A$1:$C$39,3,0)</f>
        <v>CABO</v>
      </c>
      <c r="F2070" s="160">
        <f t="shared" si="214"/>
        <v>0</v>
      </c>
      <c r="G2070" s="176"/>
      <c r="H2070" s="176"/>
      <c r="I2070" s="176"/>
      <c r="J2070" s="176"/>
      <c r="K2070" s="176"/>
      <c r="L2070" s="176"/>
      <c r="M2070" s="176"/>
      <c r="N2070" s="176"/>
      <c r="O2070" s="176"/>
      <c r="P2070" s="176"/>
      <c r="Q2070" s="176"/>
      <c r="R2070" s="176"/>
      <c r="S2070" s="162">
        <f t="shared" si="218"/>
        <v>0</v>
      </c>
      <c r="T2070" s="167"/>
    </row>
    <row r="2071" customHeight="1" spans="2:20">
      <c r="B2071" s="166"/>
      <c r="C2071" s="164">
        <f t="shared" si="217"/>
        <v>14</v>
      </c>
      <c r="D2071" s="158" t="str">
        <f>VLOOKUP(C2071,DMSP!$A$1:$C$39,2,0)</f>
        <v>5.TRUYỀN THỐNG</v>
      </c>
      <c r="E2071" s="159" t="str">
        <f>VLOOKUP(C2071,DMSP!$A$1:$C$39,3,0)</f>
        <v>F94</v>
      </c>
      <c r="F2071" s="160">
        <f t="shared" si="214"/>
        <v>0</v>
      </c>
      <c r="G2071" s="176"/>
      <c r="H2071" s="176"/>
      <c r="I2071" s="176"/>
      <c r="J2071" s="176"/>
      <c r="K2071" s="176"/>
      <c r="L2071" s="176"/>
      <c r="M2071" s="176"/>
      <c r="N2071" s="176"/>
      <c r="O2071" s="176"/>
      <c r="P2071" s="176"/>
      <c r="Q2071" s="176"/>
      <c r="R2071" s="176"/>
      <c r="S2071" s="162">
        <f t="shared" si="218"/>
        <v>0</v>
      </c>
      <c r="T2071" s="167"/>
    </row>
    <row r="2072" customHeight="1" spans="2:20">
      <c r="B2072" s="166"/>
      <c r="C2072" s="164">
        <f t="shared" si="217"/>
        <v>15</v>
      </c>
      <c r="D2072" s="158" t="str">
        <f>VLOOKUP(C2072,DMSP!$A$1:$C$39,2,0)</f>
        <v>5.TRUYỀN THỐNG</v>
      </c>
      <c r="E2072" s="159" t="str">
        <f>VLOOKUP(C2072,DMSP!$A$1:$C$39,3,0)</f>
        <v>F95</v>
      </c>
      <c r="F2072" s="160">
        <f t="shared" si="214"/>
        <v>0</v>
      </c>
      <c r="G2072" s="176"/>
      <c r="H2072" s="176"/>
      <c r="I2072" s="176"/>
      <c r="J2072" s="176"/>
      <c r="K2072" s="176"/>
      <c r="L2072" s="176"/>
      <c r="M2072" s="176"/>
      <c r="N2072" s="176"/>
      <c r="O2072" s="176"/>
      <c r="P2072" s="176"/>
      <c r="Q2072" s="176"/>
      <c r="R2072" s="176"/>
      <c r="S2072" s="162">
        <f t="shared" si="218"/>
        <v>0</v>
      </c>
      <c r="T2072" s="167"/>
    </row>
    <row r="2073" customHeight="1" spans="2:20">
      <c r="B2073" s="166"/>
      <c r="C2073" s="164">
        <f t="shared" si="217"/>
        <v>16</v>
      </c>
      <c r="D2073" s="158" t="str">
        <f>VLOOKUP(C2073,DMSP!$A$1:$C$39,2,0)</f>
        <v>5.TRUYỀN THỐNG</v>
      </c>
      <c r="E2073" s="159" t="str">
        <f>VLOOKUP(C2073,DMSP!$A$1:$C$39,3,0)</f>
        <v>THIOURE</v>
      </c>
      <c r="F2073" s="160">
        <f t="shared" si="214"/>
        <v>0</v>
      </c>
      <c r="G2073" s="176"/>
      <c r="H2073" s="176"/>
      <c r="I2073" s="176"/>
      <c r="J2073" s="176"/>
      <c r="K2073" s="176"/>
      <c r="L2073" s="176"/>
      <c r="M2073" s="176"/>
      <c r="N2073" s="176"/>
      <c r="O2073" s="176"/>
      <c r="P2073" s="176"/>
      <c r="Q2073" s="176"/>
      <c r="R2073" s="176"/>
      <c r="S2073" s="162">
        <f t="shared" si="218"/>
        <v>0</v>
      </c>
      <c r="T2073" s="167"/>
    </row>
    <row r="2074" customHeight="1" spans="2:20">
      <c r="B2074" s="166"/>
      <c r="C2074" s="164">
        <f t="shared" si="217"/>
        <v>17</v>
      </c>
      <c r="D2074" s="158" t="str">
        <f>VLOOKUP(C2074,DMSP!$A$1:$C$39,2,0)</f>
        <v>5.TRUYỀN THỐNG</v>
      </c>
      <c r="E2074" s="159" t="str">
        <f>VLOOKUP(C2074,DMSP!$A$1:$C$39,3,0)</f>
        <v>TOBA JUM</v>
      </c>
      <c r="F2074" s="160">
        <f t="shared" si="214"/>
        <v>0</v>
      </c>
      <c r="G2074" s="176"/>
      <c r="H2074" s="176"/>
      <c r="I2074" s="176"/>
      <c r="J2074" s="176"/>
      <c r="K2074" s="176"/>
      <c r="L2074" s="176"/>
      <c r="M2074" s="176"/>
      <c r="N2074" s="176"/>
      <c r="O2074" s="176"/>
      <c r="P2074" s="176"/>
      <c r="Q2074" s="176"/>
      <c r="R2074" s="176"/>
      <c r="S2074" s="162">
        <f t="shared" si="218"/>
        <v>0</v>
      </c>
      <c r="T2074" s="167"/>
    </row>
    <row r="2075" customHeight="1" spans="2:20">
      <c r="B2075" s="166"/>
      <c r="C2075" s="164">
        <f t="shared" si="217"/>
        <v>18</v>
      </c>
      <c r="D2075" s="158" t="str">
        <f>VLOOKUP(C2075,DMSP!$A$1:$C$39,2,0)</f>
        <v>5.TRUYỀN THỐNG</v>
      </c>
      <c r="E2075" s="159" t="str">
        <f>VLOOKUP(C2075,DMSP!$A$1:$C$39,3,0)</f>
        <v>TOBA NET</v>
      </c>
      <c r="F2075" s="160">
        <f t="shared" si="214"/>
        <v>0</v>
      </c>
      <c r="G2075" s="176"/>
      <c r="H2075" s="176"/>
      <c r="I2075" s="176"/>
      <c r="J2075" s="176"/>
      <c r="K2075" s="176"/>
      <c r="L2075" s="176"/>
      <c r="M2075" s="176"/>
      <c r="N2075" s="176"/>
      <c r="O2075" s="176"/>
      <c r="P2075" s="176"/>
      <c r="Q2075" s="176"/>
      <c r="R2075" s="176"/>
      <c r="S2075" s="162">
        <f t="shared" si="218"/>
        <v>0</v>
      </c>
      <c r="T2075" s="167"/>
    </row>
    <row r="2076" customHeight="1" spans="2:20">
      <c r="B2076" s="166"/>
      <c r="C2076" s="164">
        <f t="shared" si="217"/>
        <v>19</v>
      </c>
      <c r="D2076" s="158" t="str">
        <f>VLOOKUP(C2076,DMSP!$A$1:$C$39,2,0)</f>
        <v>6.BVTV</v>
      </c>
      <c r="E2076" s="159" t="str">
        <f>VLOOKUP(C2076,DMSP!$A$1:$C$39,3,0)</f>
        <v>ABAFAX 1.8</v>
      </c>
      <c r="F2076" s="160">
        <f t="shared" si="214"/>
        <v>0</v>
      </c>
      <c r="G2076" s="176"/>
      <c r="H2076" s="176"/>
      <c r="I2076" s="176"/>
      <c r="J2076" s="176"/>
      <c r="K2076" s="176"/>
      <c r="L2076" s="176"/>
      <c r="M2076" s="176"/>
      <c r="N2076" s="176"/>
      <c r="O2076" s="176"/>
      <c r="P2076" s="176"/>
      <c r="Q2076" s="176"/>
      <c r="R2076" s="176"/>
      <c r="S2076" s="162">
        <f t="shared" si="218"/>
        <v>0</v>
      </c>
      <c r="T2076" s="167"/>
    </row>
    <row r="2077" customHeight="1" spans="2:20">
      <c r="B2077" s="166"/>
      <c r="C2077" s="164">
        <f t="shared" si="217"/>
        <v>20</v>
      </c>
      <c r="D2077" s="158" t="str">
        <f>VLOOKUP(C2077,DMSP!$A$1:$C$39,2,0)</f>
        <v>6.BVTV</v>
      </c>
      <c r="E2077" s="159" t="str">
        <f>VLOOKUP(C2077,DMSP!$A$1:$C$39,3,0)</f>
        <v>ABAFAX 3.6</v>
      </c>
      <c r="F2077" s="160">
        <f t="shared" si="214"/>
        <v>0</v>
      </c>
      <c r="G2077" s="176"/>
      <c r="H2077" s="176"/>
      <c r="I2077" s="176"/>
      <c r="J2077" s="176"/>
      <c r="K2077" s="176"/>
      <c r="L2077" s="176"/>
      <c r="M2077" s="176"/>
      <c r="N2077" s="176"/>
      <c r="O2077" s="176"/>
      <c r="P2077" s="176"/>
      <c r="Q2077" s="176"/>
      <c r="R2077" s="176"/>
      <c r="S2077" s="162">
        <f t="shared" si="218"/>
        <v>0</v>
      </c>
      <c r="T2077" s="167"/>
    </row>
    <row r="2078" customHeight="1" spans="2:20">
      <c r="B2078" s="166"/>
      <c r="C2078" s="164">
        <f t="shared" si="217"/>
        <v>21</v>
      </c>
      <c r="D2078" s="158" t="str">
        <f>VLOOKUP(C2078,DMSP!$A$1:$C$39,2,0)</f>
        <v>6.BVTV</v>
      </c>
      <c r="E2078" s="159" t="str">
        <f>VLOOKUP(C2078,DMSP!$A$1:$C$39,3,0)</f>
        <v>AZET</v>
      </c>
      <c r="F2078" s="160">
        <f t="shared" si="214"/>
        <v>0</v>
      </c>
      <c r="G2078" s="176"/>
      <c r="H2078" s="176"/>
      <c r="I2078" s="176"/>
      <c r="J2078" s="176"/>
      <c r="K2078" s="176"/>
      <c r="L2078" s="176"/>
      <c r="M2078" s="176"/>
      <c r="N2078" s="176"/>
      <c r="O2078" s="176"/>
      <c r="P2078" s="176"/>
      <c r="Q2078" s="176"/>
      <c r="R2078" s="176"/>
      <c r="S2078" s="162">
        <f t="shared" si="218"/>
        <v>0</v>
      </c>
      <c r="T2078" s="167"/>
    </row>
    <row r="2079" customHeight="1" spans="2:20">
      <c r="B2079" s="166"/>
      <c r="C2079" s="164">
        <f t="shared" si="217"/>
        <v>22</v>
      </c>
      <c r="D2079" s="158" t="str">
        <f>VLOOKUP(C2079,DMSP!$A$1:$C$39,2,0)</f>
        <v>6.BVTV</v>
      </c>
      <c r="E2079" s="159" t="str">
        <f>VLOOKUP(C2079,DMSP!$A$1:$C$39,3,0)</f>
        <v>BACBA</v>
      </c>
      <c r="F2079" s="160">
        <f t="shared" si="214"/>
        <v>0</v>
      </c>
      <c r="G2079" s="176"/>
      <c r="H2079" s="176"/>
      <c r="I2079" s="176"/>
      <c r="J2079" s="176"/>
      <c r="K2079" s="176"/>
      <c r="L2079" s="176"/>
      <c r="M2079" s="176"/>
      <c r="N2079" s="176"/>
      <c r="O2079" s="176"/>
      <c r="P2079" s="176"/>
      <c r="Q2079" s="176"/>
      <c r="R2079" s="176"/>
      <c r="S2079" s="162">
        <f t="shared" si="218"/>
        <v>0</v>
      </c>
      <c r="T2079" s="167"/>
    </row>
    <row r="2080" customHeight="1" spans="2:20">
      <c r="B2080" s="166"/>
      <c r="C2080" s="164">
        <f t="shared" si="217"/>
        <v>23</v>
      </c>
      <c r="D2080" s="158" t="str">
        <f>VLOOKUP(C2080,DMSP!$A$1:$C$39,2,0)</f>
        <v>6.BVTV</v>
      </c>
      <c r="E2080" s="159" t="str">
        <f>VLOOKUP(C2080,DMSP!$A$1:$C$39,3,0)</f>
        <v>BIOROSAMIL</v>
      </c>
      <c r="F2080" s="160">
        <f t="shared" si="214"/>
        <v>0</v>
      </c>
      <c r="G2080" s="176"/>
      <c r="H2080" s="176"/>
      <c r="I2080" s="176"/>
      <c r="J2080" s="176"/>
      <c r="K2080" s="176"/>
      <c r="L2080" s="176"/>
      <c r="M2080" s="176"/>
      <c r="N2080" s="176"/>
      <c r="O2080" s="176"/>
      <c r="P2080" s="176"/>
      <c r="Q2080" s="176"/>
      <c r="R2080" s="176"/>
      <c r="S2080" s="162">
        <f t="shared" si="218"/>
        <v>0</v>
      </c>
      <c r="T2080" s="167"/>
    </row>
    <row r="2081" customHeight="1" spans="2:20">
      <c r="B2081" s="166"/>
      <c r="C2081" s="164">
        <f t="shared" si="217"/>
        <v>24</v>
      </c>
      <c r="D2081" s="158" t="str">
        <f>VLOOKUP(C2081,DMSP!$A$1:$C$39,2,0)</f>
        <v>6.BVTV</v>
      </c>
      <c r="E2081" s="159" t="str">
        <f>VLOOKUP(C2081,DMSP!$A$1:$C$39,3,0)</f>
        <v>COC 86</v>
      </c>
      <c r="F2081" s="160">
        <f t="shared" si="214"/>
        <v>0</v>
      </c>
      <c r="G2081" s="176"/>
      <c r="H2081" s="176"/>
      <c r="I2081" s="176"/>
      <c r="J2081" s="176"/>
      <c r="K2081" s="176"/>
      <c r="L2081" s="176"/>
      <c r="M2081" s="176"/>
      <c r="N2081" s="176"/>
      <c r="O2081" s="176"/>
      <c r="P2081" s="176"/>
      <c r="Q2081" s="176"/>
      <c r="R2081" s="176"/>
      <c r="S2081" s="162">
        <f t="shared" si="218"/>
        <v>0</v>
      </c>
      <c r="T2081" s="167"/>
    </row>
    <row r="2082" customHeight="1" spans="2:20">
      <c r="B2082" s="166"/>
      <c r="C2082" s="164">
        <f t="shared" si="217"/>
        <v>25</v>
      </c>
      <c r="D2082" s="158" t="str">
        <f>VLOOKUP(C2082,DMSP!$A$1:$C$39,2,0)</f>
        <v>6.BVTV</v>
      </c>
      <c r="E2082" s="159" t="str">
        <f>VLOOKUP(C2082,DMSP!$A$1:$C$39,3,0)</f>
        <v>HEXA 5</v>
      </c>
      <c r="F2082" s="160">
        <f t="shared" si="214"/>
        <v>0</v>
      </c>
      <c r="G2082" s="176"/>
      <c r="H2082" s="176"/>
      <c r="I2082" s="176"/>
      <c r="J2082" s="176"/>
      <c r="K2082" s="176"/>
      <c r="L2082" s="176"/>
      <c r="M2082" s="176"/>
      <c r="N2082" s="176"/>
      <c r="O2082" s="176"/>
      <c r="P2082" s="176"/>
      <c r="Q2082" s="176"/>
      <c r="R2082" s="176"/>
      <c r="S2082" s="162">
        <f t="shared" si="218"/>
        <v>0</v>
      </c>
      <c r="T2082" s="167"/>
    </row>
    <row r="2083" customHeight="1" spans="2:20">
      <c r="B2083" s="166"/>
      <c r="C2083" s="164">
        <f t="shared" si="217"/>
        <v>26</v>
      </c>
      <c r="D2083" s="158" t="str">
        <f>VLOOKUP(C2083,DMSP!$A$1:$C$39,2,0)</f>
        <v>6.BVTV</v>
      </c>
      <c r="E2083" s="159" t="str">
        <f>VLOOKUP(C2083,DMSP!$A$1:$C$39,3,0)</f>
        <v>TAMALA</v>
      </c>
      <c r="F2083" s="160">
        <f t="shared" si="214"/>
        <v>0</v>
      </c>
      <c r="G2083" s="176"/>
      <c r="H2083" s="176"/>
      <c r="I2083" s="176"/>
      <c r="J2083" s="176"/>
      <c r="K2083" s="176"/>
      <c r="L2083" s="176"/>
      <c r="M2083" s="176"/>
      <c r="N2083" s="176"/>
      <c r="O2083" s="176"/>
      <c r="P2083" s="176"/>
      <c r="Q2083" s="176"/>
      <c r="R2083" s="176"/>
      <c r="S2083" s="162">
        <f t="shared" si="218"/>
        <v>0</v>
      </c>
      <c r="T2083" s="167"/>
    </row>
    <row r="2084" customHeight="1" spans="2:20">
      <c r="B2084" s="166"/>
      <c r="C2084" s="164">
        <f t="shared" si="217"/>
        <v>27</v>
      </c>
      <c r="D2084" s="158" t="str">
        <f>VLOOKUP(C2084,DMSP!$A$1:$C$39,2,0)</f>
        <v>7.KHÁC</v>
      </c>
      <c r="E2084" s="159" t="str">
        <f>VLOOKUP(C2084,DMSP!$A$1:$C$39,3,0)</f>
        <v>KẼM VÀNG</v>
      </c>
      <c r="F2084" s="160">
        <f t="shared" si="214"/>
        <v>0</v>
      </c>
      <c r="G2084" s="176"/>
      <c r="H2084" s="176"/>
      <c r="I2084" s="176"/>
      <c r="J2084" s="176"/>
      <c r="K2084" s="176"/>
      <c r="L2084" s="176"/>
      <c r="M2084" s="176"/>
      <c r="N2084" s="176"/>
      <c r="O2084" s="176"/>
      <c r="P2084" s="176"/>
      <c r="Q2084" s="176"/>
      <c r="R2084" s="176"/>
      <c r="S2084" s="162">
        <f t="shared" si="218"/>
        <v>0</v>
      </c>
      <c r="T2084" s="167"/>
    </row>
    <row r="2085" customHeight="1" spans="2:20">
      <c r="B2085" s="166"/>
      <c r="C2085" s="164">
        <f t="shared" si="217"/>
        <v>28</v>
      </c>
      <c r="D2085" s="158" t="str">
        <f>VLOOKUP(C2085,DMSP!$A$1:$C$39,2,0)</f>
        <v>7.KHÁC</v>
      </c>
      <c r="E2085" s="159" t="str">
        <f>VLOOKUP(C2085,DMSP!$A$1:$C$39,3,0)</f>
        <v>KHÁC1</v>
      </c>
      <c r="F2085" s="160">
        <f t="shared" si="214"/>
        <v>0</v>
      </c>
      <c r="G2085" s="176"/>
      <c r="H2085" s="176"/>
      <c r="I2085" s="176"/>
      <c r="J2085" s="176"/>
      <c r="K2085" s="176"/>
      <c r="L2085" s="176"/>
      <c r="M2085" s="176"/>
      <c r="N2085" s="176"/>
      <c r="O2085" s="176"/>
      <c r="P2085" s="176"/>
      <c r="Q2085" s="176"/>
      <c r="R2085" s="176"/>
      <c r="S2085" s="162">
        <f t="shared" si="218"/>
        <v>0</v>
      </c>
      <c r="T2085" s="167"/>
    </row>
    <row r="2086" customHeight="1" spans="2:20">
      <c r="B2086" s="166"/>
      <c r="C2086" s="164">
        <f t="shared" si="217"/>
        <v>29</v>
      </c>
      <c r="D2086" s="158" t="str">
        <f>VLOOKUP(C2086,DMSP!$A$1:$C$39,2,0)</f>
        <v>7.KHÁC</v>
      </c>
      <c r="E2086" s="169" t="s">
        <v>13</v>
      </c>
      <c r="F2086" s="160">
        <f t="shared" si="214"/>
        <v>0</v>
      </c>
      <c r="G2086" s="176"/>
      <c r="H2086" s="176"/>
      <c r="I2086" s="176"/>
      <c r="J2086" s="176"/>
      <c r="K2086" s="176"/>
      <c r="L2086" s="176"/>
      <c r="M2086" s="176"/>
      <c r="N2086" s="176"/>
      <c r="O2086" s="176"/>
      <c r="P2086" s="176"/>
      <c r="Q2086" s="176"/>
      <c r="R2086" s="176"/>
      <c r="S2086" s="162">
        <f t="shared" si="218"/>
        <v>0</v>
      </c>
      <c r="T2086" s="167"/>
    </row>
    <row r="2087" customHeight="1" spans="2:20">
      <c r="B2087" s="166"/>
      <c r="C2087" s="164">
        <f t="shared" si="217"/>
        <v>30</v>
      </c>
      <c r="D2087" s="158" t="str">
        <f>VLOOKUP(C2087,DMSP!$A$1:$C$39,2,0)</f>
        <v>7.KHÁC</v>
      </c>
      <c r="E2087" s="159" t="str">
        <f>VLOOKUP(C2087,DMSP!$A$1:$C$39,3,0)</f>
        <v>RỬA RONG RÊU</v>
      </c>
      <c r="F2087" s="160">
        <f t="shared" si="214"/>
        <v>0</v>
      </c>
      <c r="G2087" s="176"/>
      <c r="H2087" s="176"/>
      <c r="I2087" s="176"/>
      <c r="J2087" s="176"/>
      <c r="K2087" s="176"/>
      <c r="L2087" s="176"/>
      <c r="M2087" s="176"/>
      <c r="N2087" s="176"/>
      <c r="O2087" s="176"/>
      <c r="P2087" s="176"/>
      <c r="Q2087" s="176"/>
      <c r="R2087" s="176"/>
      <c r="S2087" s="162">
        <f t="shared" si="218"/>
        <v>0</v>
      </c>
      <c r="T2087" s="167"/>
    </row>
    <row r="2088" customHeight="1" spans="2:20">
      <c r="B2088" s="166"/>
      <c r="C2088" s="164">
        <f t="shared" si="217"/>
        <v>31</v>
      </c>
      <c r="D2088" s="158" t="str">
        <f>VLOOKUP(C2088,DMSP!$A$1:$C$39,2,0)</f>
        <v>7.KHÁC</v>
      </c>
      <c r="E2088" s="159" t="str">
        <f>VLOOKUP(C2088,DMSP!$A$1:$C$39,3,0)</f>
        <v>TB BO</v>
      </c>
      <c r="F2088" s="160">
        <f t="shared" si="214"/>
        <v>0</v>
      </c>
      <c r="G2088" s="176"/>
      <c r="H2088" s="176"/>
      <c r="I2088" s="176"/>
      <c r="J2088" s="176"/>
      <c r="K2088" s="176"/>
      <c r="L2088" s="176"/>
      <c r="M2088" s="176"/>
      <c r="N2088" s="176"/>
      <c r="O2088" s="176"/>
      <c r="P2088" s="176"/>
      <c r="Q2088" s="176"/>
      <c r="R2088" s="176"/>
      <c r="S2088" s="162">
        <f t="shared" si="218"/>
        <v>0</v>
      </c>
      <c r="T2088" s="167"/>
    </row>
    <row r="2089" customHeight="1" spans="2:20">
      <c r="B2089" s="166"/>
      <c r="C2089" s="164">
        <f t="shared" si="217"/>
        <v>32</v>
      </c>
      <c r="D2089" s="158" t="str">
        <f>VLOOKUP(C2089,DMSP!$A$1:$C$39,2,0)</f>
        <v>7.KHÁC</v>
      </c>
      <c r="E2089" s="159" t="str">
        <f>VLOOKUP(C2089,DMSP!$A$1:$C$39,3,0)</f>
        <v>TB FRUIT</v>
      </c>
      <c r="F2089" s="160">
        <f t="shared" si="214"/>
        <v>0</v>
      </c>
      <c r="G2089" s="176"/>
      <c r="H2089" s="176"/>
      <c r="I2089" s="176"/>
      <c r="J2089" s="176"/>
      <c r="K2089" s="176"/>
      <c r="L2089" s="176"/>
      <c r="M2089" s="176"/>
      <c r="N2089" s="176"/>
      <c r="O2089" s="176"/>
      <c r="P2089" s="176"/>
      <c r="Q2089" s="176"/>
      <c r="R2089" s="176"/>
      <c r="S2089" s="162">
        <f t="shared" si="218"/>
        <v>0</v>
      </c>
      <c r="T2089" s="167"/>
    </row>
    <row r="2090" customHeight="1" spans="2:20">
      <c r="B2090" s="166"/>
      <c r="C2090" s="164">
        <f t="shared" si="217"/>
        <v>33</v>
      </c>
      <c r="D2090" s="158" t="str">
        <f>VLOOKUP(C2090,DMSP!$A$1:$C$39,2,0)</f>
        <v>7.KHÁC</v>
      </c>
      <c r="E2090" s="159" t="str">
        <f>VLOOKUP(C2090,DMSP!$A$1:$C$39,3,0)</f>
        <v>TB PHOS</v>
      </c>
      <c r="F2090" s="160">
        <f t="shared" si="214"/>
        <v>0</v>
      </c>
      <c r="G2090" s="176"/>
      <c r="H2090" s="176"/>
      <c r="I2090" s="176"/>
      <c r="J2090" s="176"/>
      <c r="K2090" s="176"/>
      <c r="L2090" s="176"/>
      <c r="M2090" s="176"/>
      <c r="N2090" s="176"/>
      <c r="O2090" s="176"/>
      <c r="P2090" s="176"/>
      <c r="Q2090" s="176"/>
      <c r="R2090" s="176"/>
      <c r="S2090" s="162">
        <f t="shared" si="218"/>
        <v>0</v>
      </c>
      <c r="T2090" s="167"/>
    </row>
    <row r="2091" customHeight="1" spans="2:20">
      <c r="B2091" s="166"/>
      <c r="C2091" s="164">
        <f t="shared" si="217"/>
        <v>34</v>
      </c>
      <c r="D2091" s="158" t="str">
        <f>VLOOKUP(C2091,DMSP!$A$1:$C$39,2,0)</f>
        <v>7.KHÁC</v>
      </c>
      <c r="E2091" s="159" t="str">
        <f>VLOOKUP(C2091,DMSP!$A$1:$C$39,3,0)</f>
        <v>TOBA BÁM DÍNH</v>
      </c>
      <c r="F2091" s="160">
        <f t="shared" si="214"/>
        <v>0</v>
      </c>
      <c r="G2091" s="176"/>
      <c r="H2091" s="176"/>
      <c r="I2091" s="176"/>
      <c r="J2091" s="176"/>
      <c r="K2091" s="176"/>
      <c r="L2091" s="176"/>
      <c r="M2091" s="176"/>
      <c r="N2091" s="176"/>
      <c r="O2091" s="176"/>
      <c r="P2091" s="176"/>
      <c r="Q2091" s="176"/>
      <c r="R2091" s="176"/>
      <c r="S2091" s="162">
        <f t="shared" si="218"/>
        <v>0</v>
      </c>
      <c r="T2091" s="167"/>
    </row>
    <row r="2092" customHeight="1" spans="2:20">
      <c r="B2092" s="166"/>
      <c r="C2092" s="164">
        <f t="shared" si="217"/>
        <v>35</v>
      </c>
      <c r="D2092" s="158" t="str">
        <f>VLOOKUP(C2092,DMSP!$A$1:$C$39,2,0)</f>
        <v>7.KHÁC</v>
      </c>
      <c r="E2092" s="159" t="str">
        <f>VLOOKUP(C2092,DMSP!$A$1:$C$39,3,0)</f>
        <v>VỌT HOA NHÃN</v>
      </c>
      <c r="F2092" s="160">
        <f t="shared" si="214"/>
        <v>0</v>
      </c>
      <c r="G2092" s="176"/>
      <c r="H2092" s="176"/>
      <c r="I2092" s="176"/>
      <c r="J2092" s="176"/>
      <c r="K2092" s="176"/>
      <c r="L2092" s="176"/>
      <c r="M2092" s="176"/>
      <c r="N2092" s="176"/>
      <c r="O2092" s="176"/>
      <c r="P2092" s="176"/>
      <c r="Q2092" s="176"/>
      <c r="R2092" s="176"/>
      <c r="S2092" s="162">
        <f t="shared" si="218"/>
        <v>0</v>
      </c>
      <c r="T2092" s="167"/>
    </row>
    <row r="2093" customHeight="1" spans="2:20">
      <c r="B2093" s="166"/>
      <c r="C2093" s="164">
        <f t="shared" si="217"/>
        <v>36</v>
      </c>
      <c r="D2093" s="158" t="str">
        <f>VLOOKUP(C2093,DMSP!$A$1:$C$39,2,0)</f>
        <v>7.KHÁC</v>
      </c>
      <c r="E2093" s="159" t="str">
        <f>VLOOKUP(C2093,DMSP!$A$1:$C$39,3,0)</f>
        <v>VỌT HOA XOÀI</v>
      </c>
      <c r="F2093" s="160">
        <f t="shared" si="214"/>
        <v>0</v>
      </c>
      <c r="G2093" s="176"/>
      <c r="H2093" s="176"/>
      <c r="I2093" s="176"/>
      <c r="J2093" s="176"/>
      <c r="K2093" s="176"/>
      <c r="L2093" s="176"/>
      <c r="M2093" s="176"/>
      <c r="N2093" s="176"/>
      <c r="O2093" s="176"/>
      <c r="P2093" s="176"/>
      <c r="Q2093" s="176"/>
      <c r="R2093" s="176"/>
      <c r="S2093" s="162">
        <f t="shared" si="218"/>
        <v>0</v>
      </c>
      <c r="T2093" s="167"/>
    </row>
    <row r="2094" customHeight="1" spans="2:20">
      <c r="B2094" s="166"/>
      <c r="C2094" s="164">
        <f t="shared" si="217"/>
        <v>37</v>
      </c>
      <c r="D2094" s="158" t="str">
        <f>VLOOKUP(C2094,DMSP!$A$1:$C$39,2,0)</f>
        <v>7.KHÁC</v>
      </c>
      <c r="E2094" s="159" t="str">
        <f>VLOOKUP(C2094,DMSP!$A$1:$C$39,3,0)</f>
        <v>VỌT HOA XOÀI</v>
      </c>
      <c r="F2094" s="160">
        <f t="shared" si="214"/>
        <v>0</v>
      </c>
      <c r="G2094" s="176"/>
      <c r="H2094" s="176"/>
      <c r="I2094" s="176"/>
      <c r="J2094" s="176"/>
      <c r="K2094" s="176"/>
      <c r="L2094" s="176"/>
      <c r="M2094" s="176"/>
      <c r="N2094" s="176"/>
      <c r="O2094" s="176"/>
      <c r="P2094" s="176"/>
      <c r="Q2094" s="176"/>
      <c r="R2094" s="176"/>
      <c r="S2094" s="162">
        <f t="shared" si="218"/>
        <v>0</v>
      </c>
      <c r="T2094" s="167"/>
    </row>
    <row r="2095" customHeight="1" spans="2:20">
      <c r="B2095" s="92"/>
      <c r="C2095" s="170">
        <f t="shared" ref="C2095" si="219">B2058</f>
        <v>0</v>
      </c>
      <c r="D2095" s="171"/>
      <c r="E2095" s="172" t="str">
        <f>"TOTAL "&amp;B2058</f>
        <v>TOTAL </v>
      </c>
      <c r="F2095" s="173">
        <f t="shared" si="214"/>
        <v>0</v>
      </c>
      <c r="G2095" s="174">
        <f>SUM(G2058:G2094)</f>
        <v>0</v>
      </c>
      <c r="H2095" s="174">
        <f t="shared" ref="H2095:R2095" si="220">SUM(H2058:H2094)</f>
        <v>0</v>
      </c>
      <c r="I2095" s="174">
        <f t="shared" si="220"/>
        <v>0</v>
      </c>
      <c r="J2095" s="174">
        <f t="shared" si="220"/>
        <v>0</v>
      </c>
      <c r="K2095" s="174">
        <f t="shared" si="220"/>
        <v>0</v>
      </c>
      <c r="L2095" s="174">
        <f t="shared" si="220"/>
        <v>0</v>
      </c>
      <c r="M2095" s="174">
        <f t="shared" si="220"/>
        <v>0</v>
      </c>
      <c r="N2095" s="174">
        <f t="shared" si="220"/>
        <v>0</v>
      </c>
      <c r="O2095" s="174">
        <f t="shared" si="220"/>
        <v>0</v>
      </c>
      <c r="P2095" s="174">
        <f t="shared" si="220"/>
        <v>0</v>
      </c>
      <c r="Q2095" s="174">
        <f t="shared" si="220"/>
        <v>0</v>
      </c>
      <c r="R2095" s="174">
        <f t="shared" si="220"/>
        <v>0</v>
      </c>
      <c r="S2095" s="174">
        <f t="shared" si="218"/>
        <v>0</v>
      </c>
      <c r="T2095" s="175"/>
    </row>
    <row r="2096" customHeight="1" spans="2:20">
      <c r="B2096" s="156"/>
      <c r="C2096" s="157">
        <v>1</v>
      </c>
      <c r="D2096" s="158" t="str">
        <f>VLOOKUP(C2096,DMSP!$A$1:$C$39,2,0)</f>
        <v>1.TOBA XANH</v>
      </c>
      <c r="E2096" s="159" t="str">
        <f>VLOOKUP(C2096,DMSP!$A$1:$C$39,3,0)</f>
        <v>TOBA XANH</v>
      </c>
      <c r="F2096" s="160">
        <f t="shared" si="214"/>
        <v>0</v>
      </c>
      <c r="G2096" s="176"/>
      <c r="H2096" s="176"/>
      <c r="I2096" s="176"/>
      <c r="J2096" s="176"/>
      <c r="K2096" s="176"/>
      <c r="L2096" s="176"/>
      <c r="M2096" s="176"/>
      <c r="N2096" s="176"/>
      <c r="O2096" s="176"/>
      <c r="P2096" s="176"/>
      <c r="Q2096" s="176"/>
      <c r="R2096" s="176"/>
      <c r="S2096" s="162">
        <f t="shared" si="218"/>
        <v>0</v>
      </c>
      <c r="T2096" s="163">
        <f>S2133</f>
        <v>0</v>
      </c>
    </row>
    <row r="2097" customHeight="1" spans="2:20">
      <c r="B2097" s="166"/>
      <c r="C2097" s="164">
        <f t="shared" si="217"/>
        <v>2</v>
      </c>
      <c r="D2097" s="158" t="str">
        <f>VLOOKUP(C2097,DMSP!$A$1:$C$39,2,0)</f>
        <v>2.HC</v>
      </c>
      <c r="E2097" s="159" t="str">
        <f>VLOOKUP(C2097,DMSP!$A$1:$C$39,3,0)</f>
        <v>HC BOOSTER</v>
      </c>
      <c r="F2097" s="160">
        <f t="shared" si="214"/>
        <v>0</v>
      </c>
      <c r="G2097" s="176"/>
      <c r="H2097" s="176"/>
      <c r="I2097" s="176"/>
      <c r="J2097" s="176"/>
      <c r="K2097" s="176"/>
      <c r="L2097" s="176"/>
      <c r="M2097" s="176"/>
      <c r="N2097" s="176"/>
      <c r="O2097" s="176"/>
      <c r="P2097" s="176"/>
      <c r="Q2097" s="176"/>
      <c r="R2097" s="176"/>
      <c r="S2097" s="162">
        <f t="shared" ref="S2097:S2133" si="221">SUM(G2097:R2097)</f>
        <v>0</v>
      </c>
      <c r="T2097" s="167"/>
    </row>
    <row r="2098" customHeight="1" spans="2:20">
      <c r="B2098" s="166"/>
      <c r="C2098" s="164">
        <f t="shared" si="217"/>
        <v>3</v>
      </c>
      <c r="D2098" s="158" t="str">
        <f>VLOOKUP(C2098,DMSP!$A$1:$C$39,2,0)</f>
        <v>2.HC</v>
      </c>
      <c r="E2098" s="159" t="str">
        <f>VLOOKUP(C2098,DMSP!$A$1:$C$39,3,0)</f>
        <v>HC KING-ROOT</v>
      </c>
      <c r="F2098" s="160">
        <f t="shared" si="214"/>
        <v>0</v>
      </c>
      <c r="G2098" s="176"/>
      <c r="H2098" s="176"/>
      <c r="I2098" s="176"/>
      <c r="J2098" s="176"/>
      <c r="K2098" s="176"/>
      <c r="L2098" s="176"/>
      <c r="M2098" s="176"/>
      <c r="N2098" s="176"/>
      <c r="O2098" s="176"/>
      <c r="P2098" s="176"/>
      <c r="Q2098" s="176"/>
      <c r="R2098" s="176"/>
      <c r="S2098" s="162">
        <f t="shared" si="221"/>
        <v>0</v>
      </c>
      <c r="T2098" s="167"/>
    </row>
    <row r="2099" customHeight="1" spans="2:20">
      <c r="B2099" s="166"/>
      <c r="C2099" s="164">
        <f t="shared" si="217"/>
        <v>4</v>
      </c>
      <c r="D2099" s="158" t="str">
        <f>VLOOKUP(C2099,DMSP!$A$1:$C$39,2,0)</f>
        <v>2.HC</v>
      </c>
      <c r="E2099" s="159" t="str">
        <f>VLOOKUP(C2099,DMSP!$A$1:$C$39,3,0)</f>
        <v>HAPPY FARM</v>
      </c>
      <c r="F2099" s="160">
        <f t="shared" si="214"/>
        <v>0</v>
      </c>
      <c r="G2099" s="176"/>
      <c r="H2099" s="176"/>
      <c r="I2099" s="176"/>
      <c r="J2099" s="176"/>
      <c r="K2099" s="176"/>
      <c r="L2099" s="176"/>
      <c r="M2099" s="176"/>
      <c r="N2099" s="176"/>
      <c r="O2099" s="176"/>
      <c r="P2099" s="176"/>
      <c r="Q2099" s="176"/>
      <c r="R2099" s="176"/>
      <c r="S2099" s="162">
        <f t="shared" si="221"/>
        <v>0</v>
      </c>
      <c r="T2099" s="167"/>
    </row>
    <row r="2100" customHeight="1" spans="2:20">
      <c r="B2100" s="166"/>
      <c r="C2100" s="164">
        <f t="shared" si="217"/>
        <v>5</v>
      </c>
      <c r="D2100" s="158" t="str">
        <f>VLOOKUP(C2100,DMSP!$A$1:$C$39,2,0)</f>
        <v>2.HC</v>
      </c>
      <c r="E2100" s="159" t="str">
        <f>VLOOKUP(C2100,DMSP!$A$1:$C$39,3,0)</f>
        <v>WOW</v>
      </c>
      <c r="F2100" s="160">
        <f t="shared" si="214"/>
        <v>0</v>
      </c>
      <c r="G2100" s="176"/>
      <c r="H2100" s="176"/>
      <c r="I2100" s="176"/>
      <c r="J2100" s="176"/>
      <c r="K2100" s="176"/>
      <c r="L2100" s="176"/>
      <c r="M2100" s="176"/>
      <c r="N2100" s="176"/>
      <c r="O2100" s="176"/>
      <c r="P2100" s="176"/>
      <c r="Q2100" s="176"/>
      <c r="R2100" s="176"/>
      <c r="S2100" s="162">
        <f t="shared" si="221"/>
        <v>0</v>
      </c>
      <c r="T2100" s="167"/>
    </row>
    <row r="2101" customHeight="1" spans="2:20">
      <c r="B2101" s="166"/>
      <c r="C2101" s="164">
        <f t="shared" si="217"/>
        <v>6</v>
      </c>
      <c r="D2101" s="158" t="str">
        <f>VLOOKUP(C2101,DMSP!$A$1:$C$39,2,0)</f>
        <v>3.SPRAY </v>
      </c>
      <c r="E2101" s="159" t="str">
        <f>VLOOKUP(C2101,DMSP!$A$1:$C$39,3,0)</f>
        <v>KELPIT</v>
      </c>
      <c r="F2101" s="160">
        <f t="shared" si="214"/>
        <v>0</v>
      </c>
      <c r="G2101" s="176"/>
      <c r="H2101" s="176"/>
      <c r="I2101" s="176"/>
      <c r="J2101" s="176"/>
      <c r="K2101" s="176"/>
      <c r="L2101" s="176"/>
      <c r="M2101" s="176"/>
      <c r="N2101" s="176"/>
      <c r="O2101" s="176"/>
      <c r="P2101" s="176"/>
      <c r="Q2101" s="176"/>
      <c r="R2101" s="176"/>
      <c r="S2101" s="162">
        <f t="shared" si="221"/>
        <v>0</v>
      </c>
      <c r="T2101" s="167"/>
    </row>
    <row r="2102" customHeight="1" spans="2:20">
      <c r="B2102" s="166"/>
      <c r="C2102" s="164">
        <f t="shared" si="217"/>
        <v>7</v>
      </c>
      <c r="D2102" s="158" t="str">
        <f>VLOOKUP(C2102,DMSP!$A$1:$C$39,2,0)</f>
        <v>3.SPRAY </v>
      </c>
      <c r="E2102" s="159" t="str">
        <f>VLOOKUP(C2102,DMSP!$A$1:$C$39,3,0)</f>
        <v>SI-K</v>
      </c>
      <c r="F2102" s="160">
        <f t="shared" si="214"/>
        <v>0</v>
      </c>
      <c r="G2102" s="176"/>
      <c r="H2102" s="176"/>
      <c r="I2102" s="176"/>
      <c r="J2102" s="176"/>
      <c r="K2102" s="176"/>
      <c r="L2102" s="176"/>
      <c r="M2102" s="176"/>
      <c r="N2102" s="176"/>
      <c r="O2102" s="176"/>
      <c r="P2102" s="176"/>
      <c r="Q2102" s="176"/>
      <c r="R2102" s="176"/>
      <c r="S2102" s="162">
        <f t="shared" si="221"/>
        <v>0</v>
      </c>
      <c r="T2102" s="167"/>
    </row>
    <row r="2103" customHeight="1" spans="2:20">
      <c r="B2103" s="166"/>
      <c r="C2103" s="164">
        <f t="shared" si="217"/>
        <v>8</v>
      </c>
      <c r="D2103" s="158" t="str">
        <f>VLOOKUP(C2103,DMSP!$A$1:$C$39,2,0)</f>
        <v>3.SPRAY </v>
      </c>
      <c r="E2103" s="159" t="str">
        <f>VLOOKUP(C2103,DMSP!$A$1:$C$39,3,0)</f>
        <v>SPRAY PHOS 620</v>
      </c>
      <c r="F2103" s="160">
        <f t="shared" si="214"/>
        <v>0</v>
      </c>
      <c r="G2103" s="176"/>
      <c r="H2103" s="176"/>
      <c r="I2103" s="176"/>
      <c r="J2103" s="176"/>
      <c r="K2103" s="176"/>
      <c r="L2103" s="176"/>
      <c r="M2103" s="176"/>
      <c r="N2103" s="176"/>
      <c r="O2103" s="176"/>
      <c r="P2103" s="176"/>
      <c r="Q2103" s="176"/>
      <c r="R2103" s="176"/>
      <c r="S2103" s="162">
        <f t="shared" si="221"/>
        <v>0</v>
      </c>
      <c r="T2103" s="167"/>
    </row>
    <row r="2104" customHeight="1" spans="2:20">
      <c r="B2104" s="166"/>
      <c r="C2104" s="164">
        <f t="shared" si="217"/>
        <v>9</v>
      </c>
      <c r="D2104" s="158" t="str">
        <f>VLOOKUP(C2104,DMSP!$A$1:$C$39,2,0)</f>
        <v>4.DƯỠNG RỄ</v>
      </c>
      <c r="E2104" s="159" t="str">
        <f>VLOOKUP(C2104,DMSP!$A$1:$C$39,3,0)</f>
        <v>CHITOSAN</v>
      </c>
      <c r="F2104" s="160">
        <f t="shared" si="214"/>
        <v>0</v>
      </c>
      <c r="G2104" s="176"/>
      <c r="H2104" s="176"/>
      <c r="I2104" s="176"/>
      <c r="J2104" s="176"/>
      <c r="K2104" s="176"/>
      <c r="L2104" s="176"/>
      <c r="M2104" s="176"/>
      <c r="N2104" s="176"/>
      <c r="O2104" s="176"/>
      <c r="P2104" s="176"/>
      <c r="Q2104" s="176"/>
      <c r="R2104" s="176"/>
      <c r="S2104" s="162">
        <f t="shared" si="221"/>
        <v>0</v>
      </c>
      <c r="T2104" s="167"/>
    </row>
    <row r="2105" customHeight="1" spans="2:20">
      <c r="B2105" s="166"/>
      <c r="C2105" s="164">
        <f t="shared" si="217"/>
        <v>10</v>
      </c>
      <c r="D2105" s="158" t="str">
        <f>VLOOKUP(C2105,DMSP!$A$1:$C$39,2,0)</f>
        <v>4.DƯỠNG RỄ</v>
      </c>
      <c r="E2105" s="159" t="str">
        <f>VLOOKUP(C2105,DMSP!$A$1:$C$39,3,0)</f>
        <v>ĐẠM CÁ</v>
      </c>
      <c r="F2105" s="160">
        <f t="shared" si="214"/>
        <v>0</v>
      </c>
      <c r="G2105" s="176"/>
      <c r="H2105" s="176"/>
      <c r="I2105" s="176"/>
      <c r="J2105" s="176"/>
      <c r="K2105" s="176"/>
      <c r="L2105" s="176"/>
      <c r="M2105" s="176"/>
      <c r="N2105" s="176"/>
      <c r="O2105" s="176"/>
      <c r="P2105" s="176"/>
      <c r="Q2105" s="176"/>
      <c r="R2105" s="176"/>
      <c r="S2105" s="162">
        <f t="shared" si="221"/>
        <v>0</v>
      </c>
      <c r="T2105" s="167"/>
    </row>
    <row r="2106" customHeight="1" spans="2:20">
      <c r="B2106" s="166"/>
      <c r="C2106" s="164">
        <f t="shared" si="217"/>
        <v>11</v>
      </c>
      <c r="D2106" s="158" t="str">
        <f>VLOOKUP(C2106,DMSP!$A$1:$C$39,2,0)</f>
        <v>4.DƯỠNG RỄ</v>
      </c>
      <c r="E2106" s="159" t="str">
        <f>VLOOKUP(C2106,DMSP!$A$1:$C$39,3,0)</f>
        <v>ĐẠM TÔM</v>
      </c>
      <c r="F2106" s="160">
        <f t="shared" si="214"/>
        <v>0</v>
      </c>
      <c r="G2106" s="176"/>
      <c r="H2106" s="176"/>
      <c r="I2106" s="176"/>
      <c r="J2106" s="176"/>
      <c r="K2106" s="176"/>
      <c r="L2106" s="176"/>
      <c r="M2106" s="176"/>
      <c r="N2106" s="176"/>
      <c r="O2106" s="176"/>
      <c r="P2106" s="176"/>
      <c r="Q2106" s="176"/>
      <c r="R2106" s="176"/>
      <c r="S2106" s="162">
        <f t="shared" si="221"/>
        <v>0</v>
      </c>
      <c r="T2106" s="167"/>
    </row>
    <row r="2107" customHeight="1" spans="2:20">
      <c r="B2107" s="166"/>
      <c r="C2107" s="164">
        <f t="shared" si="217"/>
        <v>12</v>
      </c>
      <c r="D2107" s="158" t="str">
        <f>VLOOKUP(C2107,DMSP!$A$1:$C$39,2,0)</f>
        <v>4.DƯỠNG RỄ</v>
      </c>
      <c r="E2107" s="159" t="str">
        <f>VLOOKUP(C2107,DMSP!$A$1:$C$39,3,0)</f>
        <v>SUPERMIC</v>
      </c>
      <c r="F2107" s="160">
        <f t="shared" si="214"/>
        <v>0</v>
      </c>
      <c r="G2107" s="176"/>
      <c r="H2107" s="176"/>
      <c r="I2107" s="176"/>
      <c r="J2107" s="176"/>
      <c r="K2107" s="176"/>
      <c r="L2107" s="176"/>
      <c r="M2107" s="176"/>
      <c r="N2107" s="176"/>
      <c r="O2107" s="176"/>
      <c r="P2107" s="176"/>
      <c r="Q2107" s="176"/>
      <c r="R2107" s="176"/>
      <c r="S2107" s="162">
        <f t="shared" si="221"/>
        <v>0</v>
      </c>
      <c r="T2107" s="167"/>
    </row>
    <row r="2108" customHeight="1" spans="2:20">
      <c r="B2108" s="166"/>
      <c r="C2108" s="164">
        <f t="shared" si="217"/>
        <v>13</v>
      </c>
      <c r="D2108" s="158" t="str">
        <f>VLOOKUP(C2108,DMSP!$A$1:$C$39,2,0)</f>
        <v>5.TRUYỀN THỐNG</v>
      </c>
      <c r="E2108" s="159" t="str">
        <f>VLOOKUP(C2108,DMSP!$A$1:$C$39,3,0)</f>
        <v>CABO</v>
      </c>
      <c r="F2108" s="160">
        <f t="shared" si="214"/>
        <v>0</v>
      </c>
      <c r="G2108" s="176"/>
      <c r="H2108" s="176"/>
      <c r="I2108" s="176"/>
      <c r="J2108" s="176"/>
      <c r="K2108" s="176"/>
      <c r="L2108" s="176"/>
      <c r="M2108" s="176"/>
      <c r="N2108" s="176"/>
      <c r="O2108" s="176"/>
      <c r="P2108" s="176"/>
      <c r="Q2108" s="176"/>
      <c r="R2108" s="176"/>
      <c r="S2108" s="162">
        <f t="shared" si="221"/>
        <v>0</v>
      </c>
      <c r="T2108" s="167"/>
    </row>
    <row r="2109" customHeight="1" spans="2:20">
      <c r="B2109" s="166"/>
      <c r="C2109" s="164">
        <f t="shared" si="217"/>
        <v>14</v>
      </c>
      <c r="D2109" s="158" t="str">
        <f>VLOOKUP(C2109,DMSP!$A$1:$C$39,2,0)</f>
        <v>5.TRUYỀN THỐNG</v>
      </c>
      <c r="E2109" s="159" t="str">
        <f>VLOOKUP(C2109,DMSP!$A$1:$C$39,3,0)</f>
        <v>F94</v>
      </c>
      <c r="F2109" s="160">
        <f t="shared" si="214"/>
        <v>0</v>
      </c>
      <c r="G2109" s="176"/>
      <c r="H2109" s="176"/>
      <c r="I2109" s="176"/>
      <c r="J2109" s="176"/>
      <c r="K2109" s="176"/>
      <c r="L2109" s="176"/>
      <c r="M2109" s="176"/>
      <c r="N2109" s="176"/>
      <c r="O2109" s="176"/>
      <c r="P2109" s="176"/>
      <c r="Q2109" s="176"/>
      <c r="R2109" s="176"/>
      <c r="S2109" s="162">
        <f t="shared" si="221"/>
        <v>0</v>
      </c>
      <c r="T2109" s="167"/>
    </row>
    <row r="2110" customHeight="1" spans="2:20">
      <c r="B2110" s="166"/>
      <c r="C2110" s="164">
        <f t="shared" si="217"/>
        <v>15</v>
      </c>
      <c r="D2110" s="158" t="str">
        <f>VLOOKUP(C2110,DMSP!$A$1:$C$39,2,0)</f>
        <v>5.TRUYỀN THỐNG</v>
      </c>
      <c r="E2110" s="159" t="str">
        <f>VLOOKUP(C2110,DMSP!$A$1:$C$39,3,0)</f>
        <v>F95</v>
      </c>
      <c r="F2110" s="160">
        <f t="shared" si="214"/>
        <v>0</v>
      </c>
      <c r="G2110" s="176"/>
      <c r="H2110" s="176"/>
      <c r="I2110" s="176"/>
      <c r="J2110" s="176"/>
      <c r="K2110" s="176"/>
      <c r="L2110" s="176"/>
      <c r="M2110" s="176"/>
      <c r="N2110" s="176"/>
      <c r="O2110" s="176"/>
      <c r="P2110" s="176"/>
      <c r="Q2110" s="176"/>
      <c r="R2110" s="176"/>
      <c r="S2110" s="162">
        <f t="shared" si="221"/>
        <v>0</v>
      </c>
      <c r="T2110" s="167"/>
    </row>
    <row r="2111" customHeight="1" spans="2:20">
      <c r="B2111" s="166"/>
      <c r="C2111" s="164">
        <f t="shared" si="217"/>
        <v>16</v>
      </c>
      <c r="D2111" s="158" t="str">
        <f>VLOOKUP(C2111,DMSP!$A$1:$C$39,2,0)</f>
        <v>5.TRUYỀN THỐNG</v>
      </c>
      <c r="E2111" s="159" t="str">
        <f>VLOOKUP(C2111,DMSP!$A$1:$C$39,3,0)</f>
        <v>THIOURE</v>
      </c>
      <c r="F2111" s="160">
        <f t="shared" si="214"/>
        <v>0</v>
      </c>
      <c r="G2111" s="176"/>
      <c r="H2111" s="176"/>
      <c r="I2111" s="176"/>
      <c r="J2111" s="176"/>
      <c r="K2111" s="176"/>
      <c r="L2111" s="176"/>
      <c r="M2111" s="176"/>
      <c r="N2111" s="176"/>
      <c r="O2111" s="176"/>
      <c r="P2111" s="176"/>
      <c r="Q2111" s="176"/>
      <c r="R2111" s="176"/>
      <c r="S2111" s="162">
        <f t="shared" si="221"/>
        <v>0</v>
      </c>
      <c r="T2111" s="167"/>
    </row>
    <row r="2112" customHeight="1" spans="2:20">
      <c r="B2112" s="166"/>
      <c r="C2112" s="164">
        <f t="shared" si="217"/>
        <v>17</v>
      </c>
      <c r="D2112" s="158" t="str">
        <f>VLOOKUP(C2112,DMSP!$A$1:$C$39,2,0)</f>
        <v>5.TRUYỀN THỐNG</v>
      </c>
      <c r="E2112" s="159" t="str">
        <f>VLOOKUP(C2112,DMSP!$A$1:$C$39,3,0)</f>
        <v>TOBA JUM</v>
      </c>
      <c r="F2112" s="160">
        <f t="shared" si="214"/>
        <v>0</v>
      </c>
      <c r="G2112" s="176"/>
      <c r="H2112" s="176"/>
      <c r="I2112" s="176"/>
      <c r="J2112" s="176"/>
      <c r="K2112" s="176"/>
      <c r="L2112" s="176"/>
      <c r="M2112" s="176"/>
      <c r="N2112" s="176"/>
      <c r="O2112" s="176"/>
      <c r="P2112" s="176"/>
      <c r="Q2112" s="176"/>
      <c r="R2112" s="176"/>
      <c r="S2112" s="162">
        <f t="shared" si="221"/>
        <v>0</v>
      </c>
      <c r="T2112" s="167"/>
    </row>
    <row r="2113" customHeight="1" spans="2:20">
      <c r="B2113" s="166"/>
      <c r="C2113" s="164">
        <f t="shared" si="217"/>
        <v>18</v>
      </c>
      <c r="D2113" s="158" t="str">
        <f>VLOOKUP(C2113,DMSP!$A$1:$C$39,2,0)</f>
        <v>5.TRUYỀN THỐNG</v>
      </c>
      <c r="E2113" s="159" t="str">
        <f>VLOOKUP(C2113,DMSP!$A$1:$C$39,3,0)</f>
        <v>TOBA NET</v>
      </c>
      <c r="F2113" s="160">
        <f t="shared" si="214"/>
        <v>0</v>
      </c>
      <c r="G2113" s="176"/>
      <c r="H2113" s="176"/>
      <c r="I2113" s="176"/>
      <c r="J2113" s="176"/>
      <c r="K2113" s="176"/>
      <c r="L2113" s="176"/>
      <c r="M2113" s="176"/>
      <c r="N2113" s="176"/>
      <c r="O2113" s="176"/>
      <c r="P2113" s="176"/>
      <c r="Q2113" s="176"/>
      <c r="R2113" s="176"/>
      <c r="S2113" s="162">
        <f t="shared" si="221"/>
        <v>0</v>
      </c>
      <c r="T2113" s="167"/>
    </row>
    <row r="2114" customHeight="1" spans="2:20">
      <c r="B2114" s="166"/>
      <c r="C2114" s="164">
        <f t="shared" si="217"/>
        <v>19</v>
      </c>
      <c r="D2114" s="158" t="str">
        <f>VLOOKUP(C2114,DMSP!$A$1:$C$39,2,0)</f>
        <v>6.BVTV</v>
      </c>
      <c r="E2114" s="159" t="str">
        <f>VLOOKUP(C2114,DMSP!$A$1:$C$39,3,0)</f>
        <v>ABAFAX 1.8</v>
      </c>
      <c r="F2114" s="160">
        <f t="shared" si="214"/>
        <v>0</v>
      </c>
      <c r="G2114" s="176"/>
      <c r="H2114" s="176"/>
      <c r="I2114" s="176"/>
      <c r="J2114" s="176"/>
      <c r="K2114" s="176"/>
      <c r="L2114" s="176"/>
      <c r="M2114" s="176"/>
      <c r="N2114" s="176"/>
      <c r="O2114" s="176"/>
      <c r="P2114" s="176"/>
      <c r="Q2114" s="176"/>
      <c r="R2114" s="176"/>
      <c r="S2114" s="162">
        <f t="shared" si="221"/>
        <v>0</v>
      </c>
      <c r="T2114" s="167"/>
    </row>
    <row r="2115" customHeight="1" spans="2:20">
      <c r="B2115" s="166"/>
      <c r="C2115" s="164">
        <f t="shared" si="217"/>
        <v>20</v>
      </c>
      <c r="D2115" s="158" t="str">
        <f>VLOOKUP(C2115,DMSP!$A$1:$C$39,2,0)</f>
        <v>6.BVTV</v>
      </c>
      <c r="E2115" s="159" t="str">
        <f>VLOOKUP(C2115,DMSP!$A$1:$C$39,3,0)</f>
        <v>ABAFAX 3.6</v>
      </c>
      <c r="F2115" s="160">
        <f t="shared" si="214"/>
        <v>0</v>
      </c>
      <c r="G2115" s="176"/>
      <c r="H2115" s="176"/>
      <c r="I2115" s="176"/>
      <c r="J2115" s="176"/>
      <c r="K2115" s="176"/>
      <c r="L2115" s="176"/>
      <c r="M2115" s="176"/>
      <c r="N2115" s="176"/>
      <c r="O2115" s="176"/>
      <c r="P2115" s="176"/>
      <c r="Q2115" s="176"/>
      <c r="R2115" s="176"/>
      <c r="S2115" s="162">
        <f t="shared" si="221"/>
        <v>0</v>
      </c>
      <c r="T2115" s="167"/>
    </row>
    <row r="2116" customHeight="1" spans="2:20">
      <c r="B2116" s="166"/>
      <c r="C2116" s="164">
        <f t="shared" si="217"/>
        <v>21</v>
      </c>
      <c r="D2116" s="158" t="str">
        <f>VLOOKUP(C2116,DMSP!$A$1:$C$39,2,0)</f>
        <v>6.BVTV</v>
      </c>
      <c r="E2116" s="159" t="str">
        <f>VLOOKUP(C2116,DMSP!$A$1:$C$39,3,0)</f>
        <v>AZET</v>
      </c>
      <c r="F2116" s="160">
        <f t="shared" si="214"/>
        <v>0</v>
      </c>
      <c r="G2116" s="176"/>
      <c r="H2116" s="176"/>
      <c r="I2116" s="176"/>
      <c r="J2116" s="176"/>
      <c r="K2116" s="176"/>
      <c r="L2116" s="176"/>
      <c r="M2116" s="176"/>
      <c r="N2116" s="176"/>
      <c r="O2116" s="176"/>
      <c r="P2116" s="176"/>
      <c r="Q2116" s="176"/>
      <c r="R2116" s="176"/>
      <c r="S2116" s="162">
        <f t="shared" si="221"/>
        <v>0</v>
      </c>
      <c r="T2116" s="167"/>
    </row>
    <row r="2117" customHeight="1" spans="2:20">
      <c r="B2117" s="166"/>
      <c r="C2117" s="164">
        <f t="shared" si="217"/>
        <v>22</v>
      </c>
      <c r="D2117" s="158" t="str">
        <f>VLOOKUP(C2117,DMSP!$A$1:$C$39,2,0)</f>
        <v>6.BVTV</v>
      </c>
      <c r="E2117" s="159" t="str">
        <f>VLOOKUP(C2117,DMSP!$A$1:$C$39,3,0)</f>
        <v>BACBA</v>
      </c>
      <c r="F2117" s="160">
        <f t="shared" si="214"/>
        <v>0</v>
      </c>
      <c r="G2117" s="176"/>
      <c r="H2117" s="176"/>
      <c r="I2117" s="176"/>
      <c r="J2117" s="176"/>
      <c r="K2117" s="176"/>
      <c r="L2117" s="176"/>
      <c r="M2117" s="176"/>
      <c r="N2117" s="176"/>
      <c r="O2117" s="176"/>
      <c r="P2117" s="176"/>
      <c r="Q2117" s="176"/>
      <c r="R2117" s="176"/>
      <c r="S2117" s="162">
        <f t="shared" si="221"/>
        <v>0</v>
      </c>
      <c r="T2117" s="167"/>
    </row>
    <row r="2118" customHeight="1" spans="2:20">
      <c r="B2118" s="166"/>
      <c r="C2118" s="164">
        <f t="shared" si="217"/>
        <v>23</v>
      </c>
      <c r="D2118" s="158" t="str">
        <f>VLOOKUP(C2118,DMSP!$A$1:$C$39,2,0)</f>
        <v>6.BVTV</v>
      </c>
      <c r="E2118" s="159" t="str">
        <f>VLOOKUP(C2118,DMSP!$A$1:$C$39,3,0)</f>
        <v>BIOROSAMIL</v>
      </c>
      <c r="F2118" s="160">
        <f t="shared" si="214"/>
        <v>0</v>
      </c>
      <c r="G2118" s="176"/>
      <c r="H2118" s="176"/>
      <c r="I2118" s="176"/>
      <c r="J2118" s="176"/>
      <c r="K2118" s="176"/>
      <c r="L2118" s="176"/>
      <c r="M2118" s="176"/>
      <c r="N2118" s="176"/>
      <c r="O2118" s="176"/>
      <c r="P2118" s="176"/>
      <c r="Q2118" s="176"/>
      <c r="R2118" s="176"/>
      <c r="S2118" s="162">
        <f t="shared" si="221"/>
        <v>0</v>
      </c>
      <c r="T2118" s="167"/>
    </row>
    <row r="2119" customHeight="1" spans="2:20">
      <c r="B2119" s="166"/>
      <c r="C2119" s="164">
        <f t="shared" si="217"/>
        <v>24</v>
      </c>
      <c r="D2119" s="158" t="str">
        <f>VLOOKUP(C2119,DMSP!$A$1:$C$39,2,0)</f>
        <v>6.BVTV</v>
      </c>
      <c r="E2119" s="159" t="str">
        <f>VLOOKUP(C2119,DMSP!$A$1:$C$39,3,0)</f>
        <v>COC 86</v>
      </c>
      <c r="F2119" s="160">
        <f t="shared" ref="F2119:F2133" si="222">S2119</f>
        <v>0</v>
      </c>
      <c r="G2119" s="176"/>
      <c r="H2119" s="176"/>
      <c r="I2119" s="176"/>
      <c r="J2119" s="176"/>
      <c r="K2119" s="176"/>
      <c r="L2119" s="176"/>
      <c r="M2119" s="176"/>
      <c r="N2119" s="176"/>
      <c r="O2119" s="176"/>
      <c r="P2119" s="176"/>
      <c r="Q2119" s="176"/>
      <c r="R2119" s="176"/>
      <c r="S2119" s="162">
        <f t="shared" si="221"/>
        <v>0</v>
      </c>
      <c r="T2119" s="167"/>
    </row>
    <row r="2120" customHeight="1" spans="2:20">
      <c r="B2120" s="166"/>
      <c r="C2120" s="164">
        <f t="shared" si="217"/>
        <v>25</v>
      </c>
      <c r="D2120" s="158" t="str">
        <f>VLOOKUP(C2120,DMSP!$A$1:$C$39,2,0)</f>
        <v>6.BVTV</v>
      </c>
      <c r="E2120" s="159" t="str">
        <f>VLOOKUP(C2120,DMSP!$A$1:$C$39,3,0)</f>
        <v>HEXA 5</v>
      </c>
      <c r="F2120" s="160">
        <f t="shared" si="222"/>
        <v>0</v>
      </c>
      <c r="G2120" s="176"/>
      <c r="H2120" s="176"/>
      <c r="I2120" s="176"/>
      <c r="J2120" s="176"/>
      <c r="K2120" s="176"/>
      <c r="L2120" s="176"/>
      <c r="M2120" s="176"/>
      <c r="N2120" s="176"/>
      <c r="O2120" s="176"/>
      <c r="P2120" s="176"/>
      <c r="Q2120" s="176"/>
      <c r="R2120" s="176"/>
      <c r="S2120" s="162">
        <f t="shared" si="221"/>
        <v>0</v>
      </c>
      <c r="T2120" s="167"/>
    </row>
    <row r="2121" customHeight="1" spans="2:20">
      <c r="B2121" s="166"/>
      <c r="C2121" s="164">
        <f t="shared" si="217"/>
        <v>26</v>
      </c>
      <c r="D2121" s="158" t="str">
        <f>VLOOKUP(C2121,DMSP!$A$1:$C$39,2,0)</f>
        <v>6.BVTV</v>
      </c>
      <c r="E2121" s="159" t="str">
        <f>VLOOKUP(C2121,DMSP!$A$1:$C$39,3,0)</f>
        <v>TAMALA</v>
      </c>
      <c r="F2121" s="160">
        <f t="shared" si="222"/>
        <v>0</v>
      </c>
      <c r="G2121" s="176"/>
      <c r="H2121" s="176"/>
      <c r="I2121" s="176"/>
      <c r="J2121" s="176"/>
      <c r="K2121" s="176"/>
      <c r="L2121" s="176"/>
      <c r="M2121" s="176"/>
      <c r="N2121" s="176"/>
      <c r="O2121" s="176"/>
      <c r="P2121" s="176"/>
      <c r="Q2121" s="176"/>
      <c r="R2121" s="176"/>
      <c r="S2121" s="162">
        <f t="shared" si="221"/>
        <v>0</v>
      </c>
      <c r="T2121" s="167"/>
    </row>
    <row r="2122" customHeight="1" spans="2:20">
      <c r="B2122" s="166"/>
      <c r="C2122" s="164">
        <f t="shared" si="217"/>
        <v>27</v>
      </c>
      <c r="D2122" s="158" t="str">
        <f>VLOOKUP(C2122,DMSP!$A$1:$C$39,2,0)</f>
        <v>7.KHÁC</v>
      </c>
      <c r="E2122" s="159" t="str">
        <f>VLOOKUP(C2122,DMSP!$A$1:$C$39,3,0)</f>
        <v>KẼM VÀNG</v>
      </c>
      <c r="F2122" s="160">
        <f t="shared" si="222"/>
        <v>0</v>
      </c>
      <c r="G2122" s="176"/>
      <c r="H2122" s="176"/>
      <c r="I2122" s="176"/>
      <c r="J2122" s="176"/>
      <c r="K2122" s="176"/>
      <c r="L2122" s="176"/>
      <c r="M2122" s="176"/>
      <c r="N2122" s="176"/>
      <c r="O2122" s="176"/>
      <c r="P2122" s="176"/>
      <c r="Q2122" s="176"/>
      <c r="R2122" s="176"/>
      <c r="S2122" s="162">
        <f t="shared" si="221"/>
        <v>0</v>
      </c>
      <c r="T2122" s="167"/>
    </row>
    <row r="2123" customHeight="1" spans="2:20">
      <c r="B2123" s="166"/>
      <c r="C2123" s="164">
        <f t="shared" ref="C2123:C2132" si="223">C2122+1</f>
        <v>28</v>
      </c>
      <c r="D2123" s="158" t="str">
        <f>VLOOKUP(C2123,DMSP!$A$1:$C$39,2,0)</f>
        <v>7.KHÁC</v>
      </c>
      <c r="E2123" s="159" t="str">
        <f>VLOOKUP(C2123,DMSP!$A$1:$C$39,3,0)</f>
        <v>KHÁC1</v>
      </c>
      <c r="F2123" s="160">
        <f t="shared" si="222"/>
        <v>0</v>
      </c>
      <c r="G2123" s="176"/>
      <c r="H2123" s="176"/>
      <c r="I2123" s="176"/>
      <c r="J2123" s="176"/>
      <c r="K2123" s="176"/>
      <c r="L2123" s="176"/>
      <c r="M2123" s="176"/>
      <c r="N2123" s="176"/>
      <c r="O2123" s="176"/>
      <c r="P2123" s="176"/>
      <c r="Q2123" s="176"/>
      <c r="R2123" s="176"/>
      <c r="S2123" s="162">
        <f t="shared" si="221"/>
        <v>0</v>
      </c>
      <c r="T2123" s="167"/>
    </row>
    <row r="2124" customHeight="1" spans="2:20">
      <c r="B2124" s="166"/>
      <c r="C2124" s="164">
        <f t="shared" si="223"/>
        <v>29</v>
      </c>
      <c r="D2124" s="158" t="str">
        <f>VLOOKUP(C2124,DMSP!$A$1:$C$39,2,0)</f>
        <v>7.KHÁC</v>
      </c>
      <c r="E2124" s="169" t="s">
        <v>13</v>
      </c>
      <c r="F2124" s="160">
        <f t="shared" si="222"/>
        <v>0</v>
      </c>
      <c r="G2124" s="176"/>
      <c r="H2124" s="176"/>
      <c r="I2124" s="176"/>
      <c r="J2124" s="176"/>
      <c r="K2124" s="176"/>
      <c r="L2124" s="176"/>
      <c r="M2124" s="176"/>
      <c r="N2124" s="176"/>
      <c r="O2124" s="176"/>
      <c r="P2124" s="176"/>
      <c r="Q2124" s="176"/>
      <c r="R2124" s="176"/>
      <c r="S2124" s="162">
        <f t="shared" si="221"/>
        <v>0</v>
      </c>
      <c r="T2124" s="167"/>
    </row>
    <row r="2125" customHeight="1" spans="2:20">
      <c r="B2125" s="166"/>
      <c r="C2125" s="164">
        <f t="shared" si="223"/>
        <v>30</v>
      </c>
      <c r="D2125" s="158" t="str">
        <f>VLOOKUP(C2125,DMSP!$A$1:$C$39,2,0)</f>
        <v>7.KHÁC</v>
      </c>
      <c r="E2125" s="159" t="str">
        <f>VLOOKUP(C2125,DMSP!$A$1:$C$39,3,0)</f>
        <v>RỬA RONG RÊU</v>
      </c>
      <c r="F2125" s="160">
        <f t="shared" si="222"/>
        <v>0</v>
      </c>
      <c r="G2125" s="176"/>
      <c r="H2125" s="176"/>
      <c r="I2125" s="176"/>
      <c r="J2125" s="176"/>
      <c r="K2125" s="176"/>
      <c r="L2125" s="176"/>
      <c r="M2125" s="176"/>
      <c r="N2125" s="176"/>
      <c r="O2125" s="176"/>
      <c r="P2125" s="176"/>
      <c r="Q2125" s="176"/>
      <c r="R2125" s="176"/>
      <c r="S2125" s="162">
        <f t="shared" si="221"/>
        <v>0</v>
      </c>
      <c r="T2125" s="167"/>
    </row>
    <row r="2126" customHeight="1" spans="2:20">
      <c r="B2126" s="166"/>
      <c r="C2126" s="164">
        <f t="shared" si="223"/>
        <v>31</v>
      </c>
      <c r="D2126" s="158" t="str">
        <f>VLOOKUP(C2126,DMSP!$A$1:$C$39,2,0)</f>
        <v>7.KHÁC</v>
      </c>
      <c r="E2126" s="159" t="str">
        <f>VLOOKUP(C2126,DMSP!$A$1:$C$39,3,0)</f>
        <v>TB BO</v>
      </c>
      <c r="F2126" s="160">
        <f t="shared" si="222"/>
        <v>0</v>
      </c>
      <c r="G2126" s="176"/>
      <c r="H2126" s="176"/>
      <c r="I2126" s="176"/>
      <c r="J2126" s="176"/>
      <c r="K2126" s="176"/>
      <c r="L2126" s="176"/>
      <c r="M2126" s="176"/>
      <c r="N2126" s="176"/>
      <c r="O2126" s="176"/>
      <c r="P2126" s="176"/>
      <c r="Q2126" s="176"/>
      <c r="R2126" s="176"/>
      <c r="S2126" s="162">
        <f t="shared" si="221"/>
        <v>0</v>
      </c>
      <c r="T2126" s="167"/>
    </row>
    <row r="2127" customHeight="1" spans="2:20">
      <c r="B2127" s="166"/>
      <c r="C2127" s="164">
        <f t="shared" si="223"/>
        <v>32</v>
      </c>
      <c r="D2127" s="158" t="str">
        <f>VLOOKUP(C2127,DMSP!$A$1:$C$39,2,0)</f>
        <v>7.KHÁC</v>
      </c>
      <c r="E2127" s="159" t="str">
        <f>VLOOKUP(C2127,DMSP!$A$1:$C$39,3,0)</f>
        <v>TB FRUIT</v>
      </c>
      <c r="F2127" s="160">
        <f t="shared" si="222"/>
        <v>0</v>
      </c>
      <c r="G2127" s="176"/>
      <c r="H2127" s="176"/>
      <c r="I2127" s="176"/>
      <c r="J2127" s="176"/>
      <c r="K2127" s="176"/>
      <c r="L2127" s="176"/>
      <c r="M2127" s="176"/>
      <c r="N2127" s="176"/>
      <c r="O2127" s="176"/>
      <c r="P2127" s="176"/>
      <c r="Q2127" s="176"/>
      <c r="R2127" s="176"/>
      <c r="S2127" s="162">
        <f t="shared" si="221"/>
        <v>0</v>
      </c>
      <c r="T2127" s="167"/>
    </row>
    <row r="2128" customHeight="1" spans="2:20">
      <c r="B2128" s="166"/>
      <c r="C2128" s="164">
        <f t="shared" si="223"/>
        <v>33</v>
      </c>
      <c r="D2128" s="158" t="str">
        <f>VLOOKUP(C2128,DMSP!$A$1:$C$39,2,0)</f>
        <v>7.KHÁC</v>
      </c>
      <c r="E2128" s="159" t="str">
        <f>VLOOKUP(C2128,DMSP!$A$1:$C$39,3,0)</f>
        <v>TB PHOS</v>
      </c>
      <c r="F2128" s="160">
        <f t="shared" si="222"/>
        <v>0</v>
      </c>
      <c r="G2128" s="176"/>
      <c r="H2128" s="176"/>
      <c r="I2128" s="176"/>
      <c r="J2128" s="176"/>
      <c r="K2128" s="176"/>
      <c r="L2128" s="176"/>
      <c r="M2128" s="176"/>
      <c r="N2128" s="176"/>
      <c r="O2128" s="176"/>
      <c r="P2128" s="176"/>
      <c r="Q2128" s="176"/>
      <c r="R2128" s="176"/>
      <c r="S2128" s="162">
        <f t="shared" si="221"/>
        <v>0</v>
      </c>
      <c r="T2128" s="167"/>
    </row>
    <row r="2129" customHeight="1" spans="2:20">
      <c r="B2129" s="166"/>
      <c r="C2129" s="164">
        <f t="shared" si="223"/>
        <v>34</v>
      </c>
      <c r="D2129" s="158" t="str">
        <f>VLOOKUP(C2129,DMSP!$A$1:$C$39,2,0)</f>
        <v>7.KHÁC</v>
      </c>
      <c r="E2129" s="159" t="str">
        <f>VLOOKUP(C2129,DMSP!$A$1:$C$39,3,0)</f>
        <v>TOBA BÁM DÍNH</v>
      </c>
      <c r="F2129" s="160">
        <f t="shared" si="222"/>
        <v>0</v>
      </c>
      <c r="G2129" s="176"/>
      <c r="H2129" s="176"/>
      <c r="I2129" s="176"/>
      <c r="J2129" s="176"/>
      <c r="K2129" s="176"/>
      <c r="L2129" s="176"/>
      <c r="M2129" s="176"/>
      <c r="N2129" s="176"/>
      <c r="O2129" s="176"/>
      <c r="P2129" s="176"/>
      <c r="Q2129" s="176"/>
      <c r="R2129" s="176"/>
      <c r="S2129" s="162">
        <f t="shared" si="221"/>
        <v>0</v>
      </c>
      <c r="T2129" s="167"/>
    </row>
    <row r="2130" customHeight="1" spans="2:20">
      <c r="B2130" s="166"/>
      <c r="C2130" s="164">
        <f t="shared" si="223"/>
        <v>35</v>
      </c>
      <c r="D2130" s="158" t="str">
        <f>VLOOKUP(C2130,DMSP!$A$1:$C$39,2,0)</f>
        <v>7.KHÁC</v>
      </c>
      <c r="E2130" s="159" t="str">
        <f>VLOOKUP(C2130,DMSP!$A$1:$C$39,3,0)</f>
        <v>VỌT HOA NHÃN</v>
      </c>
      <c r="F2130" s="160">
        <f t="shared" si="222"/>
        <v>0</v>
      </c>
      <c r="G2130" s="176"/>
      <c r="H2130" s="176"/>
      <c r="I2130" s="176"/>
      <c r="J2130" s="176"/>
      <c r="K2130" s="176"/>
      <c r="L2130" s="176"/>
      <c r="M2130" s="176"/>
      <c r="N2130" s="176"/>
      <c r="O2130" s="176"/>
      <c r="P2130" s="176"/>
      <c r="Q2130" s="176"/>
      <c r="R2130" s="176"/>
      <c r="S2130" s="162">
        <f t="shared" si="221"/>
        <v>0</v>
      </c>
      <c r="T2130" s="167"/>
    </row>
    <row r="2131" customHeight="1" spans="2:20">
      <c r="B2131" s="166"/>
      <c r="C2131" s="164">
        <f t="shared" si="223"/>
        <v>36</v>
      </c>
      <c r="D2131" s="158" t="str">
        <f>VLOOKUP(C2131,DMSP!$A$1:$C$39,2,0)</f>
        <v>7.KHÁC</v>
      </c>
      <c r="E2131" s="159" t="str">
        <f>VLOOKUP(C2131,DMSP!$A$1:$C$39,3,0)</f>
        <v>VỌT HOA XOÀI</v>
      </c>
      <c r="F2131" s="160">
        <f t="shared" si="222"/>
        <v>0</v>
      </c>
      <c r="G2131" s="176"/>
      <c r="H2131" s="176"/>
      <c r="I2131" s="176"/>
      <c r="J2131" s="176"/>
      <c r="K2131" s="176"/>
      <c r="L2131" s="176"/>
      <c r="M2131" s="176"/>
      <c r="N2131" s="176"/>
      <c r="O2131" s="176"/>
      <c r="P2131" s="176"/>
      <c r="Q2131" s="176"/>
      <c r="R2131" s="176"/>
      <c r="S2131" s="162">
        <f t="shared" si="221"/>
        <v>0</v>
      </c>
      <c r="T2131" s="167"/>
    </row>
    <row r="2132" customHeight="1" spans="2:20">
      <c r="B2132" s="166"/>
      <c r="C2132" s="164">
        <f t="shared" si="223"/>
        <v>37</v>
      </c>
      <c r="D2132" s="158" t="str">
        <f>VLOOKUP(C2132,DMSP!$A$1:$C$39,2,0)</f>
        <v>7.KHÁC</v>
      </c>
      <c r="E2132" s="159" t="str">
        <f>VLOOKUP(C2132,DMSP!$A$1:$C$39,3,0)</f>
        <v>VỌT HOA XOÀI</v>
      </c>
      <c r="F2132" s="160">
        <f t="shared" si="222"/>
        <v>0</v>
      </c>
      <c r="G2132" s="176"/>
      <c r="H2132" s="176"/>
      <c r="I2132" s="176"/>
      <c r="J2132" s="176"/>
      <c r="K2132" s="176"/>
      <c r="L2132" s="176"/>
      <c r="M2132" s="176"/>
      <c r="N2132" s="176"/>
      <c r="O2132" s="176"/>
      <c r="P2132" s="176"/>
      <c r="Q2132" s="176"/>
      <c r="R2132" s="176"/>
      <c r="S2132" s="162">
        <f t="shared" si="221"/>
        <v>0</v>
      </c>
      <c r="T2132" s="167"/>
    </row>
    <row r="2133" customHeight="1" spans="2:20">
      <c r="B2133" s="92"/>
      <c r="C2133" s="170">
        <f t="shared" ref="C2133" si="224">B2096</f>
        <v>0</v>
      </c>
      <c r="D2133" s="171"/>
      <c r="E2133" s="172" t="str">
        <f>"TOTAL "&amp;B2096</f>
        <v>TOTAL </v>
      </c>
      <c r="F2133" s="173">
        <f t="shared" si="222"/>
        <v>0</v>
      </c>
      <c r="G2133" s="174">
        <f>SUM(G2096:G2132)</f>
        <v>0</v>
      </c>
      <c r="H2133" s="174">
        <f t="shared" ref="H2133:R2133" si="225">SUM(H2096:H2132)</f>
        <v>0</v>
      </c>
      <c r="I2133" s="174">
        <f t="shared" si="225"/>
        <v>0</v>
      </c>
      <c r="J2133" s="174">
        <f t="shared" si="225"/>
        <v>0</v>
      </c>
      <c r="K2133" s="174">
        <f t="shared" si="225"/>
        <v>0</v>
      </c>
      <c r="L2133" s="174">
        <f t="shared" si="225"/>
        <v>0</v>
      </c>
      <c r="M2133" s="174">
        <f t="shared" si="225"/>
        <v>0</v>
      </c>
      <c r="N2133" s="174">
        <f t="shared" si="225"/>
        <v>0</v>
      </c>
      <c r="O2133" s="174">
        <f t="shared" si="225"/>
        <v>0</v>
      </c>
      <c r="P2133" s="174">
        <f t="shared" si="225"/>
        <v>0</v>
      </c>
      <c r="Q2133" s="174">
        <f t="shared" si="225"/>
        <v>0</v>
      </c>
      <c r="R2133" s="174">
        <f t="shared" si="225"/>
        <v>0</v>
      </c>
      <c r="S2133" s="174">
        <f t="shared" si="221"/>
        <v>0</v>
      </c>
      <c r="T2133" s="175"/>
    </row>
  </sheetData>
  <sheetProtection algorithmName="SHA-512" hashValue="VTuZz6n69AtVRSRpipn2E9QafKRFvfqcTw/ozLyS7zMS8+SgYo2QGnfTDm+XAYK4pKj8DQMUmBFf8IPviGCLXw==" saltValue="f98G4w/m7BvmSDMocAjGwA==" spinCount="100000" sheet="1" objects="1" scenarios="1"/>
  <autoFilter xmlns:etc="http://www.wps.cn/officeDocument/2017/etCustomData" ref="A5:T2133" etc:filterBottomFollowUsedRange="0">
    <extLst/>
  </autoFilter>
  <mergeCells count="116">
    <mergeCell ref="A1:T1"/>
    <mergeCell ref="A3:E3"/>
    <mergeCell ref="G3:R3"/>
    <mergeCell ref="A4:E4"/>
    <mergeCell ref="B6:B43"/>
    <mergeCell ref="B44:B81"/>
    <mergeCell ref="B82:B119"/>
    <mergeCell ref="B120:B157"/>
    <mergeCell ref="B158:B195"/>
    <mergeCell ref="B196:B233"/>
    <mergeCell ref="B234:B271"/>
    <mergeCell ref="B272:B309"/>
    <mergeCell ref="B310:B347"/>
    <mergeCell ref="B348:B385"/>
    <mergeCell ref="B386:B423"/>
    <mergeCell ref="B424:B461"/>
    <mergeCell ref="B462:B499"/>
    <mergeCell ref="B500:B537"/>
    <mergeCell ref="B538:B575"/>
    <mergeCell ref="B576:B613"/>
    <mergeCell ref="B614:B651"/>
    <mergeCell ref="B652:B689"/>
    <mergeCell ref="B690:B727"/>
    <mergeCell ref="B728:B765"/>
    <mergeCell ref="B766:B803"/>
    <mergeCell ref="B804:B841"/>
    <mergeCell ref="B842:B879"/>
    <mergeCell ref="B880:B917"/>
    <mergeCell ref="B918:B955"/>
    <mergeCell ref="B956:B993"/>
    <mergeCell ref="B994:B1031"/>
    <mergeCell ref="B1032:B1069"/>
    <mergeCell ref="B1070:B1107"/>
    <mergeCell ref="B1108:B1145"/>
    <mergeCell ref="B1146:B1183"/>
    <mergeCell ref="B1184:B1221"/>
    <mergeCell ref="B1222:B1259"/>
    <mergeCell ref="B1260:B1297"/>
    <mergeCell ref="B1298:B1335"/>
    <mergeCell ref="B1336:B1373"/>
    <mergeCell ref="B1374:B1411"/>
    <mergeCell ref="B1412:B1449"/>
    <mergeCell ref="B1450:B1487"/>
    <mergeCell ref="B1488:B1525"/>
    <mergeCell ref="B1526:B1563"/>
    <mergeCell ref="B1564:B1601"/>
    <mergeCell ref="B1602:B1639"/>
    <mergeCell ref="B1640:B1677"/>
    <mergeCell ref="B1678:B1715"/>
    <mergeCell ref="B1716:B1753"/>
    <mergeCell ref="B1754:B1791"/>
    <mergeCell ref="B1792:B1829"/>
    <mergeCell ref="B1830:B1867"/>
    <mergeCell ref="B1868:B1905"/>
    <mergeCell ref="B1906:B1943"/>
    <mergeCell ref="B1944:B1981"/>
    <mergeCell ref="B1982:B2019"/>
    <mergeCell ref="B2020:B2057"/>
    <mergeCell ref="B2058:B2095"/>
    <mergeCell ref="B2096:B2133"/>
    <mergeCell ref="T6:T43"/>
    <mergeCell ref="T44:T81"/>
    <mergeCell ref="T82:T119"/>
    <mergeCell ref="T120:T157"/>
    <mergeCell ref="T158:T195"/>
    <mergeCell ref="T196:T233"/>
    <mergeCell ref="T234:T271"/>
    <mergeCell ref="T272:T309"/>
    <mergeCell ref="T310:T347"/>
    <mergeCell ref="T348:T385"/>
    <mergeCell ref="T386:T423"/>
    <mergeCell ref="T424:T461"/>
    <mergeCell ref="T462:T499"/>
    <mergeCell ref="T500:T537"/>
    <mergeCell ref="T538:T575"/>
    <mergeCell ref="T576:T613"/>
    <mergeCell ref="T614:T651"/>
    <mergeCell ref="T652:T689"/>
    <mergeCell ref="T690:T727"/>
    <mergeCell ref="T728:T765"/>
    <mergeCell ref="T766:T803"/>
    <mergeCell ref="T804:T841"/>
    <mergeCell ref="T842:T879"/>
    <mergeCell ref="T880:T917"/>
    <mergeCell ref="T918:T955"/>
    <mergeCell ref="T956:T993"/>
    <mergeCell ref="T994:T1031"/>
    <mergeCell ref="T1032:T1069"/>
    <mergeCell ref="T1070:T1107"/>
    <mergeCell ref="T1108:T1145"/>
    <mergeCell ref="T1146:T1183"/>
    <mergeCell ref="T1184:T1221"/>
    <mergeCell ref="T1222:T1259"/>
    <mergeCell ref="T1260:T1297"/>
    <mergeCell ref="T1298:T1335"/>
    <mergeCell ref="T1336:T1373"/>
    <mergeCell ref="T1374:T1411"/>
    <mergeCell ref="T1412:T1449"/>
    <mergeCell ref="T1450:T1487"/>
    <mergeCell ref="T1488:T1525"/>
    <mergeCell ref="T1526:T1563"/>
    <mergeCell ref="T1564:T1601"/>
    <mergeCell ref="T1602:T1639"/>
    <mergeCell ref="T1640:T1677"/>
    <mergeCell ref="T1678:T1715"/>
    <mergeCell ref="T1716:T1753"/>
    <mergeCell ref="T1754:T1791"/>
    <mergeCell ref="T1792:T1829"/>
    <mergeCell ref="T1830:T1867"/>
    <mergeCell ref="T1868:T1905"/>
    <mergeCell ref="T1906:T1943"/>
    <mergeCell ref="T1944:T1981"/>
    <mergeCell ref="T1982:T2019"/>
    <mergeCell ref="T2020:T2057"/>
    <mergeCell ref="T2058:T2095"/>
    <mergeCell ref="T2096:T2133"/>
  </mergeCells>
  <pageMargins left="0.45" right="0" top="0.25" bottom="0" header="0" footer="0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4"/>
  <sheetViews>
    <sheetView zoomScale="85" zoomScaleNormal="85" workbookViewId="0">
      <pane xSplit="4" ySplit="2" topLeftCell="E6" activePane="bottomRight" state="frozen"/>
      <selection/>
      <selection pane="topRight"/>
      <selection pane="bottomLeft"/>
      <selection pane="bottomRight" activeCell="F3" sqref="F3:K40"/>
    </sheetView>
  </sheetViews>
  <sheetFormatPr defaultColWidth="8.7" defaultRowHeight="15.6"/>
  <cols>
    <col min="1" max="2" width="8.7" style="103"/>
    <col min="3" max="3" width="11.7" style="103" customWidth="1"/>
    <col min="4" max="4" width="17.7" style="104" customWidth="1"/>
    <col min="5" max="5" width="11" style="103" customWidth="1"/>
    <col min="6" max="17" width="8.5" style="103" customWidth="1"/>
    <col min="18" max="18" width="10.6" style="103" customWidth="1"/>
    <col min="19" max="19" width="17.7" style="103" customWidth="1"/>
    <col min="20" max="22" width="8.7" style="103" hidden="1" customWidth="1"/>
    <col min="23" max="34" width="4.7" style="103" hidden="1" customWidth="1"/>
    <col min="35" max="35" width="3.2" style="103" hidden="1" customWidth="1"/>
    <col min="36" max="36" width="7.1" style="103" hidden="1" customWidth="1"/>
    <col min="37" max="37" width="8.2" style="103" hidden="1" customWidth="1"/>
    <col min="38" max="38" width="6.2" style="103" hidden="1" customWidth="1"/>
    <col min="39" max="40" width="7.5" style="103" hidden="1" customWidth="1"/>
    <col min="41" max="41" width="8.7" style="103" hidden="1" customWidth="1"/>
    <col min="42" max="42" width="9.7" style="103" hidden="1" customWidth="1"/>
    <col min="43" max="43" width="13.7" style="103" hidden="1" customWidth="1"/>
    <col min="44" max="44" width="12" style="103" hidden="1" customWidth="1"/>
    <col min="45" max="45" width="8" style="103" hidden="1" customWidth="1"/>
    <col min="46" max="46" width="7.7" style="103" hidden="1" customWidth="1"/>
    <col min="47" max="50" width="8.7" style="103" hidden="1" customWidth="1"/>
    <col min="51" max="51" width="8.5" style="103" hidden="1" customWidth="1"/>
    <col min="52" max="53" width="8.7" style="103" hidden="1" customWidth="1"/>
    <col min="54" max="54" width="10.2" style="103" hidden="1" customWidth="1"/>
    <col min="55" max="69" width="8.7" style="103" hidden="1" customWidth="1"/>
    <col min="70" max="16384" width="8.7" style="103"/>
  </cols>
  <sheetData>
    <row r="1" ht="32.25" customHeight="1" spans="1:70">
      <c r="A1" s="105">
        <f>R40</f>
        <v>90431</v>
      </c>
      <c r="B1" s="105"/>
      <c r="C1" s="105"/>
      <c r="D1" s="105"/>
      <c r="E1" s="106" t="s">
        <v>33</v>
      </c>
      <c r="F1" s="107" t="s">
        <v>34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/>
      <c r="U1"/>
      <c r="V1"/>
      <c r="W1">
        <v>1</v>
      </c>
      <c r="X1">
        <v>2</v>
      </c>
      <c r="Y1">
        <f>X1+1</f>
        <v>3</v>
      </c>
      <c r="Z1">
        <f t="shared" ref="Z1:AH1" si="0">Y1+1</f>
        <v>4</v>
      </c>
      <c r="AA1">
        <f t="shared" si="0"/>
        <v>5</v>
      </c>
      <c r="AB1">
        <f t="shared" si="0"/>
        <v>6</v>
      </c>
      <c r="AC1">
        <f t="shared" si="0"/>
        <v>7</v>
      </c>
      <c r="AD1">
        <f t="shared" si="0"/>
        <v>8</v>
      </c>
      <c r="AE1">
        <f t="shared" si="0"/>
        <v>9</v>
      </c>
      <c r="AF1">
        <f t="shared" si="0"/>
        <v>10</v>
      </c>
      <c r="AG1">
        <f t="shared" si="0"/>
        <v>11</v>
      </c>
      <c r="AH1">
        <f t="shared" si="0"/>
        <v>12</v>
      </c>
      <c r="AI1"/>
      <c r="AJ1"/>
      <c r="AK1"/>
      <c r="AL1"/>
      <c r="AM1"/>
      <c r="AN1"/>
      <c r="AO1"/>
      <c r="AP1"/>
      <c r="AQ1"/>
      <c r="AR1"/>
      <c r="AS1"/>
      <c r="AT1"/>
      <c r="AU1"/>
      <c r="AV1"/>
    </row>
    <row r="2" ht="17.4" spans="1:70">
      <c r="A2" s="108" t="s">
        <v>4</v>
      </c>
      <c r="B2" s="109" t="s">
        <v>5</v>
      </c>
      <c r="C2" s="110" t="s">
        <v>35</v>
      </c>
      <c r="D2" s="111" t="s">
        <v>7</v>
      </c>
      <c r="E2" s="112" t="s">
        <v>36</v>
      </c>
      <c r="F2" s="113">
        <v>1</v>
      </c>
      <c r="G2" s="113">
        <v>2</v>
      </c>
      <c r="H2" s="113">
        <v>3</v>
      </c>
      <c r="I2" s="113">
        <v>4</v>
      </c>
      <c r="J2" s="113">
        <v>5</v>
      </c>
      <c r="K2" s="113">
        <v>6</v>
      </c>
      <c r="L2" s="113">
        <v>7</v>
      </c>
      <c r="M2" s="113">
        <v>8</v>
      </c>
      <c r="N2" s="113">
        <v>9</v>
      </c>
      <c r="O2" s="113">
        <v>10</v>
      </c>
      <c r="P2" s="113">
        <v>11</v>
      </c>
      <c r="Q2" s="113">
        <v>12</v>
      </c>
      <c r="R2" s="113" t="s">
        <v>9</v>
      </c>
      <c r="S2" s="113"/>
      <c r="T2" t="s">
        <v>37</v>
      </c>
      <c r="U2" t="s">
        <v>38</v>
      </c>
      <c r="V2" t="s">
        <v>39</v>
      </c>
      <c r="W2"/>
      <c r="X2"/>
      <c r="Y2"/>
      <c r="Z2"/>
      <c r="AA2"/>
      <c r="AB2"/>
      <c r="AC2"/>
      <c r="AD2"/>
      <c r="AE2"/>
      <c r="AF2"/>
      <c r="AG2"/>
      <c r="AH2"/>
      <c r="AI2" s="114">
        <v>1</v>
      </c>
      <c r="AJ2" s="114">
        <f>AI2+1</f>
        <v>2</v>
      </c>
      <c r="AK2" s="114">
        <f t="shared" ref="AK2:AT2" si="1">AJ2+1</f>
        <v>3</v>
      </c>
      <c r="AL2" s="114">
        <f t="shared" si="1"/>
        <v>4</v>
      </c>
      <c r="AM2" s="114">
        <f t="shared" si="1"/>
        <v>5</v>
      </c>
      <c r="AN2" s="114">
        <f t="shared" si="1"/>
        <v>6</v>
      </c>
      <c r="AO2" s="114">
        <f t="shared" si="1"/>
        <v>7</v>
      </c>
      <c r="AP2" s="114">
        <f t="shared" si="1"/>
        <v>8</v>
      </c>
      <c r="AQ2" s="114">
        <f t="shared" si="1"/>
        <v>9</v>
      </c>
      <c r="AR2" s="114">
        <f t="shared" si="1"/>
        <v>10</v>
      </c>
      <c r="AS2" s="114">
        <f t="shared" si="1"/>
        <v>11</v>
      </c>
      <c r="AT2" s="114">
        <f t="shared" si="1"/>
        <v>12</v>
      </c>
      <c r="AU2"/>
      <c r="AV2" s="115"/>
      <c r="AY2" s="116">
        <v>1</v>
      </c>
      <c r="AZ2" s="116">
        <f>AY2+1</f>
        <v>2</v>
      </c>
      <c r="BA2" s="116">
        <f t="shared" ref="BA2:BJ2" si="2">AZ2+1</f>
        <v>3</v>
      </c>
      <c r="BB2" s="116">
        <f t="shared" si="2"/>
        <v>4</v>
      </c>
      <c r="BC2" s="116">
        <f t="shared" si="2"/>
        <v>5</v>
      </c>
      <c r="BD2" s="116">
        <f t="shared" si="2"/>
        <v>6</v>
      </c>
      <c r="BE2" s="116">
        <f t="shared" si="2"/>
        <v>7</v>
      </c>
      <c r="BF2" s="116">
        <f t="shared" si="2"/>
        <v>8</v>
      </c>
      <c r="BG2" s="116">
        <f t="shared" si="2"/>
        <v>9</v>
      </c>
      <c r="BH2" s="116">
        <f t="shared" si="2"/>
        <v>10</v>
      </c>
      <c r="BI2" s="116">
        <f t="shared" si="2"/>
        <v>11</v>
      </c>
      <c r="BJ2" s="116">
        <f t="shared" si="2"/>
        <v>12</v>
      </c>
    </row>
    <row r="3" ht="15.75" customHeight="1" spans="1:70">
      <c r="A3" s="117" t="s">
        <v>40</v>
      </c>
      <c r="B3" s="118">
        <v>1</v>
      </c>
      <c r="C3" s="119" t="str">
        <f>VLOOKUP(B3,DMSP!$A$1:$C$39,2,0)</f>
        <v>1.TOBA XANH</v>
      </c>
      <c r="D3" s="120" t="str">
        <f>VLOOKUP(B3,DMSP!$A$1:$C$39,3,0)</f>
        <v>TOBA XANH</v>
      </c>
      <c r="E3" s="121">
        <f>R3</f>
        <v>7</v>
      </c>
      <c r="F3" s="122">
        <f>DSUM('KHACH HANG'!$E$5:$R$2133,"1",'KHACH HANG'!$Y$5:$Y$6)</f>
        <v>0</v>
      </c>
      <c r="G3" s="122">
        <f>DSUM('KHACH HANG'!$E$5:$R$2133,"2",'KHACH HANG'!$Y$5:$Y$6)</f>
        <v>7</v>
      </c>
      <c r="H3" s="122">
        <f>DSUM('KHACH HANG'!$E$5:$R$2133,"3",'KHACH HANG'!$Y$5:$Y$6)</f>
        <v>0</v>
      </c>
      <c r="I3" s="122">
        <f>DSUM('KHACH HANG'!$E$5:$R$2133,"4",'KHACH HANG'!$Y$5:$Y$6)</f>
        <v>0</v>
      </c>
      <c r="J3" s="122">
        <f>DSUM('KHACH HANG'!$E$5:$R$2133,"5",'KHACH HANG'!$Y$5:$Y$6)</f>
        <v>0</v>
      </c>
      <c r="K3" s="122">
        <f>DSUM('KHACH HANG'!$E$5:$R$2133,"6",'KHACH HANG'!$Y$5:$Y$6)</f>
        <v>0</v>
      </c>
      <c r="L3" s="122">
        <f>DSUM('KHACH HANG'!$E$5:$R$2133,"7",'KHACH HANG'!$Y$5:$Y$6)</f>
        <v>0</v>
      </c>
      <c r="M3" s="122">
        <f>DSUM('KHACH HANG'!$E$5:$R$2133,"8",'KHACH HANG'!$Y$5:$Y$6)</f>
        <v>0</v>
      </c>
      <c r="N3" s="122">
        <f>DSUM('KHACH HANG'!$E$5:$R$2133,"9",'KHACH HANG'!$Y$5:$Y$6)</f>
        <v>0</v>
      </c>
      <c r="O3" s="122">
        <f>DSUM('KHACH HANG'!$E$5:$R$2133,"10",'KHACH HANG'!$Y$5:$Y$6)</f>
        <v>0</v>
      </c>
      <c r="P3" s="122">
        <f>DSUM('KHACH HANG'!$E$5:$R$2133,"11",'KHACH HANG'!$Y$5:$Y$6)</f>
        <v>0</v>
      </c>
      <c r="Q3" s="122">
        <f>DSUM('KHACH HANG'!$E$5:$R$2133,"12",'KHACH HANG'!$Y$5:$Y$6)</f>
        <v>0</v>
      </c>
      <c r="R3" s="123">
        <f t="shared" ref="R3:R39" si="3">SUM(F3:Q3)</f>
        <v>7</v>
      </c>
      <c r="S3" s="6"/>
      <c r="T3" t="s">
        <v>41</v>
      </c>
      <c r="U3">
        <v>5</v>
      </c>
      <c r="V3">
        <v>6</v>
      </c>
      <c r="W3" t="s">
        <v>42</v>
      </c>
      <c r="X3" t="str">
        <f>"DSUM('NHAN VIEN'!$E$5:$Q$2133,"&amp;""""&amp;$X$1&amp;""""</f>
        <v>DSUM('NHAN VIEN'!$E$5:$Q$2133,"2"</v>
      </c>
      <c r="Y3" t="str">
        <f>"DSUM('NHAN VIEN'!$E$5:$Q$2133,"&amp;""""&amp;$Y$1&amp;""""</f>
        <v>DSUM('NHAN VIEN'!$E$5:$Q$2133,"3"</v>
      </c>
      <c r="Z3" t="str">
        <f>"DSUM('NHAN VIEN'!$E$5:$Q$2133,"&amp;""""&amp;$Z$1&amp;""""</f>
        <v>DSUM('NHAN VIEN'!$E$5:$Q$2133,"4"</v>
      </c>
      <c r="AA3" t="str">
        <f>"DSUM('NHAN VIEN'!$E$5:$Q$2133,"&amp;""""&amp;$AA$1&amp;""""</f>
        <v>DSUM('NHAN VIEN'!$E$5:$Q$2133,"5"</v>
      </c>
      <c r="AB3" t="str">
        <f>"DSUM('NHAN VIEN'!$E$5:$Q$2133,"&amp;""""&amp;$AB$1&amp;""""</f>
        <v>DSUM('NHAN VIEN'!$E$5:$Q$2133,"6"</v>
      </c>
      <c r="AC3" t="str">
        <f>"DSUM('NHAN VIEN'!$E$5:$Q$2133,"&amp;""""&amp;$AC$1&amp;""""</f>
        <v>DSUM('NHAN VIEN'!$E$5:$Q$2133,"7"</v>
      </c>
      <c r="AD3" t="str">
        <f>"DSUM('NHAN VIEN'!$E$5:$Q$2133,"&amp;""""&amp;$AD$1&amp;""""</f>
        <v>DSUM('NHAN VIEN'!$E$5:$Q$2133,"8"</v>
      </c>
      <c r="AE3" t="str">
        <f>"DSUM('NHAN VIEN'!$E$5:$Q$2133,"&amp;""""&amp;$AE$1&amp;""""</f>
        <v>DSUM('NHAN VIEN'!$E$5:$Q$2133,"9"</v>
      </c>
      <c r="AF3" t="str">
        <f>"DSUM('NHAN VIEN'!$E$5:$Q$2133,"&amp;""""&amp;$AF$1&amp;""""</f>
        <v>DSUM('NHAN VIEN'!$E$5:$Q$2133,"10"</v>
      </c>
      <c r="AG3" t="str">
        <f>"DSUM('NHAN VIEN'!$E$5:$Q$2133,"&amp;""""&amp;$AG$1&amp;""""</f>
        <v>DSUM('NHAN VIEN'!$E$5:$Q$2133,"11"</v>
      </c>
      <c r="AH3" t="str">
        <f>"DSUM('NHAN VIEN'!$E$5:$Q$2133,"&amp;""""&amp;$AH$1&amp;""""</f>
        <v>DSUM('NHAN VIEN'!$E$5:$Q$2133,"12"</v>
      </c>
      <c r="AI3" t="str">
        <f>W3&amp;","&amp;AV3&amp;")"</f>
        <v>DSUM('NHAN VIEN'!$E$5:$Q$2133,"1",'NHAN VIEN'!$X$5:$X$6)</v>
      </c>
      <c r="AJ3" t="str">
        <f>X3&amp;","&amp;AV3&amp;")"</f>
        <v>DSUM('NHAN VIEN'!$E$5:$Q$2133,"2",'NHAN VIEN'!$X$5:$X$6)</v>
      </c>
      <c r="AK3" t="str">
        <f>Y3&amp;","&amp;AV3&amp;")"</f>
        <v>DSUM('NHAN VIEN'!$E$5:$Q$2133,"3",'NHAN VIEN'!$X$5:$X$6)</v>
      </c>
      <c r="AL3" t="str">
        <f>Z3&amp;","&amp;AV3&amp;")"</f>
        <v>DSUM('NHAN VIEN'!$E$5:$Q$2133,"4",'NHAN VIEN'!$X$5:$X$6)</v>
      </c>
      <c r="AM3" t="str">
        <f>AA3&amp;","&amp;AV3&amp;")"</f>
        <v>DSUM('NHAN VIEN'!$E$5:$Q$2133,"5",'NHAN VIEN'!$X$5:$X$6)</v>
      </c>
      <c r="AN3" t="str">
        <f>AB3&amp;","&amp;AV3&amp;")"</f>
        <v>DSUM('NHAN VIEN'!$E$5:$Q$2133,"6",'NHAN VIEN'!$X$5:$X$6)</v>
      </c>
      <c r="AO3" t="str">
        <f>AC3&amp;","&amp;AV3&amp;")"</f>
        <v>DSUM('NHAN VIEN'!$E$5:$Q$2133,"7",'NHAN VIEN'!$X$5:$X$6)</v>
      </c>
      <c r="AP3" t="str">
        <f>AD3&amp;","&amp;AV3&amp;")"</f>
        <v>DSUM('NHAN VIEN'!$E$5:$Q$2133,"8",'NHAN VIEN'!$X$5:$X$6)</v>
      </c>
      <c r="AQ3" t="str">
        <f>AE3&amp;","&amp;AV3&amp;")"</f>
        <v>DSUM('NHAN VIEN'!$E$5:$Q$2133,"9",'NHAN VIEN'!$X$5:$X$6)</v>
      </c>
      <c r="AR3" t="str">
        <f>AF3&amp;","&amp;AV3&amp;")"</f>
        <v>DSUM('NHAN VIEN'!$E$5:$Q$2133,"10",'NHAN VIEN'!$X$5:$X$6)</v>
      </c>
      <c r="AS3" t="str">
        <f>AG3&amp;","&amp;AV3&amp;")"</f>
        <v>DSUM('NHAN VIEN'!$E$5:$Q$2133,"11",'NHAN VIEN'!$X$5:$X$6)</v>
      </c>
      <c r="AT3" t="str">
        <f>AH3&amp;","&amp;AV3&amp;")"</f>
        <v>DSUM('NHAN VIEN'!$E$5:$Q$2133,"12",'NHAN VIEN'!$X$5:$X$6)</v>
      </c>
      <c r="AU3" t="str">
        <f t="shared" ref="AU3" si="4">AI3&amp;","&amp;$AV$3&amp;")"</f>
        <v>DSUM('NHAN VIEN'!$E$5:$Q$2133,"1",'NHAN VIEN'!$X$5:$X$6),'NHAN VIEN'!$X$5:$X$6)</v>
      </c>
      <c r="AV3" t="str">
        <f>"'NHAN VIEN'!$"&amp;T3&amp;"$"&amp;U3&amp;":$"&amp;T3&amp;"$"&amp;V3</f>
        <v>'NHAN VIEN'!$X$5:$X$6</v>
      </c>
      <c r="AY3" s="103" t="str">
        <f>"="&amp;AI3</f>
        <v>=DSUM('NHAN VIEN'!$E$5:$Q$2133,"1",'NHAN VIEN'!$X$5:$X$6)</v>
      </c>
      <c r="AZ3" s="103" t="str">
        <f t="shared" ref="AZ3:BJ18" si="5">"="&amp;AJ3</f>
        <v>=DSUM('NHAN VIEN'!$E$5:$Q$2133,"2",'NHAN VIEN'!$X$5:$X$6)</v>
      </c>
      <c r="BA3" s="103" t="str">
        <f t="shared" si="5"/>
        <v>=DSUM('NHAN VIEN'!$E$5:$Q$2133,"3",'NHAN VIEN'!$X$5:$X$6)</v>
      </c>
      <c r="BB3" s="103" t="str">
        <f t="shared" si="5"/>
        <v>=DSUM('NHAN VIEN'!$E$5:$Q$2133,"4",'NHAN VIEN'!$X$5:$X$6)</v>
      </c>
      <c r="BC3" s="103" t="str">
        <f t="shared" si="5"/>
        <v>=DSUM('NHAN VIEN'!$E$5:$Q$2133,"5",'NHAN VIEN'!$X$5:$X$6)</v>
      </c>
      <c r="BD3" s="103" t="str">
        <f t="shared" si="5"/>
        <v>=DSUM('NHAN VIEN'!$E$5:$Q$2133,"6",'NHAN VIEN'!$X$5:$X$6)</v>
      </c>
      <c r="BE3" s="103" t="str">
        <f t="shared" si="5"/>
        <v>=DSUM('NHAN VIEN'!$E$5:$Q$2133,"7",'NHAN VIEN'!$X$5:$X$6)</v>
      </c>
      <c r="BF3" s="103" t="str">
        <f t="shared" si="5"/>
        <v>=DSUM('NHAN VIEN'!$E$5:$Q$2133,"8",'NHAN VIEN'!$X$5:$X$6)</v>
      </c>
      <c r="BG3" s="103" t="str">
        <f t="shared" si="5"/>
        <v>=DSUM('NHAN VIEN'!$E$5:$Q$2133,"9",'NHAN VIEN'!$X$5:$X$6)</v>
      </c>
      <c r="BH3" s="103" t="str">
        <f t="shared" si="5"/>
        <v>=DSUM('NHAN VIEN'!$E$5:$Q$2133,"10",'NHAN VIEN'!$X$5:$X$6)</v>
      </c>
      <c r="BI3" s="103" t="str">
        <f t="shared" si="5"/>
        <v>=DSUM('NHAN VIEN'!$E$5:$Q$2133,"11",'NHAN VIEN'!$X$5:$X$6)</v>
      </c>
      <c r="BJ3" s="103" t="str">
        <f t="shared" si="5"/>
        <v>=DSUM('NHAN VIEN'!$E$5:$Q$2133,"12",'NHAN VIEN'!$X$5:$X$6)</v>
      </c>
      <c r="BR3" s="124">
        <f>R3-'KHACH HANG'!S6</f>
        <v>7</v>
      </c>
    </row>
    <row r="4" ht="18" spans="1:70">
      <c r="A4" s="125"/>
      <c r="B4" s="118">
        <f t="shared" ref="B4:B21" si="6">B3+1</f>
        <v>2</v>
      </c>
      <c r="C4" s="119" t="str">
        <f>VLOOKUP(B4,DMSP!$A$1:$C$39,2,0)</f>
        <v>2.HC</v>
      </c>
      <c r="D4" s="120" t="str">
        <f>VLOOKUP(B4,DMSP!$A$1:$C$39,3,0)</f>
        <v>HC BOOSTER</v>
      </c>
      <c r="E4" s="121">
        <f t="shared" ref="E4:E39" si="7">R4</f>
        <v>167</v>
      </c>
      <c r="F4" s="122">
        <f>DSUM('KHACH HANG'!$E$5:$R$2133,"1",'KHACH HANG'!$Z$5:$Z$6)</f>
        <v>72</v>
      </c>
      <c r="G4" s="126">
        <f>DSUM('KHACH HANG'!$E$5:$R$2133,"2",'KHACH HANG'!$Z$5:$Z$6)</f>
        <v>0</v>
      </c>
      <c r="H4" s="126">
        <f>DSUM('KHACH HANG'!$E$5:$R$2133,"3",'KHACH HANG'!$Z$5:$Z$6)</f>
        <v>0</v>
      </c>
      <c r="I4" s="126">
        <f>DSUM('KHACH HANG'!$E$5:$R$2133,"4",'KHACH HANG'!$Z$5:$Z$6)</f>
        <v>55</v>
      </c>
      <c r="J4" s="126">
        <f>DSUM('KHACH HANG'!$E$5:$R$2133,"5",'KHACH HANG'!$Z$5:$Z$6)</f>
        <v>0</v>
      </c>
      <c r="K4" s="122">
        <f>DSUM('KHACH HANG'!$E$5:$R$2133,"6",'KHACH HANG'!$Z$5:$Z$6)</f>
        <v>0</v>
      </c>
      <c r="L4" s="122">
        <f>DSUM('KHACH HANG'!$E$5:$R$2133,"7",'KHACH HANG'!$Z$5:$Z$6)</f>
        <v>0</v>
      </c>
      <c r="M4" s="122">
        <f>DSUM('KHACH HANG'!$E$5:$R$2133,"8",'KHACH HANG'!$Z$5:$Z$6)</f>
        <v>0</v>
      </c>
      <c r="N4" s="122">
        <f>DSUM('KHACH HANG'!$E$5:$R$2133,"9",'KHACH HANG'!$Z$5:$Z$6)</f>
        <v>0</v>
      </c>
      <c r="O4" s="122">
        <f>DSUM('KHACH HANG'!$E$5:$R$2133,"10",'KHACH HANG'!$Z$5:$Z$6)</f>
        <v>40</v>
      </c>
      <c r="P4" s="122">
        <f>DSUM('KHACH HANG'!$E$5:$R$2133,"11",'KHACH HANG'!$Z$5:$Z$6)</f>
        <v>0</v>
      </c>
      <c r="Q4" s="122">
        <f>DSUM('KHACH HANG'!$E$5:$R$2133,"12",'KHACH HANG'!$Z$5:$Z$6)</f>
        <v>0</v>
      </c>
      <c r="R4" s="123">
        <f t="shared" si="3"/>
        <v>167</v>
      </c>
      <c r="S4" s="6"/>
      <c r="T4" t="s">
        <v>43</v>
      </c>
      <c r="U4">
        <v>5</v>
      </c>
      <c r="V4">
        <v>6</v>
      </c>
      <c r="W4" t="s">
        <v>42</v>
      </c>
      <c r="X4" t="str">
        <f t="shared" ref="X4:X39" si="8">"DSUM('NHAN VIEN'!$E$5:$Q$2133,"&amp;""""&amp;$X$1&amp;""""</f>
        <v>DSUM('NHAN VIEN'!$E$5:$Q$2133,"2"</v>
      </c>
      <c r="Y4" t="str">
        <f t="shared" ref="Y4:Y39" si="9">"DSUM('NHAN VIEN'!$E$5:$Q$2133,"&amp;""""&amp;$Y$1&amp;""""</f>
        <v>DSUM('NHAN VIEN'!$E$5:$Q$2133,"3"</v>
      </c>
      <c r="Z4" t="str">
        <f t="shared" ref="Z4:Z39" si="10">"DSUM('NHAN VIEN'!$E$5:$Q$2133,"&amp;""""&amp;$Z$1&amp;""""</f>
        <v>DSUM('NHAN VIEN'!$E$5:$Q$2133,"4"</v>
      </c>
      <c r="AA4" t="str">
        <f t="shared" ref="AA4:AA39" si="11">"DSUM('NHAN VIEN'!$E$5:$Q$2133,"&amp;""""&amp;$AA$1&amp;""""</f>
        <v>DSUM('NHAN VIEN'!$E$5:$Q$2133,"5"</v>
      </c>
      <c r="AB4" t="str">
        <f t="shared" ref="AB4:AB39" si="12">"DSUM('NHAN VIEN'!$E$5:$Q$2133,"&amp;""""&amp;$AB$1&amp;""""</f>
        <v>DSUM('NHAN VIEN'!$E$5:$Q$2133,"6"</v>
      </c>
      <c r="AC4" t="str">
        <f t="shared" ref="AC4:AC39" si="13">"DSUM('NHAN VIEN'!$E$5:$Q$2133,"&amp;""""&amp;$AC$1&amp;""""</f>
        <v>DSUM('NHAN VIEN'!$E$5:$Q$2133,"7"</v>
      </c>
      <c r="AD4" t="str">
        <f t="shared" ref="AD4:AD39" si="14">"DSUM('NHAN VIEN'!$E$5:$Q$2133,"&amp;""""&amp;$AD$1&amp;""""</f>
        <v>DSUM('NHAN VIEN'!$E$5:$Q$2133,"8"</v>
      </c>
      <c r="AE4" t="str">
        <f t="shared" ref="AE4:AE39" si="15">"DSUM('NHAN VIEN'!$E$5:$Q$2133,"&amp;""""&amp;$AE$1&amp;""""</f>
        <v>DSUM('NHAN VIEN'!$E$5:$Q$2133,"9"</v>
      </c>
      <c r="AF4" t="str">
        <f t="shared" ref="AF4:AF39" si="16">"DSUM('NHAN VIEN'!$E$5:$Q$2133,"&amp;""""&amp;$AF$1&amp;""""</f>
        <v>DSUM('NHAN VIEN'!$E$5:$Q$2133,"10"</v>
      </c>
      <c r="AG4" t="str">
        <f t="shared" ref="AG4:AG39" si="17">"DSUM('NHAN VIEN'!$E$5:$Q$2133,"&amp;""""&amp;$AG$1&amp;""""</f>
        <v>DSUM('NHAN VIEN'!$E$5:$Q$2133,"11"</v>
      </c>
      <c r="AH4" t="str">
        <f t="shared" ref="AH4:AH39" si="18">"DSUM('NHAN VIEN'!$E$5:$Q$2133,"&amp;""""&amp;$AH$1&amp;""""</f>
        <v>DSUM('NHAN VIEN'!$E$5:$Q$2133,"12"</v>
      </c>
      <c r="AI4" t="str">
        <f t="shared" ref="AI4:AI5" si="19">W4&amp;","&amp;AV4&amp;")"</f>
        <v>DSUM('NHAN VIEN'!$E$5:$Q$2133,"1",'NHAN VIEN'!$Y$5:$Y$6)</v>
      </c>
      <c r="AJ4" t="str">
        <f t="shared" ref="AJ4:AJ39" si="20">X4&amp;","&amp;AV4&amp;")"</f>
        <v>DSUM('NHAN VIEN'!$E$5:$Q$2133,"2",'NHAN VIEN'!$Y$5:$Y$6)</v>
      </c>
      <c r="AK4" t="str">
        <f t="shared" ref="AK4:AK39" si="21">Y4&amp;","&amp;AV4&amp;")"</f>
        <v>DSUM('NHAN VIEN'!$E$5:$Q$2133,"3",'NHAN VIEN'!$Y$5:$Y$6)</v>
      </c>
      <c r="AL4" t="str">
        <f t="shared" ref="AL4:AL39" si="22">Z4&amp;","&amp;AV4&amp;")"</f>
        <v>DSUM('NHAN VIEN'!$E$5:$Q$2133,"4",'NHAN VIEN'!$Y$5:$Y$6)</v>
      </c>
      <c r="AM4" t="str">
        <f t="shared" ref="AM4:AM39" si="23">AA4&amp;","&amp;AV4&amp;")"</f>
        <v>DSUM('NHAN VIEN'!$E$5:$Q$2133,"5",'NHAN VIEN'!$Y$5:$Y$6)</v>
      </c>
      <c r="AN4" t="str">
        <f t="shared" ref="AN4:AN39" si="24">AB4&amp;","&amp;AV4&amp;")"</f>
        <v>DSUM('NHAN VIEN'!$E$5:$Q$2133,"6",'NHAN VIEN'!$Y$5:$Y$6)</v>
      </c>
      <c r="AO4" t="str">
        <f t="shared" ref="AO4:AO39" si="25">AC4&amp;","&amp;AV4&amp;")"</f>
        <v>DSUM('NHAN VIEN'!$E$5:$Q$2133,"7",'NHAN VIEN'!$Y$5:$Y$6)</v>
      </c>
      <c r="AP4" t="str">
        <f t="shared" ref="AP4:AP39" si="26">AD4&amp;","&amp;AV4&amp;")"</f>
        <v>DSUM('NHAN VIEN'!$E$5:$Q$2133,"8",'NHAN VIEN'!$Y$5:$Y$6)</v>
      </c>
      <c r="AQ4" t="str">
        <f t="shared" ref="AQ4:AQ39" si="27">AE4&amp;","&amp;AV4&amp;")"</f>
        <v>DSUM('NHAN VIEN'!$E$5:$Q$2133,"9",'NHAN VIEN'!$Y$5:$Y$6)</v>
      </c>
      <c r="AR4" t="str">
        <f t="shared" ref="AR4:AR39" si="28">AF4&amp;","&amp;AV4&amp;")"</f>
        <v>DSUM('NHAN VIEN'!$E$5:$Q$2133,"10",'NHAN VIEN'!$Y$5:$Y$6)</v>
      </c>
      <c r="AS4" t="str">
        <f t="shared" ref="AS4:AS39" si="29">AG4&amp;","&amp;AV4&amp;")"</f>
        <v>DSUM('NHAN VIEN'!$E$5:$Q$2133,"11",'NHAN VIEN'!$Y$5:$Y$6)</v>
      </c>
      <c r="AT4" t="str">
        <f t="shared" ref="AT4:AT39" si="30">AH4&amp;","&amp;AV4&amp;")"</f>
        <v>DSUM('NHAN VIEN'!$E$5:$Q$2133,"12",'NHAN VIEN'!$Y$5:$Y$6)</v>
      </c>
      <c r="AU4"/>
      <c r="AV4" t="str">
        <f t="shared" ref="AV4:AV39" si="31">"'NHAN VIEN'!$"&amp;T4&amp;"$"&amp;U4&amp;":$"&amp;T4&amp;"$"&amp;V4</f>
        <v>'NHAN VIEN'!$Y$5:$Y$6</v>
      </c>
      <c r="AY4" s="103" t="str">
        <f t="shared" ref="AY4:AY39" si="32">"="&amp;AI4</f>
        <v>=DSUM('NHAN VIEN'!$E$5:$Q$2133,"1",'NHAN VIEN'!$Y$5:$Y$6)</v>
      </c>
      <c r="AZ4" s="103" t="str">
        <f t="shared" si="5"/>
        <v>=DSUM('NHAN VIEN'!$E$5:$Q$2133,"2",'NHAN VIEN'!$Y$5:$Y$6)</v>
      </c>
      <c r="BA4" s="103" t="str">
        <f t="shared" si="5"/>
        <v>=DSUM('NHAN VIEN'!$E$5:$Q$2133,"3",'NHAN VIEN'!$Y$5:$Y$6)</v>
      </c>
      <c r="BB4" s="103" t="str">
        <f t="shared" si="5"/>
        <v>=DSUM('NHAN VIEN'!$E$5:$Q$2133,"4",'NHAN VIEN'!$Y$5:$Y$6)</v>
      </c>
      <c r="BC4" s="103" t="str">
        <f t="shared" si="5"/>
        <v>=DSUM('NHAN VIEN'!$E$5:$Q$2133,"5",'NHAN VIEN'!$Y$5:$Y$6)</v>
      </c>
      <c r="BD4" s="103" t="str">
        <f t="shared" si="5"/>
        <v>=DSUM('NHAN VIEN'!$E$5:$Q$2133,"6",'NHAN VIEN'!$Y$5:$Y$6)</v>
      </c>
      <c r="BE4" s="103" t="str">
        <f t="shared" si="5"/>
        <v>=DSUM('NHAN VIEN'!$E$5:$Q$2133,"7",'NHAN VIEN'!$Y$5:$Y$6)</v>
      </c>
      <c r="BF4" s="103" t="str">
        <f t="shared" si="5"/>
        <v>=DSUM('NHAN VIEN'!$E$5:$Q$2133,"8",'NHAN VIEN'!$Y$5:$Y$6)</v>
      </c>
      <c r="BG4" s="103" t="str">
        <f t="shared" si="5"/>
        <v>=DSUM('NHAN VIEN'!$E$5:$Q$2133,"9",'NHAN VIEN'!$Y$5:$Y$6)</v>
      </c>
      <c r="BH4" s="103" t="str">
        <f t="shared" si="5"/>
        <v>=DSUM('NHAN VIEN'!$E$5:$Q$2133,"10",'NHAN VIEN'!$Y$5:$Y$6)</v>
      </c>
      <c r="BI4" s="103" t="str">
        <f t="shared" si="5"/>
        <v>=DSUM('NHAN VIEN'!$E$5:$Q$2133,"11",'NHAN VIEN'!$Y$5:$Y$6)</v>
      </c>
      <c r="BJ4" s="103" t="str">
        <f t="shared" si="5"/>
        <v>=DSUM('NHAN VIEN'!$E$5:$Q$2133,"12",'NHAN VIEN'!$Y$5:$Y$6)</v>
      </c>
      <c r="BR4" s="124">
        <f>R4-'KHACH HANG'!S7</f>
        <v>156</v>
      </c>
    </row>
    <row r="5" ht="18" spans="1:70">
      <c r="A5" s="125"/>
      <c r="B5" s="118">
        <f t="shared" si="6"/>
        <v>3</v>
      </c>
      <c r="C5" s="119" t="str">
        <f>VLOOKUP(B5,DMSP!$A$1:$C$39,2,0)</f>
        <v>2.HC</v>
      </c>
      <c r="D5" s="120" t="str">
        <f>VLOOKUP(B5,DMSP!$A$1:$C$39,3,0)</f>
        <v>HC KING-ROOT</v>
      </c>
      <c r="E5" s="121">
        <f t="shared" si="7"/>
        <v>19</v>
      </c>
      <c r="F5" s="122">
        <f>DSUM('KHACH HANG'!$E$5:$R$2133,"1",'KHACH HANG'!$AA$5:$AA$6)</f>
        <v>0</v>
      </c>
      <c r="G5" s="126">
        <f>DSUM('KHACH HANG'!$E$5:$R$2133,"2",'KHACH HANG'!$AA$5:$AA$6)</f>
        <v>0</v>
      </c>
      <c r="H5" s="126">
        <f>DSUM('KHACH HANG'!$E$5:$R$2133,"3",'KHACH HANG'!$AA$5:$AA$6)</f>
        <v>12</v>
      </c>
      <c r="I5" s="126">
        <f>DSUM('KHACH HANG'!$E$5:$R$2133,"4",'KHACH HANG'!$AA$5:$AA$6)</f>
        <v>0</v>
      </c>
      <c r="J5" s="126">
        <f>DSUM('KHACH HANG'!$E$5:$R$2133,"5",'KHACH HANG'!$AA$5:$AA$6)</f>
        <v>2</v>
      </c>
      <c r="K5" s="122">
        <f>DSUM('KHACH HANG'!$E$5:$R$2133,"6",'KHACH HANG'!$AA$5:$AA$6)</f>
        <v>0</v>
      </c>
      <c r="L5" s="122">
        <f>DSUM('KHACH HANG'!$E$5:$R$2133,"7",'KHACH HANG'!$AA$5:$AA$6)</f>
        <v>0</v>
      </c>
      <c r="M5" s="122">
        <f>DSUM('KHACH HANG'!$E$5:$R$2133,"8",'KHACH HANG'!$AA$5:$AA$6)</f>
        <v>0</v>
      </c>
      <c r="N5" s="122">
        <f>DSUM('KHACH HANG'!$E$5:$R$2133,"9",'KHACH HANG'!$AA$5:$AA$6)</f>
        <v>0</v>
      </c>
      <c r="O5" s="122">
        <f>DSUM('KHACH HANG'!$E$5:$R$2133,"10",'KHACH HANG'!$AA$5:$AA$6)</f>
        <v>0</v>
      </c>
      <c r="P5" s="122">
        <f>DSUM('KHACH HANG'!$E$5:$R$2133,"11",'KHACH HANG'!$AA$5:$AA$6)</f>
        <v>0</v>
      </c>
      <c r="Q5" s="122">
        <f>DSUM('KHACH HANG'!$E$5:$R$2133,"12",'KHACH HANG'!$AA$5:$AA$6)</f>
        <v>5</v>
      </c>
      <c r="R5" s="123">
        <f t="shared" si="3"/>
        <v>19</v>
      </c>
      <c r="S5" s="6"/>
      <c r="T5" t="s">
        <v>44</v>
      </c>
      <c r="U5">
        <v>5</v>
      </c>
      <c r="V5">
        <v>6</v>
      </c>
      <c r="W5" t="s">
        <v>42</v>
      </c>
      <c r="X5" t="str">
        <f t="shared" si="8"/>
        <v>DSUM('NHAN VIEN'!$E$5:$Q$2133,"2"</v>
      </c>
      <c r="Y5" t="str">
        <f t="shared" si="9"/>
        <v>DSUM('NHAN VIEN'!$E$5:$Q$2133,"3"</v>
      </c>
      <c r="Z5" t="str">
        <f t="shared" si="10"/>
        <v>DSUM('NHAN VIEN'!$E$5:$Q$2133,"4"</v>
      </c>
      <c r="AA5" t="str">
        <f t="shared" si="11"/>
        <v>DSUM('NHAN VIEN'!$E$5:$Q$2133,"5"</v>
      </c>
      <c r="AB5" t="str">
        <f t="shared" si="12"/>
        <v>DSUM('NHAN VIEN'!$E$5:$Q$2133,"6"</v>
      </c>
      <c r="AC5" t="str">
        <f t="shared" si="13"/>
        <v>DSUM('NHAN VIEN'!$E$5:$Q$2133,"7"</v>
      </c>
      <c r="AD5" t="str">
        <f t="shared" si="14"/>
        <v>DSUM('NHAN VIEN'!$E$5:$Q$2133,"8"</v>
      </c>
      <c r="AE5" t="str">
        <f t="shared" si="15"/>
        <v>DSUM('NHAN VIEN'!$E$5:$Q$2133,"9"</v>
      </c>
      <c r="AF5" t="str">
        <f t="shared" si="16"/>
        <v>DSUM('NHAN VIEN'!$E$5:$Q$2133,"10"</v>
      </c>
      <c r="AG5" t="str">
        <f t="shared" si="17"/>
        <v>DSUM('NHAN VIEN'!$E$5:$Q$2133,"11"</v>
      </c>
      <c r="AH5" t="str">
        <f t="shared" si="18"/>
        <v>DSUM('NHAN VIEN'!$E$5:$Q$2133,"12"</v>
      </c>
      <c r="AI5" t="str">
        <f t="shared" si="19"/>
        <v>DSUM('NHAN VIEN'!$E$5:$Q$2133,"1",'NHAN VIEN'!$Z$5:$Z$6)</v>
      </c>
      <c r="AJ5" t="str">
        <f t="shared" si="20"/>
        <v>DSUM('NHAN VIEN'!$E$5:$Q$2133,"2",'NHAN VIEN'!$Z$5:$Z$6)</v>
      </c>
      <c r="AK5" t="str">
        <f t="shared" si="21"/>
        <v>DSUM('NHAN VIEN'!$E$5:$Q$2133,"3",'NHAN VIEN'!$Z$5:$Z$6)</v>
      </c>
      <c r="AL5" t="str">
        <f t="shared" si="22"/>
        <v>DSUM('NHAN VIEN'!$E$5:$Q$2133,"4",'NHAN VIEN'!$Z$5:$Z$6)</v>
      </c>
      <c r="AM5" t="str">
        <f t="shared" si="23"/>
        <v>DSUM('NHAN VIEN'!$E$5:$Q$2133,"5",'NHAN VIEN'!$Z$5:$Z$6)</v>
      </c>
      <c r="AN5" t="str">
        <f t="shared" si="24"/>
        <v>DSUM('NHAN VIEN'!$E$5:$Q$2133,"6",'NHAN VIEN'!$Z$5:$Z$6)</v>
      </c>
      <c r="AO5" t="str">
        <f t="shared" si="25"/>
        <v>DSUM('NHAN VIEN'!$E$5:$Q$2133,"7",'NHAN VIEN'!$Z$5:$Z$6)</v>
      </c>
      <c r="AP5" t="str">
        <f t="shared" si="26"/>
        <v>DSUM('NHAN VIEN'!$E$5:$Q$2133,"8",'NHAN VIEN'!$Z$5:$Z$6)</v>
      </c>
      <c r="AQ5" t="str">
        <f t="shared" si="27"/>
        <v>DSUM('NHAN VIEN'!$E$5:$Q$2133,"9",'NHAN VIEN'!$Z$5:$Z$6)</v>
      </c>
      <c r="AR5" t="str">
        <f t="shared" si="28"/>
        <v>DSUM('NHAN VIEN'!$E$5:$Q$2133,"10",'NHAN VIEN'!$Z$5:$Z$6)</v>
      </c>
      <c r="AS5" t="str">
        <f t="shared" si="29"/>
        <v>DSUM('NHAN VIEN'!$E$5:$Q$2133,"11",'NHAN VIEN'!$Z$5:$Z$6)</v>
      </c>
      <c r="AT5" t="str">
        <f t="shared" si="30"/>
        <v>DSUM('NHAN VIEN'!$E$5:$Q$2133,"12",'NHAN VIEN'!$Z$5:$Z$6)</v>
      </c>
      <c r="AU5"/>
      <c r="AV5" t="str">
        <f t="shared" si="31"/>
        <v>'NHAN VIEN'!$Z$5:$Z$6</v>
      </c>
      <c r="AY5" s="103" t="str">
        <f t="shared" si="32"/>
        <v>=DSUM('NHAN VIEN'!$E$5:$Q$2133,"1",'NHAN VIEN'!$Z$5:$Z$6)</v>
      </c>
      <c r="AZ5" s="103" t="str">
        <f t="shared" si="5"/>
        <v>=DSUM('NHAN VIEN'!$E$5:$Q$2133,"2",'NHAN VIEN'!$Z$5:$Z$6)</v>
      </c>
      <c r="BA5" s="103" t="str">
        <f t="shared" si="5"/>
        <v>=DSUM('NHAN VIEN'!$E$5:$Q$2133,"3",'NHAN VIEN'!$Z$5:$Z$6)</v>
      </c>
      <c r="BB5" s="103" t="str">
        <f t="shared" si="5"/>
        <v>=DSUM('NHAN VIEN'!$E$5:$Q$2133,"4",'NHAN VIEN'!$Z$5:$Z$6)</v>
      </c>
      <c r="BC5" s="103" t="str">
        <f t="shared" si="5"/>
        <v>=DSUM('NHAN VIEN'!$E$5:$Q$2133,"5",'NHAN VIEN'!$Z$5:$Z$6)</v>
      </c>
      <c r="BD5" s="103" t="str">
        <f t="shared" si="5"/>
        <v>=DSUM('NHAN VIEN'!$E$5:$Q$2133,"6",'NHAN VIEN'!$Z$5:$Z$6)</v>
      </c>
      <c r="BE5" s="103" t="str">
        <f t="shared" si="5"/>
        <v>=DSUM('NHAN VIEN'!$E$5:$Q$2133,"7",'NHAN VIEN'!$Z$5:$Z$6)</v>
      </c>
      <c r="BF5" s="103" t="str">
        <f t="shared" si="5"/>
        <v>=DSUM('NHAN VIEN'!$E$5:$Q$2133,"8",'NHAN VIEN'!$Z$5:$Z$6)</v>
      </c>
      <c r="BG5" s="103" t="str">
        <f t="shared" si="5"/>
        <v>=DSUM('NHAN VIEN'!$E$5:$Q$2133,"9",'NHAN VIEN'!$Z$5:$Z$6)</v>
      </c>
      <c r="BH5" s="103" t="str">
        <f t="shared" si="5"/>
        <v>=DSUM('NHAN VIEN'!$E$5:$Q$2133,"10",'NHAN VIEN'!$Z$5:$Z$6)</v>
      </c>
      <c r="BI5" s="103" t="str">
        <f t="shared" si="5"/>
        <v>=DSUM('NHAN VIEN'!$E$5:$Q$2133,"11",'NHAN VIEN'!$Z$5:$Z$6)</v>
      </c>
      <c r="BJ5" s="103" t="str">
        <f t="shared" si="5"/>
        <v>=DSUM('NHAN VIEN'!$E$5:$Q$2133,"12",'NHAN VIEN'!$Z$5:$Z$6)</v>
      </c>
      <c r="BR5" s="124">
        <f>R5-'KHACH HANG'!S8</f>
        <v>19</v>
      </c>
    </row>
    <row r="6" ht="18" spans="1:70">
      <c r="A6" s="125"/>
      <c r="B6" s="118">
        <f t="shared" si="6"/>
        <v>4</v>
      </c>
      <c r="C6" s="119" t="str">
        <f>VLOOKUP(B6,DMSP!$A$1:$C$39,2,0)</f>
        <v>2.HC</v>
      </c>
      <c r="D6" s="120" t="str">
        <f>VLOOKUP(B6,DMSP!$A$1:$C$39,3,0)</f>
        <v>HAPPY FARM</v>
      </c>
      <c r="E6" s="121">
        <f t="shared" si="7"/>
        <v>41</v>
      </c>
      <c r="F6" s="122">
        <f>DSUM('KHACH HANG'!$E$5:$R$2133,"1",'KHACH HANG'!$AB$5:$AB$6)</f>
        <v>41</v>
      </c>
      <c r="G6" s="126">
        <f>DSUM('KHACH HANG'!$E$5:$R$2133,"2",'KHACH HANG'!$AB$5:$AB$6)</f>
        <v>0</v>
      </c>
      <c r="H6" s="126">
        <f>DSUM('KHACH HANG'!$E$5:$R$2133,"3",'KHACH HANG'!$AB$5:$AB$6)</f>
        <v>0</v>
      </c>
      <c r="I6" s="126">
        <f>DSUM('KHACH HANG'!$E$5:$R$2133,"4",'KHACH HANG'!$AB$5:$AB$6)</f>
        <v>0</v>
      </c>
      <c r="J6" s="126">
        <f>DSUM('KHACH HANG'!$E$5:$R$2133,"5",'KHACH HANG'!$AB$5:$AB$6)</f>
        <v>0</v>
      </c>
      <c r="K6" s="122">
        <f>DSUM('KHACH HANG'!$E$5:$R$2133,"6",'KHACH HANG'!$AB$5:$AB$6)</f>
        <v>0</v>
      </c>
      <c r="L6" s="122">
        <f>DSUM('KHACH HANG'!$E$5:$R$2133,"7",'KHACH HANG'!$AB$5:$AB$6)</f>
        <v>0</v>
      </c>
      <c r="M6" s="122">
        <f>DSUM('KHACH HANG'!$E$5:$R$2133,"8",'KHACH HANG'!$AB$5:$AB$6)</f>
        <v>0</v>
      </c>
      <c r="N6" s="122">
        <f>DSUM('KHACH HANG'!$E$5:$R$2133,"9",'KHACH HANG'!$AB$5:$AB$6)</f>
        <v>0</v>
      </c>
      <c r="O6" s="122">
        <f>DSUM('KHACH HANG'!$E$5:$R$2133,"10",'KHACH HANG'!$AB$5:$AB$6)</f>
        <v>0</v>
      </c>
      <c r="P6" s="122">
        <f>DSUM('KHACH HANG'!$E$5:$R$2133,"11",'KHACH HANG'!$AB$5:$AB$6)</f>
        <v>0</v>
      </c>
      <c r="Q6" s="122">
        <f>DSUM('KHACH HANG'!$E$5:$R$2133,"12",'KHACH HANG'!$AB$5:$AB$6)</f>
        <v>0</v>
      </c>
      <c r="R6" s="123">
        <f t="shared" si="3"/>
        <v>41</v>
      </c>
      <c r="S6" s="6"/>
      <c r="T6" t="s">
        <v>45</v>
      </c>
      <c r="U6">
        <v>5</v>
      </c>
      <c r="V6">
        <v>6</v>
      </c>
      <c r="W6" t="s">
        <v>42</v>
      </c>
      <c r="X6" t="str">
        <f t="shared" si="8"/>
        <v>DSUM('NHAN VIEN'!$E$5:$Q$2133,"2"</v>
      </c>
      <c r="Y6" t="str">
        <f t="shared" si="9"/>
        <v>DSUM('NHAN VIEN'!$E$5:$Q$2133,"3"</v>
      </c>
      <c r="Z6" t="str">
        <f t="shared" si="10"/>
        <v>DSUM('NHAN VIEN'!$E$5:$Q$2133,"4"</v>
      </c>
      <c r="AA6" t="str">
        <f t="shared" si="11"/>
        <v>DSUM('NHAN VIEN'!$E$5:$Q$2133,"5"</v>
      </c>
      <c r="AB6" t="str">
        <f t="shared" si="12"/>
        <v>DSUM('NHAN VIEN'!$E$5:$Q$2133,"6"</v>
      </c>
      <c r="AC6" t="str">
        <f t="shared" si="13"/>
        <v>DSUM('NHAN VIEN'!$E$5:$Q$2133,"7"</v>
      </c>
      <c r="AD6" t="str">
        <f t="shared" si="14"/>
        <v>DSUM('NHAN VIEN'!$E$5:$Q$2133,"8"</v>
      </c>
      <c r="AE6" t="str">
        <f t="shared" si="15"/>
        <v>DSUM('NHAN VIEN'!$E$5:$Q$2133,"9"</v>
      </c>
      <c r="AF6" t="str">
        <f t="shared" si="16"/>
        <v>DSUM('NHAN VIEN'!$E$5:$Q$2133,"10"</v>
      </c>
      <c r="AG6" t="str">
        <f t="shared" si="17"/>
        <v>DSUM('NHAN VIEN'!$E$5:$Q$2133,"11"</v>
      </c>
      <c r="AH6" t="str">
        <f t="shared" si="18"/>
        <v>DSUM('NHAN VIEN'!$E$5:$Q$2133,"12"</v>
      </c>
      <c r="AI6" t="str">
        <f t="shared" ref="AI6:AI39" si="33">W6&amp;","&amp;AV6&amp;")"</f>
        <v>DSUM('NHAN VIEN'!$E$5:$Q$2133,"1",'NHAN VIEN'!$AA$5:$AA$6)</v>
      </c>
      <c r="AJ6" t="str">
        <f t="shared" si="20"/>
        <v>DSUM('NHAN VIEN'!$E$5:$Q$2133,"2",'NHAN VIEN'!$AA$5:$AA$6)</v>
      </c>
      <c r="AK6" t="str">
        <f t="shared" si="21"/>
        <v>DSUM('NHAN VIEN'!$E$5:$Q$2133,"3",'NHAN VIEN'!$AA$5:$AA$6)</v>
      </c>
      <c r="AL6" t="str">
        <f t="shared" si="22"/>
        <v>DSUM('NHAN VIEN'!$E$5:$Q$2133,"4",'NHAN VIEN'!$AA$5:$AA$6)</v>
      </c>
      <c r="AM6" t="str">
        <f t="shared" si="23"/>
        <v>DSUM('NHAN VIEN'!$E$5:$Q$2133,"5",'NHAN VIEN'!$AA$5:$AA$6)</v>
      </c>
      <c r="AN6" t="str">
        <f t="shared" si="24"/>
        <v>DSUM('NHAN VIEN'!$E$5:$Q$2133,"6",'NHAN VIEN'!$AA$5:$AA$6)</v>
      </c>
      <c r="AO6" t="str">
        <f t="shared" si="25"/>
        <v>DSUM('NHAN VIEN'!$E$5:$Q$2133,"7",'NHAN VIEN'!$AA$5:$AA$6)</v>
      </c>
      <c r="AP6" t="str">
        <f t="shared" si="26"/>
        <v>DSUM('NHAN VIEN'!$E$5:$Q$2133,"8",'NHAN VIEN'!$AA$5:$AA$6)</v>
      </c>
      <c r="AQ6" t="str">
        <f t="shared" si="27"/>
        <v>DSUM('NHAN VIEN'!$E$5:$Q$2133,"9",'NHAN VIEN'!$AA$5:$AA$6)</v>
      </c>
      <c r="AR6" t="str">
        <f t="shared" si="28"/>
        <v>DSUM('NHAN VIEN'!$E$5:$Q$2133,"10",'NHAN VIEN'!$AA$5:$AA$6)</v>
      </c>
      <c r="AS6" t="str">
        <f t="shared" si="29"/>
        <v>DSUM('NHAN VIEN'!$E$5:$Q$2133,"11",'NHAN VIEN'!$AA$5:$AA$6)</v>
      </c>
      <c r="AT6" t="str">
        <f t="shared" si="30"/>
        <v>DSUM('NHAN VIEN'!$E$5:$Q$2133,"12",'NHAN VIEN'!$AA$5:$AA$6)</v>
      </c>
      <c r="AU6"/>
      <c r="AV6" t="str">
        <f t="shared" si="31"/>
        <v>'NHAN VIEN'!$AA$5:$AA$6</v>
      </c>
      <c r="AY6" s="103" t="str">
        <f t="shared" si="32"/>
        <v>=DSUM('NHAN VIEN'!$E$5:$Q$2133,"1",'NHAN VIEN'!$AA$5:$AA$6)</v>
      </c>
      <c r="AZ6" s="103" t="str">
        <f t="shared" si="5"/>
        <v>=DSUM('NHAN VIEN'!$E$5:$Q$2133,"2",'NHAN VIEN'!$AA$5:$AA$6)</v>
      </c>
      <c r="BA6" s="103" t="str">
        <f t="shared" si="5"/>
        <v>=DSUM('NHAN VIEN'!$E$5:$Q$2133,"3",'NHAN VIEN'!$AA$5:$AA$6)</v>
      </c>
      <c r="BB6" s="103" t="str">
        <f t="shared" si="5"/>
        <v>=DSUM('NHAN VIEN'!$E$5:$Q$2133,"4",'NHAN VIEN'!$AA$5:$AA$6)</v>
      </c>
      <c r="BC6" s="103" t="str">
        <f t="shared" si="5"/>
        <v>=DSUM('NHAN VIEN'!$E$5:$Q$2133,"5",'NHAN VIEN'!$AA$5:$AA$6)</v>
      </c>
      <c r="BD6" s="103" t="str">
        <f t="shared" si="5"/>
        <v>=DSUM('NHAN VIEN'!$E$5:$Q$2133,"6",'NHAN VIEN'!$AA$5:$AA$6)</v>
      </c>
      <c r="BE6" s="103" t="str">
        <f t="shared" si="5"/>
        <v>=DSUM('NHAN VIEN'!$E$5:$Q$2133,"7",'NHAN VIEN'!$AA$5:$AA$6)</v>
      </c>
      <c r="BF6" s="103" t="str">
        <f t="shared" si="5"/>
        <v>=DSUM('NHAN VIEN'!$E$5:$Q$2133,"8",'NHAN VIEN'!$AA$5:$AA$6)</v>
      </c>
      <c r="BG6" s="103" t="str">
        <f t="shared" si="5"/>
        <v>=DSUM('NHAN VIEN'!$E$5:$Q$2133,"9",'NHAN VIEN'!$AA$5:$AA$6)</v>
      </c>
      <c r="BH6" s="103" t="str">
        <f t="shared" si="5"/>
        <v>=DSUM('NHAN VIEN'!$E$5:$Q$2133,"10",'NHAN VIEN'!$AA$5:$AA$6)</v>
      </c>
      <c r="BI6" s="103" t="str">
        <f t="shared" si="5"/>
        <v>=DSUM('NHAN VIEN'!$E$5:$Q$2133,"11",'NHAN VIEN'!$AA$5:$AA$6)</v>
      </c>
      <c r="BJ6" s="103" t="str">
        <f t="shared" si="5"/>
        <v>=DSUM('NHAN VIEN'!$E$5:$Q$2133,"12",'NHAN VIEN'!$AA$5:$AA$6)</v>
      </c>
      <c r="BR6" s="124">
        <f>R6-'KHACH HANG'!S9</f>
        <v>6</v>
      </c>
    </row>
    <row r="7" ht="18" spans="1:70">
      <c r="A7" s="125"/>
      <c r="B7" s="118">
        <f t="shared" si="6"/>
        <v>5</v>
      </c>
      <c r="C7" s="119" t="str">
        <f>VLOOKUP(B7,DMSP!$A$1:$C$39,2,0)</f>
        <v>2.HC</v>
      </c>
      <c r="D7" s="120" t="str">
        <f>VLOOKUP(B7,DMSP!$A$1:$C$39,3,0)</f>
        <v>WOW</v>
      </c>
      <c r="E7" s="121">
        <f t="shared" si="7"/>
        <v>26</v>
      </c>
      <c r="F7" s="122">
        <f>DSUM('KHACH HANG'!$E$5:$R$2133,"1",'KHACH HANG'!$AC$5:$AC$6)</f>
        <v>0</v>
      </c>
      <c r="G7" s="126">
        <f>DSUM('KHACH HANG'!$E$5:$R$2133,"2",'KHACH HANG'!$AC$5:$AC$6)</f>
        <v>0</v>
      </c>
      <c r="H7" s="126">
        <f>DSUM('KHACH HANG'!$E$5:$R$2133,"3",'KHACH HANG'!$AC$5:$AC$6)</f>
        <v>0</v>
      </c>
      <c r="I7" s="126">
        <f>DSUM('KHACH HANG'!$E$5:$R$2133,"4",'KHACH HANG'!$AC$5:$AC$6)</f>
        <v>20</v>
      </c>
      <c r="J7" s="126">
        <f>DSUM('KHACH HANG'!$E$5:$R$2133,"5",'KHACH HANG'!$AC$5:$AC$6)</f>
        <v>6</v>
      </c>
      <c r="K7" s="122">
        <f>DSUM('KHACH HANG'!$E$5:$R$2133,"6",'KHACH HANG'!$AC$5:$AC$6)</f>
        <v>0</v>
      </c>
      <c r="L7" s="122">
        <f>DSUM('KHACH HANG'!$E$5:$R$2133,"7",'KHACH HANG'!$AC$5:$AC$6)</f>
        <v>0</v>
      </c>
      <c r="M7" s="122">
        <f>DSUM('KHACH HANG'!$E$5:$R$2133,"8",'KHACH HANG'!$AC$5:$AC$6)</f>
        <v>0</v>
      </c>
      <c r="N7" s="122">
        <f>DSUM('KHACH HANG'!$E$5:$R$2133,"9",'KHACH HANG'!$AC$5:$AC$6)</f>
        <v>0</v>
      </c>
      <c r="O7" s="122">
        <f>DSUM('KHACH HANG'!$E$5:$R$2133,"10",'KHACH HANG'!$AC$5:$AC$6)</f>
        <v>0</v>
      </c>
      <c r="P7" s="122">
        <f>DSUM('KHACH HANG'!$E$5:$R$2133,"11",'KHACH HANG'!$AC$5:$AC$6)</f>
        <v>0</v>
      </c>
      <c r="Q7" s="122">
        <f>DSUM('KHACH HANG'!$E$5:$R$2133,"12",'KHACH HANG'!$AC$5:$AC$6)</f>
        <v>0</v>
      </c>
      <c r="R7" s="123">
        <f t="shared" si="3"/>
        <v>26</v>
      </c>
      <c r="S7" s="6"/>
      <c r="T7" t="s">
        <v>46</v>
      </c>
      <c r="U7">
        <v>5</v>
      </c>
      <c r="V7">
        <v>6</v>
      </c>
      <c r="W7" t="s">
        <v>42</v>
      </c>
      <c r="X7" t="str">
        <f t="shared" si="8"/>
        <v>DSUM('NHAN VIEN'!$E$5:$Q$2133,"2"</v>
      </c>
      <c r="Y7" t="str">
        <f t="shared" si="9"/>
        <v>DSUM('NHAN VIEN'!$E$5:$Q$2133,"3"</v>
      </c>
      <c r="Z7" t="str">
        <f t="shared" si="10"/>
        <v>DSUM('NHAN VIEN'!$E$5:$Q$2133,"4"</v>
      </c>
      <c r="AA7" t="str">
        <f t="shared" si="11"/>
        <v>DSUM('NHAN VIEN'!$E$5:$Q$2133,"5"</v>
      </c>
      <c r="AB7" t="str">
        <f t="shared" si="12"/>
        <v>DSUM('NHAN VIEN'!$E$5:$Q$2133,"6"</v>
      </c>
      <c r="AC7" t="str">
        <f t="shared" si="13"/>
        <v>DSUM('NHAN VIEN'!$E$5:$Q$2133,"7"</v>
      </c>
      <c r="AD7" t="str">
        <f t="shared" si="14"/>
        <v>DSUM('NHAN VIEN'!$E$5:$Q$2133,"8"</v>
      </c>
      <c r="AE7" t="str">
        <f t="shared" si="15"/>
        <v>DSUM('NHAN VIEN'!$E$5:$Q$2133,"9"</v>
      </c>
      <c r="AF7" t="str">
        <f t="shared" si="16"/>
        <v>DSUM('NHAN VIEN'!$E$5:$Q$2133,"10"</v>
      </c>
      <c r="AG7" t="str">
        <f t="shared" si="17"/>
        <v>DSUM('NHAN VIEN'!$E$5:$Q$2133,"11"</v>
      </c>
      <c r="AH7" t="str">
        <f t="shared" si="18"/>
        <v>DSUM('NHAN VIEN'!$E$5:$Q$2133,"12"</v>
      </c>
      <c r="AI7" t="str">
        <f t="shared" si="33"/>
        <v>DSUM('NHAN VIEN'!$E$5:$Q$2133,"1",'NHAN VIEN'!$AB$5:$AB$6)</v>
      </c>
      <c r="AJ7" t="str">
        <f t="shared" si="20"/>
        <v>DSUM('NHAN VIEN'!$E$5:$Q$2133,"2",'NHAN VIEN'!$AB$5:$AB$6)</v>
      </c>
      <c r="AK7" t="str">
        <f t="shared" si="21"/>
        <v>DSUM('NHAN VIEN'!$E$5:$Q$2133,"3",'NHAN VIEN'!$AB$5:$AB$6)</v>
      </c>
      <c r="AL7" t="str">
        <f t="shared" si="22"/>
        <v>DSUM('NHAN VIEN'!$E$5:$Q$2133,"4",'NHAN VIEN'!$AB$5:$AB$6)</v>
      </c>
      <c r="AM7" t="str">
        <f t="shared" si="23"/>
        <v>DSUM('NHAN VIEN'!$E$5:$Q$2133,"5",'NHAN VIEN'!$AB$5:$AB$6)</v>
      </c>
      <c r="AN7" t="str">
        <f t="shared" si="24"/>
        <v>DSUM('NHAN VIEN'!$E$5:$Q$2133,"6",'NHAN VIEN'!$AB$5:$AB$6)</v>
      </c>
      <c r="AO7" t="str">
        <f t="shared" si="25"/>
        <v>DSUM('NHAN VIEN'!$E$5:$Q$2133,"7",'NHAN VIEN'!$AB$5:$AB$6)</v>
      </c>
      <c r="AP7" t="str">
        <f t="shared" si="26"/>
        <v>DSUM('NHAN VIEN'!$E$5:$Q$2133,"8",'NHAN VIEN'!$AB$5:$AB$6)</v>
      </c>
      <c r="AQ7" t="str">
        <f t="shared" si="27"/>
        <v>DSUM('NHAN VIEN'!$E$5:$Q$2133,"9",'NHAN VIEN'!$AB$5:$AB$6)</v>
      </c>
      <c r="AR7" t="str">
        <f t="shared" si="28"/>
        <v>DSUM('NHAN VIEN'!$E$5:$Q$2133,"10",'NHAN VIEN'!$AB$5:$AB$6)</v>
      </c>
      <c r="AS7" t="str">
        <f t="shared" si="29"/>
        <v>DSUM('NHAN VIEN'!$E$5:$Q$2133,"11",'NHAN VIEN'!$AB$5:$AB$6)</v>
      </c>
      <c r="AT7" t="str">
        <f t="shared" si="30"/>
        <v>DSUM('NHAN VIEN'!$E$5:$Q$2133,"12",'NHAN VIEN'!$AB$5:$AB$6)</v>
      </c>
      <c r="AU7"/>
      <c r="AV7" t="str">
        <f t="shared" si="31"/>
        <v>'NHAN VIEN'!$AB$5:$AB$6</v>
      </c>
      <c r="AY7" s="103" t="str">
        <f t="shared" si="32"/>
        <v>=DSUM('NHAN VIEN'!$E$5:$Q$2133,"1",'NHAN VIEN'!$AB$5:$AB$6)</v>
      </c>
      <c r="AZ7" s="103" t="str">
        <f t="shared" si="5"/>
        <v>=DSUM('NHAN VIEN'!$E$5:$Q$2133,"2",'NHAN VIEN'!$AB$5:$AB$6)</v>
      </c>
      <c r="BA7" s="103" t="str">
        <f t="shared" si="5"/>
        <v>=DSUM('NHAN VIEN'!$E$5:$Q$2133,"3",'NHAN VIEN'!$AB$5:$AB$6)</v>
      </c>
      <c r="BB7" s="103" t="str">
        <f t="shared" si="5"/>
        <v>=DSUM('NHAN VIEN'!$E$5:$Q$2133,"4",'NHAN VIEN'!$AB$5:$AB$6)</v>
      </c>
      <c r="BC7" s="103" t="str">
        <f t="shared" si="5"/>
        <v>=DSUM('NHAN VIEN'!$E$5:$Q$2133,"5",'NHAN VIEN'!$AB$5:$AB$6)</v>
      </c>
      <c r="BD7" s="103" t="str">
        <f t="shared" si="5"/>
        <v>=DSUM('NHAN VIEN'!$E$5:$Q$2133,"6",'NHAN VIEN'!$AB$5:$AB$6)</v>
      </c>
      <c r="BE7" s="103" t="str">
        <f t="shared" si="5"/>
        <v>=DSUM('NHAN VIEN'!$E$5:$Q$2133,"7",'NHAN VIEN'!$AB$5:$AB$6)</v>
      </c>
      <c r="BF7" s="103" t="str">
        <f t="shared" si="5"/>
        <v>=DSUM('NHAN VIEN'!$E$5:$Q$2133,"8",'NHAN VIEN'!$AB$5:$AB$6)</v>
      </c>
      <c r="BG7" s="103" t="str">
        <f t="shared" si="5"/>
        <v>=DSUM('NHAN VIEN'!$E$5:$Q$2133,"9",'NHAN VIEN'!$AB$5:$AB$6)</v>
      </c>
      <c r="BH7" s="103" t="str">
        <f t="shared" si="5"/>
        <v>=DSUM('NHAN VIEN'!$E$5:$Q$2133,"10",'NHAN VIEN'!$AB$5:$AB$6)</v>
      </c>
      <c r="BI7" s="103" t="str">
        <f t="shared" si="5"/>
        <v>=DSUM('NHAN VIEN'!$E$5:$Q$2133,"11",'NHAN VIEN'!$AB$5:$AB$6)</v>
      </c>
      <c r="BJ7" s="103" t="str">
        <f t="shared" si="5"/>
        <v>=DSUM('NHAN VIEN'!$E$5:$Q$2133,"12",'NHAN VIEN'!$AB$5:$AB$6)</v>
      </c>
      <c r="BR7" s="124">
        <f>R7-'KHACH HANG'!S10</f>
        <v>26</v>
      </c>
    </row>
    <row r="8" ht="18" spans="1:70">
      <c r="A8" s="125"/>
      <c r="B8" s="118">
        <f t="shared" si="6"/>
        <v>6</v>
      </c>
      <c r="C8" s="119" t="str">
        <f>VLOOKUP(B8,DMSP!$A$1:$C$39,2,0)</f>
        <v>3.SPRAY </v>
      </c>
      <c r="D8" s="120" t="str">
        <f>VLOOKUP(B8,DMSP!$A$1:$C$39,3,0)</f>
        <v>KELPIT</v>
      </c>
      <c r="E8" s="121">
        <f t="shared" si="7"/>
        <v>36</v>
      </c>
      <c r="F8" s="122">
        <f>DSUM('KHACH HANG'!$E$5:$R$2133,"1",'KHACH HANG'!$AD$5:$AD$6)</f>
        <v>14</v>
      </c>
      <c r="G8" s="126">
        <f>DSUM('KHACH HANG'!$E$5:$R$2133,"2",'KHACH HANG'!$AD$5:$AD$6)</f>
        <v>14</v>
      </c>
      <c r="H8" s="126">
        <f>DSUM('KHACH HANG'!$E$5:$R$2133,"3",'KHACH HANG'!$AD$5:$AD$6)</f>
        <v>0</v>
      </c>
      <c r="I8" s="126">
        <f>DSUM('KHACH HANG'!$E$5:$R$2133,"4",'KHACH HANG'!$AD$5:$AD$6)</f>
        <v>0</v>
      </c>
      <c r="J8" s="126">
        <f>DSUM('KHACH HANG'!$E$5:$R$2133,"5",'KHACH HANG'!$AD$5:$AD$6)</f>
        <v>0</v>
      </c>
      <c r="K8" s="122">
        <f>DSUM('KHACH HANG'!$E$5:$R$2133,"6",'KHACH HANG'!$AD$5:$AD$6)</f>
        <v>0</v>
      </c>
      <c r="L8" s="122">
        <f>DSUM('KHACH HANG'!$E$5:$R$2133,"7",'KHACH HANG'!$AD$5:$AD$6)</f>
        <v>0</v>
      </c>
      <c r="M8" s="122">
        <f>DSUM('KHACH HANG'!$E$5:$R$2133,"8",'KHACH HANG'!$AD$5:$AD$6)</f>
        <v>0</v>
      </c>
      <c r="N8" s="122">
        <f>DSUM('KHACH HANG'!$E$5:$R$2133,"9",'KHACH HANG'!$AD$5:$AD$6)</f>
        <v>0</v>
      </c>
      <c r="O8" s="122">
        <f>DSUM('KHACH HANG'!$E$5:$R$2133,"10",'KHACH HANG'!$AD$5:$AD$6)</f>
        <v>0</v>
      </c>
      <c r="P8" s="122">
        <f>DSUM('KHACH HANG'!$E$5:$R$2133,"11",'KHACH HANG'!$AD$5:$AD$6)</f>
        <v>0</v>
      </c>
      <c r="Q8" s="122">
        <f>DSUM('KHACH HANG'!$E$5:$R$2133,"12",'KHACH HANG'!$AD$5:$AD$6)</f>
        <v>8</v>
      </c>
      <c r="R8" s="123">
        <f t="shared" si="3"/>
        <v>36</v>
      </c>
      <c r="S8" s="6"/>
      <c r="T8" t="s">
        <v>47</v>
      </c>
      <c r="U8">
        <v>5</v>
      </c>
      <c r="V8">
        <v>6</v>
      </c>
      <c r="W8" t="s">
        <v>42</v>
      </c>
      <c r="X8" t="str">
        <f t="shared" si="8"/>
        <v>DSUM('NHAN VIEN'!$E$5:$Q$2133,"2"</v>
      </c>
      <c r="Y8" t="str">
        <f t="shared" si="9"/>
        <v>DSUM('NHAN VIEN'!$E$5:$Q$2133,"3"</v>
      </c>
      <c r="Z8" t="str">
        <f t="shared" si="10"/>
        <v>DSUM('NHAN VIEN'!$E$5:$Q$2133,"4"</v>
      </c>
      <c r="AA8" t="str">
        <f t="shared" si="11"/>
        <v>DSUM('NHAN VIEN'!$E$5:$Q$2133,"5"</v>
      </c>
      <c r="AB8" t="str">
        <f t="shared" si="12"/>
        <v>DSUM('NHAN VIEN'!$E$5:$Q$2133,"6"</v>
      </c>
      <c r="AC8" t="str">
        <f t="shared" si="13"/>
        <v>DSUM('NHAN VIEN'!$E$5:$Q$2133,"7"</v>
      </c>
      <c r="AD8" t="str">
        <f t="shared" si="14"/>
        <v>DSUM('NHAN VIEN'!$E$5:$Q$2133,"8"</v>
      </c>
      <c r="AE8" t="str">
        <f t="shared" si="15"/>
        <v>DSUM('NHAN VIEN'!$E$5:$Q$2133,"9"</v>
      </c>
      <c r="AF8" t="str">
        <f t="shared" si="16"/>
        <v>DSUM('NHAN VIEN'!$E$5:$Q$2133,"10"</v>
      </c>
      <c r="AG8" t="str">
        <f t="shared" si="17"/>
        <v>DSUM('NHAN VIEN'!$E$5:$Q$2133,"11"</v>
      </c>
      <c r="AH8" t="str">
        <f t="shared" si="18"/>
        <v>DSUM('NHAN VIEN'!$E$5:$Q$2133,"12"</v>
      </c>
      <c r="AI8" t="str">
        <f t="shared" si="33"/>
        <v>DSUM('NHAN VIEN'!$E$5:$Q$2133,"1",'NHAN VIEN'!$AC$5:$AC$6)</v>
      </c>
      <c r="AJ8" t="str">
        <f t="shared" si="20"/>
        <v>DSUM('NHAN VIEN'!$E$5:$Q$2133,"2",'NHAN VIEN'!$AC$5:$AC$6)</v>
      </c>
      <c r="AK8" t="str">
        <f t="shared" si="21"/>
        <v>DSUM('NHAN VIEN'!$E$5:$Q$2133,"3",'NHAN VIEN'!$AC$5:$AC$6)</v>
      </c>
      <c r="AL8" t="str">
        <f t="shared" si="22"/>
        <v>DSUM('NHAN VIEN'!$E$5:$Q$2133,"4",'NHAN VIEN'!$AC$5:$AC$6)</v>
      </c>
      <c r="AM8" t="str">
        <f t="shared" si="23"/>
        <v>DSUM('NHAN VIEN'!$E$5:$Q$2133,"5",'NHAN VIEN'!$AC$5:$AC$6)</v>
      </c>
      <c r="AN8" t="str">
        <f t="shared" si="24"/>
        <v>DSUM('NHAN VIEN'!$E$5:$Q$2133,"6",'NHAN VIEN'!$AC$5:$AC$6)</v>
      </c>
      <c r="AO8" t="str">
        <f t="shared" si="25"/>
        <v>DSUM('NHAN VIEN'!$E$5:$Q$2133,"7",'NHAN VIEN'!$AC$5:$AC$6)</v>
      </c>
      <c r="AP8" t="str">
        <f t="shared" si="26"/>
        <v>DSUM('NHAN VIEN'!$E$5:$Q$2133,"8",'NHAN VIEN'!$AC$5:$AC$6)</v>
      </c>
      <c r="AQ8" t="str">
        <f t="shared" si="27"/>
        <v>DSUM('NHAN VIEN'!$E$5:$Q$2133,"9",'NHAN VIEN'!$AC$5:$AC$6)</v>
      </c>
      <c r="AR8" t="str">
        <f t="shared" si="28"/>
        <v>DSUM('NHAN VIEN'!$E$5:$Q$2133,"10",'NHAN VIEN'!$AC$5:$AC$6)</v>
      </c>
      <c r="AS8" t="str">
        <f t="shared" si="29"/>
        <v>DSUM('NHAN VIEN'!$E$5:$Q$2133,"11",'NHAN VIEN'!$AC$5:$AC$6)</v>
      </c>
      <c r="AT8" t="str">
        <f t="shared" si="30"/>
        <v>DSUM('NHAN VIEN'!$E$5:$Q$2133,"12",'NHAN VIEN'!$AC$5:$AC$6)</v>
      </c>
      <c r="AU8"/>
      <c r="AV8" t="str">
        <f t="shared" si="31"/>
        <v>'NHAN VIEN'!$AC$5:$AC$6</v>
      </c>
      <c r="AY8" s="103" t="str">
        <f t="shared" si="32"/>
        <v>=DSUM('NHAN VIEN'!$E$5:$Q$2133,"1",'NHAN VIEN'!$AC$5:$AC$6)</v>
      </c>
      <c r="AZ8" s="103" t="str">
        <f t="shared" si="5"/>
        <v>=DSUM('NHAN VIEN'!$E$5:$Q$2133,"2",'NHAN VIEN'!$AC$5:$AC$6)</v>
      </c>
      <c r="BA8" s="103" t="str">
        <f t="shared" si="5"/>
        <v>=DSUM('NHAN VIEN'!$E$5:$Q$2133,"3",'NHAN VIEN'!$AC$5:$AC$6)</v>
      </c>
      <c r="BB8" s="103" t="str">
        <f t="shared" si="5"/>
        <v>=DSUM('NHAN VIEN'!$E$5:$Q$2133,"4",'NHAN VIEN'!$AC$5:$AC$6)</v>
      </c>
      <c r="BC8" s="103" t="str">
        <f t="shared" si="5"/>
        <v>=DSUM('NHAN VIEN'!$E$5:$Q$2133,"5",'NHAN VIEN'!$AC$5:$AC$6)</v>
      </c>
      <c r="BD8" s="103" t="str">
        <f t="shared" si="5"/>
        <v>=DSUM('NHAN VIEN'!$E$5:$Q$2133,"6",'NHAN VIEN'!$AC$5:$AC$6)</v>
      </c>
      <c r="BE8" s="103" t="str">
        <f t="shared" si="5"/>
        <v>=DSUM('NHAN VIEN'!$E$5:$Q$2133,"7",'NHAN VIEN'!$AC$5:$AC$6)</v>
      </c>
      <c r="BF8" s="103" t="str">
        <f t="shared" si="5"/>
        <v>=DSUM('NHAN VIEN'!$E$5:$Q$2133,"8",'NHAN VIEN'!$AC$5:$AC$6)</v>
      </c>
      <c r="BG8" s="103" t="str">
        <f t="shared" si="5"/>
        <v>=DSUM('NHAN VIEN'!$E$5:$Q$2133,"9",'NHAN VIEN'!$AC$5:$AC$6)</v>
      </c>
      <c r="BH8" s="103" t="str">
        <f t="shared" si="5"/>
        <v>=DSUM('NHAN VIEN'!$E$5:$Q$2133,"10",'NHAN VIEN'!$AC$5:$AC$6)</v>
      </c>
      <c r="BI8" s="103" t="str">
        <f t="shared" si="5"/>
        <v>=DSUM('NHAN VIEN'!$E$5:$Q$2133,"11",'NHAN VIEN'!$AC$5:$AC$6)</v>
      </c>
      <c r="BJ8" s="103" t="str">
        <f t="shared" si="5"/>
        <v>=DSUM('NHAN VIEN'!$E$5:$Q$2133,"12",'NHAN VIEN'!$AC$5:$AC$6)</v>
      </c>
      <c r="BR8" s="124">
        <f>R8-'KHACH HANG'!S11</f>
        <v>36</v>
      </c>
    </row>
    <row r="9" ht="18" spans="1:70">
      <c r="A9" s="125"/>
      <c r="B9" s="118">
        <f t="shared" si="6"/>
        <v>7</v>
      </c>
      <c r="C9" s="119" t="str">
        <f>VLOOKUP(B9,DMSP!$A$1:$C$39,2,0)</f>
        <v>3.SPRAY </v>
      </c>
      <c r="D9" s="120" t="str">
        <f>VLOOKUP(B9,DMSP!$A$1:$C$39,3,0)</f>
        <v>SI-K</v>
      </c>
      <c r="E9" s="121">
        <f t="shared" si="7"/>
        <v>127</v>
      </c>
      <c r="F9" s="122">
        <f>DSUM('KHACH HANG'!$E$5:$R$2133,"1",'KHACH HANG'!$Y$7:$Y$8)</f>
        <v>0</v>
      </c>
      <c r="G9" s="126">
        <f>DSUM('KHACH HANG'!$E$5:$R$2133,"2",'KHACH HANG'!$Y$7:$Y$8)</f>
        <v>0</v>
      </c>
      <c r="H9" s="126">
        <f>DSUM('KHACH HANG'!$E$5:$R$2133,"3",'KHACH HANG'!$Y$7:$Y$8)</f>
        <v>0</v>
      </c>
      <c r="I9" s="126">
        <f>DSUM('KHACH HANG'!$E$5:$R$2133,"4",'KHACH HANG'!$Y$7:$Y$8)</f>
        <v>0</v>
      </c>
      <c r="J9" s="126">
        <f>DSUM('KHACH HANG'!$E$5:$R$2133,"5",'KHACH HANG'!$Y$7:$Y$8)</f>
        <v>49</v>
      </c>
      <c r="K9" s="122">
        <f>DSUM('KHACH HANG'!$E$5:$R$2133,"6",'KHACH HANG'!$Y$7:$Y$8)</f>
        <v>49</v>
      </c>
      <c r="L9" s="122">
        <f>DSUM('KHACH HANG'!$E$5:$R$2133,"7",'KHACH HANG'!$Y$7:$Y$8)</f>
        <v>5</v>
      </c>
      <c r="M9" s="122">
        <f>DSUM('KHACH HANG'!$E$5:$R$2133,"8",'KHACH HANG'!$Y$7:$Y$8)</f>
        <v>0</v>
      </c>
      <c r="N9" s="122">
        <f>DSUM('KHACH HANG'!$E$5:$R$2133,"9",'KHACH HANG'!$Y$7:$Y$8)</f>
        <v>0</v>
      </c>
      <c r="O9" s="122">
        <f>DSUM('KHACH HANG'!$E$5:$R$2133,"10",'KHACH HANG'!$Y$7:$Y$8)</f>
        <v>0</v>
      </c>
      <c r="P9" s="122">
        <f>DSUM('KHACH HANG'!$E$5:$R$2133,"11",'KHACH HANG'!$Y$7:$Y$8)</f>
        <v>5</v>
      </c>
      <c r="Q9" s="122">
        <f>DSUM('KHACH HANG'!$E$5:$R$2133,"12",'KHACH HANG'!$Y$7:$Y$8)</f>
        <v>19</v>
      </c>
      <c r="R9" s="123">
        <f t="shared" si="3"/>
        <v>127</v>
      </c>
      <c r="S9" s="6"/>
      <c r="T9" t="s">
        <v>41</v>
      </c>
      <c r="U9">
        <v>7</v>
      </c>
      <c r="V9">
        <v>8</v>
      </c>
      <c r="W9" t="s">
        <v>42</v>
      </c>
      <c r="X9" t="str">
        <f t="shared" si="8"/>
        <v>DSUM('NHAN VIEN'!$E$5:$Q$2133,"2"</v>
      </c>
      <c r="Y9" t="str">
        <f t="shared" si="9"/>
        <v>DSUM('NHAN VIEN'!$E$5:$Q$2133,"3"</v>
      </c>
      <c r="Z9" t="str">
        <f t="shared" si="10"/>
        <v>DSUM('NHAN VIEN'!$E$5:$Q$2133,"4"</v>
      </c>
      <c r="AA9" t="str">
        <f t="shared" si="11"/>
        <v>DSUM('NHAN VIEN'!$E$5:$Q$2133,"5"</v>
      </c>
      <c r="AB9" t="str">
        <f t="shared" si="12"/>
        <v>DSUM('NHAN VIEN'!$E$5:$Q$2133,"6"</v>
      </c>
      <c r="AC9" t="str">
        <f t="shared" si="13"/>
        <v>DSUM('NHAN VIEN'!$E$5:$Q$2133,"7"</v>
      </c>
      <c r="AD9" t="str">
        <f t="shared" si="14"/>
        <v>DSUM('NHAN VIEN'!$E$5:$Q$2133,"8"</v>
      </c>
      <c r="AE9" t="str">
        <f t="shared" si="15"/>
        <v>DSUM('NHAN VIEN'!$E$5:$Q$2133,"9"</v>
      </c>
      <c r="AF9" t="str">
        <f t="shared" si="16"/>
        <v>DSUM('NHAN VIEN'!$E$5:$Q$2133,"10"</v>
      </c>
      <c r="AG9" t="str">
        <f t="shared" si="17"/>
        <v>DSUM('NHAN VIEN'!$E$5:$Q$2133,"11"</v>
      </c>
      <c r="AH9" t="str">
        <f t="shared" si="18"/>
        <v>DSUM('NHAN VIEN'!$E$5:$Q$2133,"12"</v>
      </c>
      <c r="AI9" t="str">
        <f t="shared" si="33"/>
        <v>DSUM('NHAN VIEN'!$E$5:$Q$2133,"1",'NHAN VIEN'!$X$7:$X$8)</v>
      </c>
      <c r="AJ9" t="str">
        <f t="shared" si="20"/>
        <v>DSUM('NHAN VIEN'!$E$5:$Q$2133,"2",'NHAN VIEN'!$X$7:$X$8)</v>
      </c>
      <c r="AK9" t="str">
        <f t="shared" si="21"/>
        <v>DSUM('NHAN VIEN'!$E$5:$Q$2133,"3",'NHAN VIEN'!$X$7:$X$8)</v>
      </c>
      <c r="AL9" t="str">
        <f t="shared" si="22"/>
        <v>DSUM('NHAN VIEN'!$E$5:$Q$2133,"4",'NHAN VIEN'!$X$7:$X$8)</v>
      </c>
      <c r="AM9" t="str">
        <f t="shared" si="23"/>
        <v>DSUM('NHAN VIEN'!$E$5:$Q$2133,"5",'NHAN VIEN'!$X$7:$X$8)</v>
      </c>
      <c r="AN9" t="str">
        <f t="shared" si="24"/>
        <v>DSUM('NHAN VIEN'!$E$5:$Q$2133,"6",'NHAN VIEN'!$X$7:$X$8)</v>
      </c>
      <c r="AO9" t="str">
        <f t="shared" si="25"/>
        <v>DSUM('NHAN VIEN'!$E$5:$Q$2133,"7",'NHAN VIEN'!$X$7:$X$8)</v>
      </c>
      <c r="AP9" t="str">
        <f t="shared" si="26"/>
        <v>DSUM('NHAN VIEN'!$E$5:$Q$2133,"8",'NHAN VIEN'!$X$7:$X$8)</v>
      </c>
      <c r="AQ9" t="str">
        <f t="shared" si="27"/>
        <v>DSUM('NHAN VIEN'!$E$5:$Q$2133,"9",'NHAN VIEN'!$X$7:$X$8)</v>
      </c>
      <c r="AR9" t="str">
        <f t="shared" si="28"/>
        <v>DSUM('NHAN VIEN'!$E$5:$Q$2133,"10",'NHAN VIEN'!$X$7:$X$8)</v>
      </c>
      <c r="AS9" t="str">
        <f t="shared" si="29"/>
        <v>DSUM('NHAN VIEN'!$E$5:$Q$2133,"11",'NHAN VIEN'!$X$7:$X$8)</v>
      </c>
      <c r="AT9" t="str">
        <f t="shared" si="30"/>
        <v>DSUM('NHAN VIEN'!$E$5:$Q$2133,"12",'NHAN VIEN'!$X$7:$X$8)</v>
      </c>
      <c r="AU9"/>
      <c r="AV9" t="str">
        <f t="shared" si="31"/>
        <v>'NHAN VIEN'!$X$7:$X$8</v>
      </c>
      <c r="AY9" s="103" t="str">
        <f t="shared" si="32"/>
        <v>=DSUM('NHAN VIEN'!$E$5:$Q$2133,"1",'NHAN VIEN'!$X$7:$X$8)</v>
      </c>
      <c r="AZ9" s="103" t="str">
        <f t="shared" si="5"/>
        <v>=DSUM('NHAN VIEN'!$E$5:$Q$2133,"2",'NHAN VIEN'!$X$7:$X$8)</v>
      </c>
      <c r="BA9" s="103" t="str">
        <f t="shared" si="5"/>
        <v>=DSUM('NHAN VIEN'!$E$5:$Q$2133,"3",'NHAN VIEN'!$X$7:$X$8)</v>
      </c>
      <c r="BB9" s="103" t="str">
        <f t="shared" si="5"/>
        <v>=DSUM('NHAN VIEN'!$E$5:$Q$2133,"4",'NHAN VIEN'!$X$7:$X$8)</v>
      </c>
      <c r="BC9" s="103" t="str">
        <f t="shared" si="5"/>
        <v>=DSUM('NHAN VIEN'!$E$5:$Q$2133,"5",'NHAN VIEN'!$X$7:$X$8)</v>
      </c>
      <c r="BD9" s="103" t="str">
        <f t="shared" si="5"/>
        <v>=DSUM('NHAN VIEN'!$E$5:$Q$2133,"6",'NHAN VIEN'!$X$7:$X$8)</v>
      </c>
      <c r="BE9" s="103" t="str">
        <f t="shared" si="5"/>
        <v>=DSUM('NHAN VIEN'!$E$5:$Q$2133,"7",'NHAN VIEN'!$X$7:$X$8)</v>
      </c>
      <c r="BF9" s="103" t="str">
        <f t="shared" si="5"/>
        <v>=DSUM('NHAN VIEN'!$E$5:$Q$2133,"8",'NHAN VIEN'!$X$7:$X$8)</v>
      </c>
      <c r="BG9" s="103" t="str">
        <f t="shared" si="5"/>
        <v>=DSUM('NHAN VIEN'!$E$5:$Q$2133,"9",'NHAN VIEN'!$X$7:$X$8)</v>
      </c>
      <c r="BH9" s="103" t="str">
        <f t="shared" si="5"/>
        <v>=DSUM('NHAN VIEN'!$E$5:$Q$2133,"10",'NHAN VIEN'!$X$7:$X$8)</v>
      </c>
      <c r="BI9" s="103" t="str">
        <f t="shared" si="5"/>
        <v>=DSUM('NHAN VIEN'!$E$5:$Q$2133,"11",'NHAN VIEN'!$X$7:$X$8)</v>
      </c>
      <c r="BJ9" s="103" t="str">
        <f t="shared" si="5"/>
        <v>=DSUM('NHAN VIEN'!$E$5:$Q$2133,"12",'NHAN VIEN'!$X$7:$X$8)</v>
      </c>
      <c r="BR9" s="124">
        <f>R9-'KHACH HANG'!S12</f>
        <v>53</v>
      </c>
    </row>
    <row r="10" ht="18" spans="1:70">
      <c r="A10" s="125"/>
      <c r="B10" s="118">
        <f t="shared" si="6"/>
        <v>8</v>
      </c>
      <c r="C10" s="119" t="str">
        <f>VLOOKUP(B10,DMSP!$A$1:$C$39,2,0)</f>
        <v>3.SPRAY </v>
      </c>
      <c r="D10" s="120" t="str">
        <f>VLOOKUP(B10,DMSP!$A$1:$C$39,3,0)</f>
        <v>SPRAY PHOS 620</v>
      </c>
      <c r="E10" s="121">
        <f t="shared" si="7"/>
        <v>240</v>
      </c>
      <c r="F10" s="122">
        <f>DSUM('KHACH HANG'!$E$5:$R$2133,"1",'KHACH HANG'!$Z$7:$Z$8)</f>
        <v>23</v>
      </c>
      <c r="G10" s="126">
        <f>DSUM('KHACH HANG'!$E$5:$R$2133,"2",'KHACH HANG'!$Z$7:$Z$8)</f>
        <v>0</v>
      </c>
      <c r="H10" s="126">
        <f>DSUM('KHACH HANG'!$E$5:$R$2133,"3",'KHACH HANG'!$Z$7:$Z$8)</f>
        <v>0</v>
      </c>
      <c r="I10" s="126">
        <f>DSUM('KHACH HANG'!$E$5:$R$2133,"4",'KHACH HANG'!$Z$7:$Z$8)</f>
        <v>86</v>
      </c>
      <c r="J10" s="126">
        <f>DSUM('KHACH HANG'!$E$5:$R$2133,"5",'KHACH HANG'!$Z$7:$Z$8)</f>
        <v>45</v>
      </c>
      <c r="K10" s="122">
        <f>DSUM('KHACH HANG'!$E$5:$R$2133,"6",'KHACH HANG'!$Z$7:$Z$8)</f>
        <v>0</v>
      </c>
      <c r="L10" s="122">
        <f>DSUM('KHACH HANG'!$E$5:$R$2133,"7",'KHACH HANG'!$Z$7:$Z$8)</f>
        <v>14</v>
      </c>
      <c r="M10" s="122">
        <f>DSUM('KHACH HANG'!$E$5:$R$2133,"8",'KHACH HANG'!$Z$7:$Z$8)</f>
        <v>0</v>
      </c>
      <c r="N10" s="122">
        <f>DSUM('KHACH HANG'!$E$5:$R$2133,"9",'KHACH HANG'!$Z$7:$Z$8)</f>
        <v>0</v>
      </c>
      <c r="O10" s="122">
        <f>DSUM('KHACH HANG'!$E$5:$R$2133,"10",'KHACH HANG'!$Z$7:$Z$8)</f>
        <v>14</v>
      </c>
      <c r="P10" s="122">
        <f>DSUM('KHACH HANG'!$E$5:$R$2133,"11",'KHACH HANG'!$Z$7:$Z$8)</f>
        <v>14</v>
      </c>
      <c r="Q10" s="122">
        <f>DSUM('KHACH HANG'!$E$5:$R$2133,"12",'KHACH HANG'!$Z$7:$Z$8)</f>
        <v>44</v>
      </c>
      <c r="R10" s="123">
        <f t="shared" si="3"/>
        <v>240</v>
      </c>
      <c r="S10" s="6"/>
      <c r="T10" t="s">
        <v>43</v>
      </c>
      <c r="U10">
        <v>7</v>
      </c>
      <c r="V10">
        <v>8</v>
      </c>
      <c r="W10" t="s">
        <v>42</v>
      </c>
      <c r="X10" t="str">
        <f t="shared" si="8"/>
        <v>DSUM('NHAN VIEN'!$E$5:$Q$2133,"2"</v>
      </c>
      <c r="Y10" t="str">
        <f t="shared" si="9"/>
        <v>DSUM('NHAN VIEN'!$E$5:$Q$2133,"3"</v>
      </c>
      <c r="Z10" t="str">
        <f t="shared" si="10"/>
        <v>DSUM('NHAN VIEN'!$E$5:$Q$2133,"4"</v>
      </c>
      <c r="AA10" t="str">
        <f t="shared" si="11"/>
        <v>DSUM('NHAN VIEN'!$E$5:$Q$2133,"5"</v>
      </c>
      <c r="AB10" t="str">
        <f t="shared" si="12"/>
        <v>DSUM('NHAN VIEN'!$E$5:$Q$2133,"6"</v>
      </c>
      <c r="AC10" t="str">
        <f t="shared" si="13"/>
        <v>DSUM('NHAN VIEN'!$E$5:$Q$2133,"7"</v>
      </c>
      <c r="AD10" t="str">
        <f t="shared" si="14"/>
        <v>DSUM('NHAN VIEN'!$E$5:$Q$2133,"8"</v>
      </c>
      <c r="AE10" t="str">
        <f t="shared" si="15"/>
        <v>DSUM('NHAN VIEN'!$E$5:$Q$2133,"9"</v>
      </c>
      <c r="AF10" t="str">
        <f t="shared" si="16"/>
        <v>DSUM('NHAN VIEN'!$E$5:$Q$2133,"10"</v>
      </c>
      <c r="AG10" t="str">
        <f t="shared" si="17"/>
        <v>DSUM('NHAN VIEN'!$E$5:$Q$2133,"11"</v>
      </c>
      <c r="AH10" t="str">
        <f t="shared" si="18"/>
        <v>DSUM('NHAN VIEN'!$E$5:$Q$2133,"12"</v>
      </c>
      <c r="AI10" t="str">
        <f t="shared" si="33"/>
        <v>DSUM('NHAN VIEN'!$E$5:$Q$2133,"1",'NHAN VIEN'!$Y$7:$Y$8)</v>
      </c>
      <c r="AJ10" t="str">
        <f t="shared" si="20"/>
        <v>DSUM('NHAN VIEN'!$E$5:$Q$2133,"2",'NHAN VIEN'!$Y$7:$Y$8)</v>
      </c>
      <c r="AK10" t="str">
        <f t="shared" si="21"/>
        <v>DSUM('NHAN VIEN'!$E$5:$Q$2133,"3",'NHAN VIEN'!$Y$7:$Y$8)</v>
      </c>
      <c r="AL10" t="str">
        <f t="shared" si="22"/>
        <v>DSUM('NHAN VIEN'!$E$5:$Q$2133,"4",'NHAN VIEN'!$Y$7:$Y$8)</v>
      </c>
      <c r="AM10" t="str">
        <f t="shared" si="23"/>
        <v>DSUM('NHAN VIEN'!$E$5:$Q$2133,"5",'NHAN VIEN'!$Y$7:$Y$8)</v>
      </c>
      <c r="AN10" t="str">
        <f t="shared" si="24"/>
        <v>DSUM('NHAN VIEN'!$E$5:$Q$2133,"6",'NHAN VIEN'!$Y$7:$Y$8)</v>
      </c>
      <c r="AO10" t="str">
        <f t="shared" si="25"/>
        <v>DSUM('NHAN VIEN'!$E$5:$Q$2133,"7",'NHAN VIEN'!$Y$7:$Y$8)</v>
      </c>
      <c r="AP10" t="str">
        <f t="shared" si="26"/>
        <v>DSUM('NHAN VIEN'!$E$5:$Q$2133,"8",'NHAN VIEN'!$Y$7:$Y$8)</v>
      </c>
      <c r="AQ10" t="str">
        <f t="shared" si="27"/>
        <v>DSUM('NHAN VIEN'!$E$5:$Q$2133,"9",'NHAN VIEN'!$Y$7:$Y$8)</v>
      </c>
      <c r="AR10" t="str">
        <f t="shared" si="28"/>
        <v>DSUM('NHAN VIEN'!$E$5:$Q$2133,"10",'NHAN VIEN'!$Y$7:$Y$8)</v>
      </c>
      <c r="AS10" t="str">
        <f t="shared" si="29"/>
        <v>DSUM('NHAN VIEN'!$E$5:$Q$2133,"11",'NHAN VIEN'!$Y$7:$Y$8)</v>
      </c>
      <c r="AT10" t="str">
        <f t="shared" si="30"/>
        <v>DSUM('NHAN VIEN'!$E$5:$Q$2133,"12",'NHAN VIEN'!$Y$7:$Y$8)</v>
      </c>
      <c r="AU10"/>
      <c r="AV10" t="str">
        <f t="shared" si="31"/>
        <v>'NHAN VIEN'!$Y$7:$Y$8</v>
      </c>
      <c r="AY10" s="103" t="str">
        <f t="shared" si="32"/>
        <v>=DSUM('NHAN VIEN'!$E$5:$Q$2133,"1",'NHAN VIEN'!$Y$7:$Y$8)</v>
      </c>
      <c r="AZ10" s="103" t="str">
        <f t="shared" si="5"/>
        <v>=DSUM('NHAN VIEN'!$E$5:$Q$2133,"2",'NHAN VIEN'!$Y$7:$Y$8)</v>
      </c>
      <c r="BA10" s="103" t="str">
        <f t="shared" si="5"/>
        <v>=DSUM('NHAN VIEN'!$E$5:$Q$2133,"3",'NHAN VIEN'!$Y$7:$Y$8)</v>
      </c>
      <c r="BB10" s="103" t="str">
        <f t="shared" si="5"/>
        <v>=DSUM('NHAN VIEN'!$E$5:$Q$2133,"4",'NHAN VIEN'!$Y$7:$Y$8)</v>
      </c>
      <c r="BC10" s="103" t="str">
        <f t="shared" si="5"/>
        <v>=DSUM('NHAN VIEN'!$E$5:$Q$2133,"5",'NHAN VIEN'!$Y$7:$Y$8)</v>
      </c>
      <c r="BD10" s="103" t="str">
        <f t="shared" si="5"/>
        <v>=DSUM('NHAN VIEN'!$E$5:$Q$2133,"6",'NHAN VIEN'!$Y$7:$Y$8)</v>
      </c>
      <c r="BE10" s="103" t="str">
        <f t="shared" si="5"/>
        <v>=DSUM('NHAN VIEN'!$E$5:$Q$2133,"7",'NHAN VIEN'!$Y$7:$Y$8)</v>
      </c>
      <c r="BF10" s="103" t="str">
        <f t="shared" si="5"/>
        <v>=DSUM('NHAN VIEN'!$E$5:$Q$2133,"8",'NHAN VIEN'!$Y$7:$Y$8)</v>
      </c>
      <c r="BG10" s="103" t="str">
        <f t="shared" si="5"/>
        <v>=DSUM('NHAN VIEN'!$E$5:$Q$2133,"9",'NHAN VIEN'!$Y$7:$Y$8)</v>
      </c>
      <c r="BH10" s="103" t="str">
        <f t="shared" si="5"/>
        <v>=DSUM('NHAN VIEN'!$E$5:$Q$2133,"10",'NHAN VIEN'!$Y$7:$Y$8)</v>
      </c>
      <c r="BI10" s="103" t="str">
        <f t="shared" si="5"/>
        <v>=DSUM('NHAN VIEN'!$E$5:$Q$2133,"11",'NHAN VIEN'!$Y$7:$Y$8)</v>
      </c>
      <c r="BJ10" s="103" t="str">
        <f t="shared" si="5"/>
        <v>=DSUM('NHAN VIEN'!$E$5:$Q$2133,"12",'NHAN VIEN'!$Y$7:$Y$8)</v>
      </c>
      <c r="BR10" s="124">
        <f>R10-'KHACH HANG'!S13</f>
        <v>217</v>
      </c>
    </row>
    <row r="11" ht="18" spans="1:70">
      <c r="A11" s="125"/>
      <c r="B11" s="118">
        <f t="shared" si="6"/>
        <v>9</v>
      </c>
      <c r="C11" s="119" t="str">
        <f>VLOOKUP(B11,DMSP!$A$1:$C$39,2,0)</f>
        <v>4.DƯỠNG RỄ</v>
      </c>
      <c r="D11" s="120" t="str">
        <f>VLOOKUP(B11,DMSP!$A$1:$C$39,3,0)</f>
        <v>CHITOSAN</v>
      </c>
      <c r="E11" s="121">
        <f t="shared" si="7"/>
        <v>0</v>
      </c>
      <c r="F11" s="122">
        <f>DSUM('KHACH HANG'!$E$5:$R$2133,"1",'KHACH HANG'!$AA$7:$AA$8)</f>
        <v>0</v>
      </c>
      <c r="G11" s="126">
        <f>DSUM('KHACH HANG'!$E$5:$R$2133,"2",'KHACH HANG'!$AA$7:$AA$8)</f>
        <v>0</v>
      </c>
      <c r="H11" s="126">
        <f>DSUM('KHACH HANG'!$E$5:$R$2133,"3",'KHACH HANG'!$AA$7:$AA$8)</f>
        <v>0</v>
      </c>
      <c r="I11" s="126">
        <f>DSUM('KHACH HANG'!$E$5:$R$2133,"4",'KHACH HANG'!$AA$7:$AA$8)</f>
        <v>0</v>
      </c>
      <c r="J11" s="126">
        <f>DSUM('KHACH HANG'!$E$5:$R$2133,"5",'KHACH HANG'!$AA$7:$AA$8)</f>
        <v>0</v>
      </c>
      <c r="K11" s="122">
        <f>DSUM('KHACH HANG'!$E$5:$R$2133,"6",'KHACH HANG'!$AA$7:$AA$8)</f>
        <v>0</v>
      </c>
      <c r="L11" s="122">
        <f>DSUM('KHACH HANG'!$E$5:$R$2133,"7",'KHACH HANG'!$AA$7:$AA$8)</f>
        <v>0</v>
      </c>
      <c r="M11" s="122">
        <f>DSUM('KHACH HANG'!$E$5:$R$2133,"8",'KHACH HANG'!$AA$7:$AA$8)</f>
        <v>0</v>
      </c>
      <c r="N11" s="122">
        <f>DSUM('KHACH HANG'!$E$5:$R$2133,"9",'KHACH HANG'!$AA$7:$AA$8)</f>
        <v>0</v>
      </c>
      <c r="O11" s="122">
        <f>DSUM('KHACH HANG'!$E$5:$R$2133,"10",'KHACH HANG'!$AA$7:$AA$8)</f>
        <v>0</v>
      </c>
      <c r="P11" s="122">
        <f>DSUM('KHACH HANG'!$E$5:$R$2133,"11",'KHACH HANG'!$AA$7:$AA$8)</f>
        <v>0</v>
      </c>
      <c r="Q11" s="122">
        <f>DSUM('KHACH HANG'!$E$5:$R$2133,"12",'KHACH HANG'!$AA$7:$AA$8)</f>
        <v>0</v>
      </c>
      <c r="R11" s="123">
        <f t="shared" si="3"/>
        <v>0</v>
      </c>
      <c r="S11" s="6"/>
      <c r="T11" t="s">
        <v>44</v>
      </c>
      <c r="U11">
        <v>7</v>
      </c>
      <c r="V11">
        <v>8</v>
      </c>
      <c r="W11" t="s">
        <v>42</v>
      </c>
      <c r="X11" t="str">
        <f t="shared" si="8"/>
        <v>DSUM('NHAN VIEN'!$E$5:$Q$2133,"2"</v>
      </c>
      <c r="Y11" t="str">
        <f t="shared" si="9"/>
        <v>DSUM('NHAN VIEN'!$E$5:$Q$2133,"3"</v>
      </c>
      <c r="Z11" t="str">
        <f t="shared" si="10"/>
        <v>DSUM('NHAN VIEN'!$E$5:$Q$2133,"4"</v>
      </c>
      <c r="AA11" t="str">
        <f t="shared" si="11"/>
        <v>DSUM('NHAN VIEN'!$E$5:$Q$2133,"5"</v>
      </c>
      <c r="AB11" t="str">
        <f t="shared" si="12"/>
        <v>DSUM('NHAN VIEN'!$E$5:$Q$2133,"6"</v>
      </c>
      <c r="AC11" t="str">
        <f t="shared" si="13"/>
        <v>DSUM('NHAN VIEN'!$E$5:$Q$2133,"7"</v>
      </c>
      <c r="AD11" t="str">
        <f t="shared" si="14"/>
        <v>DSUM('NHAN VIEN'!$E$5:$Q$2133,"8"</v>
      </c>
      <c r="AE11" t="str">
        <f t="shared" si="15"/>
        <v>DSUM('NHAN VIEN'!$E$5:$Q$2133,"9"</v>
      </c>
      <c r="AF11" t="str">
        <f t="shared" si="16"/>
        <v>DSUM('NHAN VIEN'!$E$5:$Q$2133,"10"</v>
      </c>
      <c r="AG11" t="str">
        <f t="shared" si="17"/>
        <v>DSUM('NHAN VIEN'!$E$5:$Q$2133,"11"</v>
      </c>
      <c r="AH11" t="str">
        <f t="shared" si="18"/>
        <v>DSUM('NHAN VIEN'!$E$5:$Q$2133,"12"</v>
      </c>
      <c r="AI11" t="str">
        <f t="shared" si="33"/>
        <v>DSUM('NHAN VIEN'!$E$5:$Q$2133,"1",'NHAN VIEN'!$Z$7:$Z$8)</v>
      </c>
      <c r="AJ11" t="str">
        <f t="shared" si="20"/>
        <v>DSUM('NHAN VIEN'!$E$5:$Q$2133,"2",'NHAN VIEN'!$Z$7:$Z$8)</v>
      </c>
      <c r="AK11" t="str">
        <f t="shared" si="21"/>
        <v>DSUM('NHAN VIEN'!$E$5:$Q$2133,"3",'NHAN VIEN'!$Z$7:$Z$8)</v>
      </c>
      <c r="AL11" t="str">
        <f t="shared" si="22"/>
        <v>DSUM('NHAN VIEN'!$E$5:$Q$2133,"4",'NHAN VIEN'!$Z$7:$Z$8)</v>
      </c>
      <c r="AM11" t="str">
        <f t="shared" si="23"/>
        <v>DSUM('NHAN VIEN'!$E$5:$Q$2133,"5",'NHAN VIEN'!$Z$7:$Z$8)</v>
      </c>
      <c r="AN11" t="str">
        <f t="shared" si="24"/>
        <v>DSUM('NHAN VIEN'!$E$5:$Q$2133,"6",'NHAN VIEN'!$Z$7:$Z$8)</v>
      </c>
      <c r="AO11" t="str">
        <f t="shared" si="25"/>
        <v>DSUM('NHAN VIEN'!$E$5:$Q$2133,"7",'NHAN VIEN'!$Z$7:$Z$8)</v>
      </c>
      <c r="AP11" t="str">
        <f t="shared" si="26"/>
        <v>DSUM('NHAN VIEN'!$E$5:$Q$2133,"8",'NHAN VIEN'!$Z$7:$Z$8)</v>
      </c>
      <c r="AQ11" t="str">
        <f t="shared" si="27"/>
        <v>DSUM('NHAN VIEN'!$E$5:$Q$2133,"9",'NHAN VIEN'!$Z$7:$Z$8)</v>
      </c>
      <c r="AR11" t="str">
        <f t="shared" si="28"/>
        <v>DSUM('NHAN VIEN'!$E$5:$Q$2133,"10",'NHAN VIEN'!$Z$7:$Z$8)</v>
      </c>
      <c r="AS11" t="str">
        <f t="shared" si="29"/>
        <v>DSUM('NHAN VIEN'!$E$5:$Q$2133,"11",'NHAN VIEN'!$Z$7:$Z$8)</v>
      </c>
      <c r="AT11" t="str">
        <f t="shared" si="30"/>
        <v>DSUM('NHAN VIEN'!$E$5:$Q$2133,"12",'NHAN VIEN'!$Z$7:$Z$8)</v>
      </c>
      <c r="AU11"/>
      <c r="AV11" t="str">
        <f t="shared" si="31"/>
        <v>'NHAN VIEN'!$Z$7:$Z$8</v>
      </c>
      <c r="AY11" s="103" t="str">
        <f t="shared" si="32"/>
        <v>=DSUM('NHAN VIEN'!$E$5:$Q$2133,"1",'NHAN VIEN'!$Z$7:$Z$8)</v>
      </c>
      <c r="AZ11" s="103" t="str">
        <f t="shared" si="5"/>
        <v>=DSUM('NHAN VIEN'!$E$5:$Q$2133,"2",'NHAN VIEN'!$Z$7:$Z$8)</v>
      </c>
      <c r="BA11" s="103" t="str">
        <f t="shared" si="5"/>
        <v>=DSUM('NHAN VIEN'!$E$5:$Q$2133,"3",'NHAN VIEN'!$Z$7:$Z$8)</v>
      </c>
      <c r="BB11" s="103" t="str">
        <f t="shared" si="5"/>
        <v>=DSUM('NHAN VIEN'!$E$5:$Q$2133,"4",'NHAN VIEN'!$Z$7:$Z$8)</v>
      </c>
      <c r="BC11" s="103" t="str">
        <f t="shared" si="5"/>
        <v>=DSUM('NHAN VIEN'!$E$5:$Q$2133,"5",'NHAN VIEN'!$Z$7:$Z$8)</v>
      </c>
      <c r="BD11" s="103" t="str">
        <f t="shared" si="5"/>
        <v>=DSUM('NHAN VIEN'!$E$5:$Q$2133,"6",'NHAN VIEN'!$Z$7:$Z$8)</v>
      </c>
      <c r="BE11" s="103" t="str">
        <f t="shared" si="5"/>
        <v>=DSUM('NHAN VIEN'!$E$5:$Q$2133,"7",'NHAN VIEN'!$Z$7:$Z$8)</v>
      </c>
      <c r="BF11" s="103" t="str">
        <f t="shared" si="5"/>
        <v>=DSUM('NHAN VIEN'!$E$5:$Q$2133,"8",'NHAN VIEN'!$Z$7:$Z$8)</v>
      </c>
      <c r="BG11" s="103" t="str">
        <f t="shared" si="5"/>
        <v>=DSUM('NHAN VIEN'!$E$5:$Q$2133,"9",'NHAN VIEN'!$Z$7:$Z$8)</v>
      </c>
      <c r="BH11" s="103" t="str">
        <f t="shared" si="5"/>
        <v>=DSUM('NHAN VIEN'!$E$5:$Q$2133,"10",'NHAN VIEN'!$Z$7:$Z$8)</v>
      </c>
      <c r="BI11" s="103" t="str">
        <f t="shared" si="5"/>
        <v>=DSUM('NHAN VIEN'!$E$5:$Q$2133,"11",'NHAN VIEN'!$Z$7:$Z$8)</v>
      </c>
      <c r="BJ11" s="103" t="str">
        <f t="shared" si="5"/>
        <v>=DSUM('NHAN VIEN'!$E$5:$Q$2133,"12",'NHAN VIEN'!$Z$7:$Z$8)</v>
      </c>
      <c r="BR11" s="124">
        <f>R11-'KHACH HANG'!S14</f>
        <v>0</v>
      </c>
    </row>
    <row r="12" ht="18" spans="1:70">
      <c r="A12" s="125"/>
      <c r="B12" s="118">
        <f t="shared" si="6"/>
        <v>10</v>
      </c>
      <c r="C12" s="119" t="str">
        <f>VLOOKUP(B12,DMSP!$A$1:$C$39,2,0)</f>
        <v>4.DƯỠNG RỄ</v>
      </c>
      <c r="D12" s="120" t="str">
        <f>VLOOKUP(B12,DMSP!$A$1:$C$39,3,0)</f>
        <v>ĐẠM CÁ</v>
      </c>
      <c r="E12" s="121">
        <f t="shared" si="7"/>
        <v>0</v>
      </c>
      <c r="F12" s="122">
        <f>DSUM('KHACH HANG'!$E$5:$R$2133,"1",'KHACH HANG'!$AB$7:$AB$8)</f>
        <v>0</v>
      </c>
      <c r="G12" s="126">
        <f>DSUM('KHACH HANG'!$E$5:$R$2133,"2",'KHACH HANG'!$AB$7:$AB$8)</f>
        <v>0</v>
      </c>
      <c r="H12" s="126">
        <f>DSUM('KHACH HANG'!$E$5:$R$2133,"3",'KHACH HANG'!$AB$7:$AB$8)</f>
        <v>0</v>
      </c>
      <c r="I12" s="126">
        <f>DSUM('KHACH HANG'!$E$5:$R$2133,"4",'KHACH HANG'!$AB$7:$AB$8)</f>
        <v>0</v>
      </c>
      <c r="J12" s="126">
        <f>DSUM('KHACH HANG'!$E$5:$R$2133,"5",'KHACH HANG'!$AB$7:$AB$8)</f>
        <v>0</v>
      </c>
      <c r="K12" s="122">
        <f>DSUM('KHACH HANG'!$E$5:$R$2133,"6",'KHACH HANG'!$AB$7:$AB$8)</f>
        <v>0</v>
      </c>
      <c r="L12" s="122">
        <f>DSUM('KHACH HANG'!$E$5:$R$2133,"7",'KHACH HANG'!$AB$7:$AB$8)</f>
        <v>0</v>
      </c>
      <c r="M12" s="122">
        <f>DSUM('KHACH HANG'!$E$5:$R$2133,"8",'KHACH HANG'!$AB$7:$AB$8)</f>
        <v>0</v>
      </c>
      <c r="N12" s="122">
        <f>DSUM('KHACH HANG'!$E$5:$R$2133,"9",'KHACH HANG'!$AB$7:$AB$8)</f>
        <v>0</v>
      </c>
      <c r="O12" s="122">
        <f>DSUM('KHACH HANG'!$E$5:$R$2133,"10",'KHACH HANG'!$AB$7:$AB$8)</f>
        <v>0</v>
      </c>
      <c r="P12" s="122">
        <f>DSUM('KHACH HANG'!$E$5:$R$2133,"11",'KHACH HANG'!$AB$7:$AB$8)</f>
        <v>0</v>
      </c>
      <c r="Q12" s="122">
        <f>DSUM('KHACH HANG'!$E$5:$R$2133,"12",'KHACH HANG'!$AB$7:$AB$8)</f>
        <v>0</v>
      </c>
      <c r="R12" s="123">
        <f t="shared" si="3"/>
        <v>0</v>
      </c>
      <c r="S12" s="6"/>
      <c r="T12" t="s">
        <v>45</v>
      </c>
      <c r="U12">
        <v>7</v>
      </c>
      <c r="V12">
        <v>8</v>
      </c>
      <c r="W12" t="s">
        <v>42</v>
      </c>
      <c r="X12" t="str">
        <f t="shared" si="8"/>
        <v>DSUM('NHAN VIEN'!$E$5:$Q$2133,"2"</v>
      </c>
      <c r="Y12" t="str">
        <f t="shared" si="9"/>
        <v>DSUM('NHAN VIEN'!$E$5:$Q$2133,"3"</v>
      </c>
      <c r="Z12" t="str">
        <f t="shared" si="10"/>
        <v>DSUM('NHAN VIEN'!$E$5:$Q$2133,"4"</v>
      </c>
      <c r="AA12" t="str">
        <f t="shared" si="11"/>
        <v>DSUM('NHAN VIEN'!$E$5:$Q$2133,"5"</v>
      </c>
      <c r="AB12" t="str">
        <f t="shared" si="12"/>
        <v>DSUM('NHAN VIEN'!$E$5:$Q$2133,"6"</v>
      </c>
      <c r="AC12" t="str">
        <f t="shared" si="13"/>
        <v>DSUM('NHAN VIEN'!$E$5:$Q$2133,"7"</v>
      </c>
      <c r="AD12" t="str">
        <f t="shared" si="14"/>
        <v>DSUM('NHAN VIEN'!$E$5:$Q$2133,"8"</v>
      </c>
      <c r="AE12" t="str">
        <f t="shared" si="15"/>
        <v>DSUM('NHAN VIEN'!$E$5:$Q$2133,"9"</v>
      </c>
      <c r="AF12" t="str">
        <f t="shared" si="16"/>
        <v>DSUM('NHAN VIEN'!$E$5:$Q$2133,"10"</v>
      </c>
      <c r="AG12" t="str">
        <f t="shared" si="17"/>
        <v>DSUM('NHAN VIEN'!$E$5:$Q$2133,"11"</v>
      </c>
      <c r="AH12" t="str">
        <f t="shared" si="18"/>
        <v>DSUM('NHAN VIEN'!$E$5:$Q$2133,"12"</v>
      </c>
      <c r="AI12" t="str">
        <f t="shared" si="33"/>
        <v>DSUM('NHAN VIEN'!$E$5:$Q$2133,"1",'NHAN VIEN'!$AA$7:$AA$8)</v>
      </c>
      <c r="AJ12" t="str">
        <f t="shared" si="20"/>
        <v>DSUM('NHAN VIEN'!$E$5:$Q$2133,"2",'NHAN VIEN'!$AA$7:$AA$8)</v>
      </c>
      <c r="AK12" t="str">
        <f t="shared" si="21"/>
        <v>DSUM('NHAN VIEN'!$E$5:$Q$2133,"3",'NHAN VIEN'!$AA$7:$AA$8)</v>
      </c>
      <c r="AL12" t="str">
        <f t="shared" si="22"/>
        <v>DSUM('NHAN VIEN'!$E$5:$Q$2133,"4",'NHAN VIEN'!$AA$7:$AA$8)</v>
      </c>
      <c r="AM12" t="str">
        <f t="shared" si="23"/>
        <v>DSUM('NHAN VIEN'!$E$5:$Q$2133,"5",'NHAN VIEN'!$AA$7:$AA$8)</v>
      </c>
      <c r="AN12" t="str">
        <f t="shared" si="24"/>
        <v>DSUM('NHAN VIEN'!$E$5:$Q$2133,"6",'NHAN VIEN'!$AA$7:$AA$8)</v>
      </c>
      <c r="AO12" t="str">
        <f t="shared" si="25"/>
        <v>DSUM('NHAN VIEN'!$E$5:$Q$2133,"7",'NHAN VIEN'!$AA$7:$AA$8)</v>
      </c>
      <c r="AP12" t="str">
        <f t="shared" si="26"/>
        <v>DSUM('NHAN VIEN'!$E$5:$Q$2133,"8",'NHAN VIEN'!$AA$7:$AA$8)</v>
      </c>
      <c r="AQ12" t="str">
        <f t="shared" si="27"/>
        <v>DSUM('NHAN VIEN'!$E$5:$Q$2133,"9",'NHAN VIEN'!$AA$7:$AA$8)</v>
      </c>
      <c r="AR12" t="str">
        <f t="shared" si="28"/>
        <v>DSUM('NHAN VIEN'!$E$5:$Q$2133,"10",'NHAN VIEN'!$AA$7:$AA$8)</v>
      </c>
      <c r="AS12" t="str">
        <f t="shared" si="29"/>
        <v>DSUM('NHAN VIEN'!$E$5:$Q$2133,"11",'NHAN VIEN'!$AA$7:$AA$8)</v>
      </c>
      <c r="AT12" t="str">
        <f t="shared" si="30"/>
        <v>DSUM('NHAN VIEN'!$E$5:$Q$2133,"12",'NHAN VIEN'!$AA$7:$AA$8)</v>
      </c>
      <c r="AU12"/>
      <c r="AV12" t="str">
        <f t="shared" si="31"/>
        <v>'NHAN VIEN'!$AA$7:$AA$8</v>
      </c>
      <c r="AY12" s="103" t="str">
        <f t="shared" si="32"/>
        <v>=DSUM('NHAN VIEN'!$E$5:$Q$2133,"1",'NHAN VIEN'!$AA$7:$AA$8)</v>
      </c>
      <c r="AZ12" s="103" t="str">
        <f t="shared" si="5"/>
        <v>=DSUM('NHAN VIEN'!$E$5:$Q$2133,"2",'NHAN VIEN'!$AA$7:$AA$8)</v>
      </c>
      <c r="BA12" s="103" t="str">
        <f t="shared" si="5"/>
        <v>=DSUM('NHAN VIEN'!$E$5:$Q$2133,"3",'NHAN VIEN'!$AA$7:$AA$8)</v>
      </c>
      <c r="BB12" s="103" t="str">
        <f t="shared" si="5"/>
        <v>=DSUM('NHAN VIEN'!$E$5:$Q$2133,"4",'NHAN VIEN'!$AA$7:$AA$8)</v>
      </c>
      <c r="BC12" s="103" t="str">
        <f t="shared" si="5"/>
        <v>=DSUM('NHAN VIEN'!$E$5:$Q$2133,"5",'NHAN VIEN'!$AA$7:$AA$8)</v>
      </c>
      <c r="BD12" s="103" t="str">
        <f t="shared" si="5"/>
        <v>=DSUM('NHAN VIEN'!$E$5:$Q$2133,"6",'NHAN VIEN'!$AA$7:$AA$8)</v>
      </c>
      <c r="BE12" s="103" t="str">
        <f t="shared" si="5"/>
        <v>=DSUM('NHAN VIEN'!$E$5:$Q$2133,"7",'NHAN VIEN'!$AA$7:$AA$8)</v>
      </c>
      <c r="BF12" s="103" t="str">
        <f t="shared" si="5"/>
        <v>=DSUM('NHAN VIEN'!$E$5:$Q$2133,"8",'NHAN VIEN'!$AA$7:$AA$8)</v>
      </c>
      <c r="BG12" s="103" t="str">
        <f t="shared" si="5"/>
        <v>=DSUM('NHAN VIEN'!$E$5:$Q$2133,"9",'NHAN VIEN'!$AA$7:$AA$8)</v>
      </c>
      <c r="BH12" s="103" t="str">
        <f t="shared" si="5"/>
        <v>=DSUM('NHAN VIEN'!$E$5:$Q$2133,"10",'NHAN VIEN'!$AA$7:$AA$8)</v>
      </c>
      <c r="BI12" s="103" t="str">
        <f t="shared" si="5"/>
        <v>=DSUM('NHAN VIEN'!$E$5:$Q$2133,"11",'NHAN VIEN'!$AA$7:$AA$8)</v>
      </c>
      <c r="BJ12" s="103" t="str">
        <f t="shared" si="5"/>
        <v>=DSUM('NHAN VIEN'!$E$5:$Q$2133,"12",'NHAN VIEN'!$AA$7:$AA$8)</v>
      </c>
      <c r="BR12" s="124">
        <f>R12-'KHACH HANG'!S15</f>
        <v>0</v>
      </c>
    </row>
    <row r="13" ht="18" spans="1:70">
      <c r="A13" s="125"/>
      <c r="B13" s="118">
        <f t="shared" si="6"/>
        <v>11</v>
      </c>
      <c r="C13" s="119" t="str">
        <f>VLOOKUP(B13,DMSP!$A$1:$C$39,2,0)</f>
        <v>4.DƯỠNG RỄ</v>
      </c>
      <c r="D13" s="120" t="str">
        <f>VLOOKUP(B13,DMSP!$A$1:$C$39,3,0)</f>
        <v>ĐẠM TÔM</v>
      </c>
      <c r="E13" s="121">
        <f t="shared" si="7"/>
        <v>0</v>
      </c>
      <c r="F13" s="122">
        <f>DSUM('KHACH HANG'!$E$5:$R$2133,"1",'KHACH HANG'!$AC$7:$AC$8)</f>
        <v>0</v>
      </c>
      <c r="G13" s="126">
        <f>DSUM('KHACH HANG'!$E$5:$R$2133,"2",'KHACH HANG'!$AC$7:$AC$8)</f>
        <v>0</v>
      </c>
      <c r="H13" s="126">
        <f>DSUM('KHACH HANG'!$E$5:$R$2133,"3",'KHACH HANG'!$AC$7:$AC$8)</f>
        <v>0</v>
      </c>
      <c r="I13" s="126">
        <f>DSUM('KHACH HANG'!$E$5:$R$2133,"4",'KHACH HANG'!$AC$7:$AC$8)</f>
        <v>0</v>
      </c>
      <c r="J13" s="126">
        <f>DSUM('KHACH HANG'!$E$5:$R$2133,"5",'KHACH HANG'!$AC$7:$AC$8)</f>
        <v>0</v>
      </c>
      <c r="K13" s="122">
        <f>DSUM('KHACH HANG'!$E$5:$R$2133,"6",'KHACH HANG'!$AC$7:$AC$8)</f>
        <v>0</v>
      </c>
      <c r="L13" s="122">
        <f>DSUM('KHACH HANG'!$E$5:$R$2133,"7",'KHACH HANG'!$AC$7:$AC$8)</f>
        <v>0</v>
      </c>
      <c r="M13" s="122">
        <f>DSUM('KHACH HANG'!$E$5:$R$2133,"8",'KHACH HANG'!$AC$7:$AC$8)</f>
        <v>0</v>
      </c>
      <c r="N13" s="122">
        <f>DSUM('KHACH HANG'!$E$5:$R$2133,"9",'KHACH HANG'!$AC$7:$AC$8)</f>
        <v>0</v>
      </c>
      <c r="O13" s="122">
        <f>DSUM('KHACH HANG'!$E$5:$R$2133,"10",'KHACH HANG'!$AC$7:$AC$8)</f>
        <v>0</v>
      </c>
      <c r="P13" s="122">
        <f>DSUM('KHACH HANG'!$E$5:$R$2133,"11",'KHACH HANG'!$AC$7:$AC$8)</f>
        <v>0</v>
      </c>
      <c r="Q13" s="122">
        <f>DSUM('KHACH HANG'!$E$5:$R$2133,"12",'KHACH HANG'!$AC$7:$AC$8)</f>
        <v>0</v>
      </c>
      <c r="R13" s="123">
        <f t="shared" si="3"/>
        <v>0</v>
      </c>
      <c r="S13" s="6"/>
      <c r="T13" t="s">
        <v>46</v>
      </c>
      <c r="U13">
        <v>7</v>
      </c>
      <c r="V13">
        <v>8</v>
      </c>
      <c r="W13" t="s">
        <v>42</v>
      </c>
      <c r="X13" t="str">
        <f t="shared" si="8"/>
        <v>DSUM('NHAN VIEN'!$E$5:$Q$2133,"2"</v>
      </c>
      <c r="Y13" t="str">
        <f t="shared" si="9"/>
        <v>DSUM('NHAN VIEN'!$E$5:$Q$2133,"3"</v>
      </c>
      <c r="Z13" t="str">
        <f t="shared" si="10"/>
        <v>DSUM('NHAN VIEN'!$E$5:$Q$2133,"4"</v>
      </c>
      <c r="AA13" t="str">
        <f t="shared" si="11"/>
        <v>DSUM('NHAN VIEN'!$E$5:$Q$2133,"5"</v>
      </c>
      <c r="AB13" t="str">
        <f t="shared" si="12"/>
        <v>DSUM('NHAN VIEN'!$E$5:$Q$2133,"6"</v>
      </c>
      <c r="AC13" t="str">
        <f t="shared" si="13"/>
        <v>DSUM('NHAN VIEN'!$E$5:$Q$2133,"7"</v>
      </c>
      <c r="AD13" t="str">
        <f t="shared" si="14"/>
        <v>DSUM('NHAN VIEN'!$E$5:$Q$2133,"8"</v>
      </c>
      <c r="AE13" t="str">
        <f t="shared" si="15"/>
        <v>DSUM('NHAN VIEN'!$E$5:$Q$2133,"9"</v>
      </c>
      <c r="AF13" t="str">
        <f t="shared" si="16"/>
        <v>DSUM('NHAN VIEN'!$E$5:$Q$2133,"10"</v>
      </c>
      <c r="AG13" t="str">
        <f t="shared" si="17"/>
        <v>DSUM('NHAN VIEN'!$E$5:$Q$2133,"11"</v>
      </c>
      <c r="AH13" t="str">
        <f t="shared" si="18"/>
        <v>DSUM('NHAN VIEN'!$E$5:$Q$2133,"12"</v>
      </c>
      <c r="AI13" t="str">
        <f t="shared" si="33"/>
        <v>DSUM('NHAN VIEN'!$E$5:$Q$2133,"1",'NHAN VIEN'!$AB$7:$AB$8)</v>
      </c>
      <c r="AJ13" t="str">
        <f t="shared" si="20"/>
        <v>DSUM('NHAN VIEN'!$E$5:$Q$2133,"2",'NHAN VIEN'!$AB$7:$AB$8)</v>
      </c>
      <c r="AK13" t="str">
        <f t="shared" si="21"/>
        <v>DSUM('NHAN VIEN'!$E$5:$Q$2133,"3",'NHAN VIEN'!$AB$7:$AB$8)</v>
      </c>
      <c r="AL13" t="str">
        <f t="shared" si="22"/>
        <v>DSUM('NHAN VIEN'!$E$5:$Q$2133,"4",'NHAN VIEN'!$AB$7:$AB$8)</v>
      </c>
      <c r="AM13" t="str">
        <f t="shared" si="23"/>
        <v>DSUM('NHAN VIEN'!$E$5:$Q$2133,"5",'NHAN VIEN'!$AB$7:$AB$8)</v>
      </c>
      <c r="AN13" t="str">
        <f t="shared" si="24"/>
        <v>DSUM('NHAN VIEN'!$E$5:$Q$2133,"6",'NHAN VIEN'!$AB$7:$AB$8)</v>
      </c>
      <c r="AO13" t="str">
        <f t="shared" si="25"/>
        <v>DSUM('NHAN VIEN'!$E$5:$Q$2133,"7",'NHAN VIEN'!$AB$7:$AB$8)</v>
      </c>
      <c r="AP13" t="str">
        <f t="shared" si="26"/>
        <v>DSUM('NHAN VIEN'!$E$5:$Q$2133,"8",'NHAN VIEN'!$AB$7:$AB$8)</v>
      </c>
      <c r="AQ13" t="str">
        <f t="shared" si="27"/>
        <v>DSUM('NHAN VIEN'!$E$5:$Q$2133,"9",'NHAN VIEN'!$AB$7:$AB$8)</v>
      </c>
      <c r="AR13" t="str">
        <f t="shared" si="28"/>
        <v>DSUM('NHAN VIEN'!$E$5:$Q$2133,"10",'NHAN VIEN'!$AB$7:$AB$8)</v>
      </c>
      <c r="AS13" t="str">
        <f t="shared" si="29"/>
        <v>DSUM('NHAN VIEN'!$E$5:$Q$2133,"11",'NHAN VIEN'!$AB$7:$AB$8)</v>
      </c>
      <c r="AT13" t="str">
        <f t="shared" si="30"/>
        <v>DSUM('NHAN VIEN'!$E$5:$Q$2133,"12",'NHAN VIEN'!$AB$7:$AB$8)</v>
      </c>
      <c r="AU13"/>
      <c r="AV13" t="str">
        <f t="shared" si="31"/>
        <v>'NHAN VIEN'!$AB$7:$AB$8</v>
      </c>
      <c r="AY13" s="103" t="str">
        <f t="shared" si="32"/>
        <v>=DSUM('NHAN VIEN'!$E$5:$Q$2133,"1",'NHAN VIEN'!$AB$7:$AB$8)</v>
      </c>
      <c r="AZ13" s="103" t="str">
        <f t="shared" si="5"/>
        <v>=DSUM('NHAN VIEN'!$E$5:$Q$2133,"2",'NHAN VIEN'!$AB$7:$AB$8)</v>
      </c>
      <c r="BA13" s="103" t="str">
        <f t="shared" si="5"/>
        <v>=DSUM('NHAN VIEN'!$E$5:$Q$2133,"3",'NHAN VIEN'!$AB$7:$AB$8)</v>
      </c>
      <c r="BB13" s="103" t="str">
        <f t="shared" si="5"/>
        <v>=DSUM('NHAN VIEN'!$E$5:$Q$2133,"4",'NHAN VIEN'!$AB$7:$AB$8)</v>
      </c>
      <c r="BC13" s="103" t="str">
        <f t="shared" si="5"/>
        <v>=DSUM('NHAN VIEN'!$E$5:$Q$2133,"5",'NHAN VIEN'!$AB$7:$AB$8)</v>
      </c>
      <c r="BD13" s="103" t="str">
        <f t="shared" si="5"/>
        <v>=DSUM('NHAN VIEN'!$E$5:$Q$2133,"6",'NHAN VIEN'!$AB$7:$AB$8)</v>
      </c>
      <c r="BE13" s="103" t="str">
        <f t="shared" si="5"/>
        <v>=DSUM('NHAN VIEN'!$E$5:$Q$2133,"7",'NHAN VIEN'!$AB$7:$AB$8)</v>
      </c>
      <c r="BF13" s="103" t="str">
        <f t="shared" si="5"/>
        <v>=DSUM('NHAN VIEN'!$E$5:$Q$2133,"8",'NHAN VIEN'!$AB$7:$AB$8)</v>
      </c>
      <c r="BG13" s="103" t="str">
        <f t="shared" si="5"/>
        <v>=DSUM('NHAN VIEN'!$E$5:$Q$2133,"9",'NHAN VIEN'!$AB$7:$AB$8)</v>
      </c>
      <c r="BH13" s="103" t="str">
        <f t="shared" si="5"/>
        <v>=DSUM('NHAN VIEN'!$E$5:$Q$2133,"10",'NHAN VIEN'!$AB$7:$AB$8)</v>
      </c>
      <c r="BI13" s="103" t="str">
        <f t="shared" si="5"/>
        <v>=DSUM('NHAN VIEN'!$E$5:$Q$2133,"11",'NHAN VIEN'!$AB$7:$AB$8)</v>
      </c>
      <c r="BJ13" s="103" t="str">
        <f t="shared" si="5"/>
        <v>=DSUM('NHAN VIEN'!$E$5:$Q$2133,"12",'NHAN VIEN'!$AB$7:$AB$8)</v>
      </c>
      <c r="BR13" s="124">
        <f>R13-'KHACH HANG'!S16</f>
        <v>0</v>
      </c>
    </row>
    <row r="14" ht="18" spans="1:70">
      <c r="A14" s="125"/>
      <c r="B14" s="118">
        <f t="shared" si="6"/>
        <v>12</v>
      </c>
      <c r="C14" s="119" t="str">
        <f>VLOOKUP(B14,DMSP!$A$1:$C$39,2,0)</f>
        <v>4.DƯỠNG RỄ</v>
      </c>
      <c r="D14" s="120" t="str">
        <f>VLOOKUP(B14,DMSP!$A$1:$C$39,3,0)</f>
        <v>SUPERMIC</v>
      </c>
      <c r="E14" s="121">
        <f t="shared" si="7"/>
        <v>212</v>
      </c>
      <c r="F14" s="122">
        <f>DSUM('KHACH HANG'!$E$5:$R$2133,"1",'KHACH HANG'!$AD$7:$AD$8)</f>
        <v>11</v>
      </c>
      <c r="G14" s="126">
        <f>DSUM('KHACH HANG'!$E$5:$R$2133,"2",'KHACH HANG'!$AD$7:$AD$8)</f>
        <v>70</v>
      </c>
      <c r="H14" s="126">
        <f>DSUM('KHACH HANG'!$E$5:$R$2133,"3",'KHACH HANG'!$AD$7:$AD$8)</f>
        <v>35</v>
      </c>
      <c r="I14" s="126">
        <f>DSUM('KHACH HANG'!$E$5:$R$2133,"4",'KHACH HANG'!$AD$7:$AD$8)</f>
        <v>52</v>
      </c>
      <c r="J14" s="126">
        <f>DSUM('KHACH HANG'!$E$5:$R$2133,"5",'KHACH HANG'!$AD$7:$AD$8)</f>
        <v>0</v>
      </c>
      <c r="K14" s="122">
        <f>DSUM('KHACH HANG'!$E$5:$R$2133,"6",'KHACH HANG'!$AD$7:$AD$8)</f>
        <v>18</v>
      </c>
      <c r="L14" s="122">
        <f>DSUM('KHACH HANG'!$E$5:$R$2133,"7",'KHACH HANG'!$AD$7:$AD$8)</f>
        <v>0</v>
      </c>
      <c r="M14" s="122">
        <f>DSUM('KHACH HANG'!$E$5:$R$2133,"8",'KHACH HANG'!$AD$7:$AD$8)</f>
        <v>0</v>
      </c>
      <c r="N14" s="122">
        <f>DSUM('KHACH HANG'!$E$5:$R$2133,"9",'KHACH HANG'!$AD$7:$AD$8)</f>
        <v>0</v>
      </c>
      <c r="O14" s="122">
        <f>DSUM('KHACH HANG'!$E$5:$R$2133,"10",'KHACH HANG'!$AD$7:$AD$8)</f>
        <v>0</v>
      </c>
      <c r="P14" s="122">
        <f>DSUM('KHACH HANG'!$E$5:$R$2133,"11",'KHACH HANG'!$AD$7:$AD$8)</f>
        <v>26</v>
      </c>
      <c r="Q14" s="122">
        <f>DSUM('KHACH HANG'!$E$5:$R$2133,"12",'KHACH HANG'!$AD$7:$AD$8)</f>
        <v>0</v>
      </c>
      <c r="R14" s="123">
        <f t="shared" si="3"/>
        <v>212</v>
      </c>
      <c r="S14" s="6"/>
      <c r="T14" t="s">
        <v>47</v>
      </c>
      <c r="U14">
        <v>7</v>
      </c>
      <c r="V14">
        <v>8</v>
      </c>
      <c r="W14" t="s">
        <v>42</v>
      </c>
      <c r="X14" t="str">
        <f t="shared" si="8"/>
        <v>DSUM('NHAN VIEN'!$E$5:$Q$2133,"2"</v>
      </c>
      <c r="Y14" t="str">
        <f t="shared" si="9"/>
        <v>DSUM('NHAN VIEN'!$E$5:$Q$2133,"3"</v>
      </c>
      <c r="Z14" t="str">
        <f t="shared" si="10"/>
        <v>DSUM('NHAN VIEN'!$E$5:$Q$2133,"4"</v>
      </c>
      <c r="AA14" t="str">
        <f t="shared" si="11"/>
        <v>DSUM('NHAN VIEN'!$E$5:$Q$2133,"5"</v>
      </c>
      <c r="AB14" t="str">
        <f t="shared" si="12"/>
        <v>DSUM('NHAN VIEN'!$E$5:$Q$2133,"6"</v>
      </c>
      <c r="AC14" t="str">
        <f t="shared" si="13"/>
        <v>DSUM('NHAN VIEN'!$E$5:$Q$2133,"7"</v>
      </c>
      <c r="AD14" t="str">
        <f t="shared" si="14"/>
        <v>DSUM('NHAN VIEN'!$E$5:$Q$2133,"8"</v>
      </c>
      <c r="AE14" t="str">
        <f t="shared" si="15"/>
        <v>DSUM('NHAN VIEN'!$E$5:$Q$2133,"9"</v>
      </c>
      <c r="AF14" t="str">
        <f t="shared" si="16"/>
        <v>DSUM('NHAN VIEN'!$E$5:$Q$2133,"10"</v>
      </c>
      <c r="AG14" t="str">
        <f t="shared" si="17"/>
        <v>DSUM('NHAN VIEN'!$E$5:$Q$2133,"11"</v>
      </c>
      <c r="AH14" t="str">
        <f t="shared" si="18"/>
        <v>DSUM('NHAN VIEN'!$E$5:$Q$2133,"12"</v>
      </c>
      <c r="AI14" t="str">
        <f t="shared" si="33"/>
        <v>DSUM('NHAN VIEN'!$E$5:$Q$2133,"1",'NHAN VIEN'!$AC$7:$AC$8)</v>
      </c>
      <c r="AJ14" t="str">
        <f t="shared" si="20"/>
        <v>DSUM('NHAN VIEN'!$E$5:$Q$2133,"2",'NHAN VIEN'!$AC$7:$AC$8)</v>
      </c>
      <c r="AK14" t="str">
        <f t="shared" si="21"/>
        <v>DSUM('NHAN VIEN'!$E$5:$Q$2133,"3",'NHAN VIEN'!$AC$7:$AC$8)</v>
      </c>
      <c r="AL14" t="str">
        <f t="shared" si="22"/>
        <v>DSUM('NHAN VIEN'!$E$5:$Q$2133,"4",'NHAN VIEN'!$AC$7:$AC$8)</v>
      </c>
      <c r="AM14" t="str">
        <f t="shared" si="23"/>
        <v>DSUM('NHAN VIEN'!$E$5:$Q$2133,"5",'NHAN VIEN'!$AC$7:$AC$8)</v>
      </c>
      <c r="AN14" t="str">
        <f t="shared" si="24"/>
        <v>DSUM('NHAN VIEN'!$E$5:$Q$2133,"6",'NHAN VIEN'!$AC$7:$AC$8)</v>
      </c>
      <c r="AO14" t="str">
        <f t="shared" si="25"/>
        <v>DSUM('NHAN VIEN'!$E$5:$Q$2133,"7",'NHAN VIEN'!$AC$7:$AC$8)</v>
      </c>
      <c r="AP14" t="str">
        <f t="shared" si="26"/>
        <v>DSUM('NHAN VIEN'!$E$5:$Q$2133,"8",'NHAN VIEN'!$AC$7:$AC$8)</v>
      </c>
      <c r="AQ14" t="str">
        <f t="shared" si="27"/>
        <v>DSUM('NHAN VIEN'!$E$5:$Q$2133,"9",'NHAN VIEN'!$AC$7:$AC$8)</v>
      </c>
      <c r="AR14" t="str">
        <f t="shared" si="28"/>
        <v>DSUM('NHAN VIEN'!$E$5:$Q$2133,"10",'NHAN VIEN'!$AC$7:$AC$8)</v>
      </c>
      <c r="AS14" t="str">
        <f t="shared" si="29"/>
        <v>DSUM('NHAN VIEN'!$E$5:$Q$2133,"11",'NHAN VIEN'!$AC$7:$AC$8)</v>
      </c>
      <c r="AT14" t="str">
        <f t="shared" si="30"/>
        <v>DSUM('NHAN VIEN'!$E$5:$Q$2133,"12",'NHAN VIEN'!$AC$7:$AC$8)</v>
      </c>
      <c r="AU14"/>
      <c r="AV14" t="str">
        <f t="shared" si="31"/>
        <v>'NHAN VIEN'!$AC$7:$AC$8</v>
      </c>
      <c r="AY14" s="103" t="str">
        <f t="shared" si="32"/>
        <v>=DSUM('NHAN VIEN'!$E$5:$Q$2133,"1",'NHAN VIEN'!$AC$7:$AC$8)</v>
      </c>
      <c r="AZ14" s="103" t="str">
        <f t="shared" si="5"/>
        <v>=DSUM('NHAN VIEN'!$E$5:$Q$2133,"2",'NHAN VIEN'!$AC$7:$AC$8)</v>
      </c>
      <c r="BA14" s="103" t="str">
        <f t="shared" si="5"/>
        <v>=DSUM('NHAN VIEN'!$E$5:$Q$2133,"3",'NHAN VIEN'!$AC$7:$AC$8)</v>
      </c>
      <c r="BB14" s="103" t="str">
        <f t="shared" si="5"/>
        <v>=DSUM('NHAN VIEN'!$E$5:$Q$2133,"4",'NHAN VIEN'!$AC$7:$AC$8)</v>
      </c>
      <c r="BC14" s="103" t="str">
        <f t="shared" si="5"/>
        <v>=DSUM('NHAN VIEN'!$E$5:$Q$2133,"5",'NHAN VIEN'!$AC$7:$AC$8)</v>
      </c>
      <c r="BD14" s="103" t="str">
        <f t="shared" si="5"/>
        <v>=DSUM('NHAN VIEN'!$E$5:$Q$2133,"6",'NHAN VIEN'!$AC$7:$AC$8)</v>
      </c>
      <c r="BE14" s="103" t="str">
        <f t="shared" si="5"/>
        <v>=DSUM('NHAN VIEN'!$E$5:$Q$2133,"7",'NHAN VIEN'!$AC$7:$AC$8)</v>
      </c>
      <c r="BF14" s="103" t="str">
        <f t="shared" si="5"/>
        <v>=DSUM('NHAN VIEN'!$E$5:$Q$2133,"8",'NHAN VIEN'!$AC$7:$AC$8)</v>
      </c>
      <c r="BG14" s="103" t="str">
        <f t="shared" si="5"/>
        <v>=DSUM('NHAN VIEN'!$E$5:$Q$2133,"9",'NHAN VIEN'!$AC$7:$AC$8)</v>
      </c>
      <c r="BH14" s="103" t="str">
        <f t="shared" si="5"/>
        <v>=DSUM('NHAN VIEN'!$E$5:$Q$2133,"10",'NHAN VIEN'!$AC$7:$AC$8)</v>
      </c>
      <c r="BI14" s="103" t="str">
        <f t="shared" si="5"/>
        <v>=DSUM('NHAN VIEN'!$E$5:$Q$2133,"11",'NHAN VIEN'!$AC$7:$AC$8)</v>
      </c>
      <c r="BJ14" s="103" t="str">
        <f t="shared" si="5"/>
        <v>=DSUM('NHAN VIEN'!$E$5:$Q$2133,"12",'NHAN VIEN'!$AC$7:$AC$8)</v>
      </c>
      <c r="BR14" s="124">
        <f>R14-'KHACH HANG'!S17</f>
        <v>124</v>
      </c>
    </row>
    <row r="15" ht="18" spans="1:70">
      <c r="A15" s="125"/>
      <c r="B15" s="118">
        <f t="shared" si="6"/>
        <v>13</v>
      </c>
      <c r="C15" s="119" t="str">
        <f>VLOOKUP(B15,DMSP!$A$1:$C$39,2,0)</f>
        <v>5.TRUYỀN THỐNG</v>
      </c>
      <c r="D15" s="120" t="str">
        <f>VLOOKUP(B15,DMSP!$A$1:$C$39,3,0)</f>
        <v>CABO</v>
      </c>
      <c r="E15" s="121">
        <f t="shared" si="7"/>
        <v>540</v>
      </c>
      <c r="F15" s="122">
        <f>DSUM('KHACH HANG'!$E$5:$R$2133,"1",'KHACH HANG'!$Y$9:$Y$10)</f>
        <v>90</v>
      </c>
      <c r="G15" s="126">
        <f>DSUM('KHACH HANG'!$E$5:$R$2133,"2",'KHACH HANG'!$Y$9:$Y$10)</f>
        <v>0</v>
      </c>
      <c r="H15" s="126">
        <f>DSUM('KHACH HANG'!$E$5:$R$2133,"3",'KHACH HANG'!$Y$9:$Y$10)</f>
        <v>150</v>
      </c>
      <c r="I15" s="126">
        <f>DSUM('KHACH HANG'!$E$5:$R$2133,"4",'KHACH HANG'!$Y$9:$Y$10)</f>
        <v>0</v>
      </c>
      <c r="J15" s="126">
        <f>DSUM('KHACH HANG'!$E$5:$R$2133,"5",'KHACH HANG'!$Y$9:$Y$10)</f>
        <v>0</v>
      </c>
      <c r="K15" s="122">
        <f>DSUM('KHACH HANG'!$E$5:$R$2133,"6",'KHACH HANG'!$Y$9:$Y$10)</f>
        <v>60</v>
      </c>
      <c r="L15" s="122">
        <f>DSUM('KHACH HANG'!$E$5:$R$2133,"7",'KHACH HANG'!$Y$9:$Y$10)</f>
        <v>0</v>
      </c>
      <c r="M15" s="122">
        <f>DSUM('KHACH HANG'!$E$5:$R$2133,"8",'KHACH HANG'!$Y$9:$Y$10)</f>
        <v>30</v>
      </c>
      <c r="N15" s="122">
        <f>DSUM('KHACH HANG'!$E$5:$R$2133,"9",'KHACH HANG'!$Y$9:$Y$10)</f>
        <v>0</v>
      </c>
      <c r="O15" s="122">
        <f>DSUM('KHACH HANG'!$E$5:$R$2133,"10",'KHACH HANG'!$Y$9:$Y$10)</f>
        <v>120</v>
      </c>
      <c r="P15" s="122">
        <f>DSUM('KHACH HANG'!$E$5:$R$2133,"11",'KHACH HANG'!$Y$9:$Y$10)</f>
        <v>90</v>
      </c>
      <c r="Q15" s="122">
        <f>DSUM('KHACH HANG'!$E$5:$R$2133,"12",'KHACH HANG'!$Y$9:$Y$10)</f>
        <v>0</v>
      </c>
      <c r="R15" s="123">
        <f t="shared" si="3"/>
        <v>540</v>
      </c>
      <c r="S15" s="6"/>
      <c r="T15" t="s">
        <v>41</v>
      </c>
      <c r="U15">
        <v>9</v>
      </c>
      <c r="V15">
        <v>10</v>
      </c>
      <c r="W15" t="s">
        <v>42</v>
      </c>
      <c r="X15" t="str">
        <f t="shared" si="8"/>
        <v>DSUM('NHAN VIEN'!$E$5:$Q$2133,"2"</v>
      </c>
      <c r="Y15" t="str">
        <f t="shared" si="9"/>
        <v>DSUM('NHAN VIEN'!$E$5:$Q$2133,"3"</v>
      </c>
      <c r="Z15" t="str">
        <f t="shared" si="10"/>
        <v>DSUM('NHAN VIEN'!$E$5:$Q$2133,"4"</v>
      </c>
      <c r="AA15" t="str">
        <f t="shared" si="11"/>
        <v>DSUM('NHAN VIEN'!$E$5:$Q$2133,"5"</v>
      </c>
      <c r="AB15" t="str">
        <f t="shared" si="12"/>
        <v>DSUM('NHAN VIEN'!$E$5:$Q$2133,"6"</v>
      </c>
      <c r="AC15" t="str">
        <f t="shared" si="13"/>
        <v>DSUM('NHAN VIEN'!$E$5:$Q$2133,"7"</v>
      </c>
      <c r="AD15" t="str">
        <f t="shared" si="14"/>
        <v>DSUM('NHAN VIEN'!$E$5:$Q$2133,"8"</v>
      </c>
      <c r="AE15" t="str">
        <f t="shared" si="15"/>
        <v>DSUM('NHAN VIEN'!$E$5:$Q$2133,"9"</v>
      </c>
      <c r="AF15" t="str">
        <f t="shared" si="16"/>
        <v>DSUM('NHAN VIEN'!$E$5:$Q$2133,"10"</v>
      </c>
      <c r="AG15" t="str">
        <f t="shared" si="17"/>
        <v>DSUM('NHAN VIEN'!$E$5:$Q$2133,"11"</v>
      </c>
      <c r="AH15" t="str">
        <f t="shared" si="18"/>
        <v>DSUM('NHAN VIEN'!$E$5:$Q$2133,"12"</v>
      </c>
      <c r="AI15" t="str">
        <f t="shared" si="33"/>
        <v>DSUM('NHAN VIEN'!$E$5:$Q$2133,"1",'NHAN VIEN'!$X$9:$X$10)</v>
      </c>
      <c r="AJ15" t="str">
        <f t="shared" si="20"/>
        <v>DSUM('NHAN VIEN'!$E$5:$Q$2133,"2",'NHAN VIEN'!$X$9:$X$10)</v>
      </c>
      <c r="AK15" t="str">
        <f t="shared" si="21"/>
        <v>DSUM('NHAN VIEN'!$E$5:$Q$2133,"3",'NHAN VIEN'!$X$9:$X$10)</v>
      </c>
      <c r="AL15" t="str">
        <f t="shared" si="22"/>
        <v>DSUM('NHAN VIEN'!$E$5:$Q$2133,"4",'NHAN VIEN'!$X$9:$X$10)</v>
      </c>
      <c r="AM15" t="str">
        <f t="shared" si="23"/>
        <v>DSUM('NHAN VIEN'!$E$5:$Q$2133,"5",'NHAN VIEN'!$X$9:$X$10)</v>
      </c>
      <c r="AN15" t="str">
        <f t="shared" si="24"/>
        <v>DSUM('NHAN VIEN'!$E$5:$Q$2133,"6",'NHAN VIEN'!$X$9:$X$10)</v>
      </c>
      <c r="AO15" t="str">
        <f t="shared" si="25"/>
        <v>DSUM('NHAN VIEN'!$E$5:$Q$2133,"7",'NHAN VIEN'!$X$9:$X$10)</v>
      </c>
      <c r="AP15" t="str">
        <f t="shared" si="26"/>
        <v>DSUM('NHAN VIEN'!$E$5:$Q$2133,"8",'NHAN VIEN'!$X$9:$X$10)</v>
      </c>
      <c r="AQ15" t="str">
        <f t="shared" si="27"/>
        <v>DSUM('NHAN VIEN'!$E$5:$Q$2133,"9",'NHAN VIEN'!$X$9:$X$10)</v>
      </c>
      <c r="AR15" t="str">
        <f t="shared" si="28"/>
        <v>DSUM('NHAN VIEN'!$E$5:$Q$2133,"10",'NHAN VIEN'!$X$9:$X$10)</v>
      </c>
      <c r="AS15" t="str">
        <f t="shared" si="29"/>
        <v>DSUM('NHAN VIEN'!$E$5:$Q$2133,"11",'NHAN VIEN'!$X$9:$X$10)</v>
      </c>
      <c r="AT15" t="str">
        <f t="shared" si="30"/>
        <v>DSUM('NHAN VIEN'!$E$5:$Q$2133,"12",'NHAN VIEN'!$X$9:$X$10)</v>
      </c>
      <c r="AU15"/>
      <c r="AV15" t="str">
        <f t="shared" si="31"/>
        <v>'NHAN VIEN'!$X$9:$X$10</v>
      </c>
      <c r="AY15" s="103" t="str">
        <f t="shared" si="32"/>
        <v>=DSUM('NHAN VIEN'!$E$5:$Q$2133,"1",'NHAN VIEN'!$X$9:$X$10)</v>
      </c>
      <c r="AZ15" s="103" t="str">
        <f t="shared" si="5"/>
        <v>=DSUM('NHAN VIEN'!$E$5:$Q$2133,"2",'NHAN VIEN'!$X$9:$X$10)</v>
      </c>
      <c r="BA15" s="103" t="str">
        <f t="shared" si="5"/>
        <v>=DSUM('NHAN VIEN'!$E$5:$Q$2133,"3",'NHAN VIEN'!$X$9:$X$10)</v>
      </c>
      <c r="BB15" s="103" t="str">
        <f t="shared" si="5"/>
        <v>=DSUM('NHAN VIEN'!$E$5:$Q$2133,"4",'NHAN VIEN'!$X$9:$X$10)</v>
      </c>
      <c r="BC15" s="103" t="str">
        <f t="shared" si="5"/>
        <v>=DSUM('NHAN VIEN'!$E$5:$Q$2133,"5",'NHAN VIEN'!$X$9:$X$10)</v>
      </c>
      <c r="BD15" s="103" t="str">
        <f t="shared" si="5"/>
        <v>=DSUM('NHAN VIEN'!$E$5:$Q$2133,"6",'NHAN VIEN'!$X$9:$X$10)</v>
      </c>
      <c r="BE15" s="103" t="str">
        <f t="shared" si="5"/>
        <v>=DSUM('NHAN VIEN'!$E$5:$Q$2133,"7",'NHAN VIEN'!$X$9:$X$10)</v>
      </c>
      <c r="BF15" s="103" t="str">
        <f t="shared" si="5"/>
        <v>=DSUM('NHAN VIEN'!$E$5:$Q$2133,"8",'NHAN VIEN'!$X$9:$X$10)</v>
      </c>
      <c r="BG15" s="103" t="str">
        <f t="shared" si="5"/>
        <v>=DSUM('NHAN VIEN'!$E$5:$Q$2133,"9",'NHAN VIEN'!$X$9:$X$10)</v>
      </c>
      <c r="BH15" s="103" t="str">
        <f t="shared" si="5"/>
        <v>=DSUM('NHAN VIEN'!$E$5:$Q$2133,"10",'NHAN VIEN'!$X$9:$X$10)</v>
      </c>
      <c r="BI15" s="103" t="str">
        <f t="shared" si="5"/>
        <v>=DSUM('NHAN VIEN'!$E$5:$Q$2133,"11",'NHAN VIEN'!$X$9:$X$10)</v>
      </c>
      <c r="BJ15" s="103" t="str">
        <f t="shared" si="5"/>
        <v>=DSUM('NHAN VIEN'!$E$5:$Q$2133,"12",'NHAN VIEN'!$X$9:$X$10)</v>
      </c>
      <c r="BR15" s="124">
        <f>R15-'KHACH HANG'!S18</f>
        <v>540</v>
      </c>
    </row>
    <row r="16" ht="18" spans="1:70">
      <c r="A16" s="125"/>
      <c r="B16" s="118">
        <f t="shared" si="6"/>
        <v>14</v>
      </c>
      <c r="C16" s="119" t="str">
        <f>VLOOKUP(B16,DMSP!$A$1:$C$39,2,0)</f>
        <v>5.TRUYỀN THỐNG</v>
      </c>
      <c r="D16" s="120" t="str">
        <f>VLOOKUP(B16,DMSP!$A$1:$C$39,3,0)</f>
        <v>F94</v>
      </c>
      <c r="E16" s="121">
        <f t="shared" si="7"/>
        <v>11673</v>
      </c>
      <c r="F16" s="122">
        <f>DSUM('KHACH HANG'!$E$5:$R$2133,"1",'KHACH HANG'!$Z$9:$Z$10)</f>
        <v>171</v>
      </c>
      <c r="G16" s="126">
        <f>DSUM('KHACH HANG'!$E$5:$R$2133,"2",'KHACH HANG'!$Z$9:$Z$10)</f>
        <v>234</v>
      </c>
      <c r="H16" s="126">
        <f>DSUM('KHACH HANG'!$E$5:$R$2133,"3",'KHACH HANG'!$Z$9:$Z$10)</f>
        <v>225</v>
      </c>
      <c r="I16" s="126">
        <f>DSUM('KHACH HANG'!$E$5:$R$2133,"4",'KHACH HANG'!$Z$9:$Z$10)</f>
        <v>720</v>
      </c>
      <c r="J16" s="126">
        <f>DSUM('KHACH HANG'!$E$5:$R$2133,"5",'KHACH HANG'!$Z$9:$Z$10)</f>
        <v>2365</v>
      </c>
      <c r="K16" s="122">
        <f>DSUM('KHACH HANG'!$E$5:$R$2133,"6",'KHACH HANG'!$Z$9:$Z$10)</f>
        <v>797</v>
      </c>
      <c r="L16" s="122">
        <f>DSUM('KHACH HANG'!$E$5:$R$2133,"7",'KHACH HANG'!$Z$9:$Z$10)</f>
        <v>1677</v>
      </c>
      <c r="M16" s="122">
        <f>DSUM('KHACH HANG'!$E$5:$R$2133,"8",'KHACH HANG'!$Z$9:$Z$10)</f>
        <v>1377</v>
      </c>
      <c r="N16" s="122">
        <f>DSUM('KHACH HANG'!$E$5:$R$2133,"9",'KHACH HANG'!$Z$9:$Z$10)</f>
        <v>1152</v>
      </c>
      <c r="O16" s="122">
        <f>DSUM('KHACH HANG'!$E$5:$R$2133,"10",'KHACH HANG'!$Z$9:$Z$10)</f>
        <v>1245</v>
      </c>
      <c r="P16" s="122">
        <f>DSUM('KHACH HANG'!$E$5:$R$2133,"11",'KHACH HANG'!$Z$9:$Z$10)</f>
        <v>1710</v>
      </c>
      <c r="Q16" s="122">
        <f>DSUM('KHACH HANG'!$E$5:$R$2133,"12",'KHACH HANG'!$Z$9:$Z$10)</f>
        <v>0</v>
      </c>
      <c r="R16" s="123">
        <f t="shared" si="3"/>
        <v>11673</v>
      </c>
      <c r="S16" s="6"/>
      <c r="T16" t="s">
        <v>43</v>
      </c>
      <c r="U16">
        <v>9</v>
      </c>
      <c r="V16">
        <v>10</v>
      </c>
      <c r="W16" t="s">
        <v>42</v>
      </c>
      <c r="X16" t="str">
        <f t="shared" si="8"/>
        <v>DSUM('NHAN VIEN'!$E$5:$Q$2133,"2"</v>
      </c>
      <c r="Y16" t="str">
        <f t="shared" si="9"/>
        <v>DSUM('NHAN VIEN'!$E$5:$Q$2133,"3"</v>
      </c>
      <c r="Z16" t="str">
        <f t="shared" si="10"/>
        <v>DSUM('NHAN VIEN'!$E$5:$Q$2133,"4"</v>
      </c>
      <c r="AA16" t="str">
        <f t="shared" si="11"/>
        <v>DSUM('NHAN VIEN'!$E$5:$Q$2133,"5"</v>
      </c>
      <c r="AB16" t="str">
        <f t="shared" si="12"/>
        <v>DSUM('NHAN VIEN'!$E$5:$Q$2133,"6"</v>
      </c>
      <c r="AC16" t="str">
        <f t="shared" si="13"/>
        <v>DSUM('NHAN VIEN'!$E$5:$Q$2133,"7"</v>
      </c>
      <c r="AD16" t="str">
        <f t="shared" si="14"/>
        <v>DSUM('NHAN VIEN'!$E$5:$Q$2133,"8"</v>
      </c>
      <c r="AE16" t="str">
        <f t="shared" si="15"/>
        <v>DSUM('NHAN VIEN'!$E$5:$Q$2133,"9"</v>
      </c>
      <c r="AF16" t="str">
        <f t="shared" si="16"/>
        <v>DSUM('NHAN VIEN'!$E$5:$Q$2133,"10"</v>
      </c>
      <c r="AG16" t="str">
        <f t="shared" si="17"/>
        <v>DSUM('NHAN VIEN'!$E$5:$Q$2133,"11"</v>
      </c>
      <c r="AH16" t="str">
        <f t="shared" si="18"/>
        <v>DSUM('NHAN VIEN'!$E$5:$Q$2133,"12"</v>
      </c>
      <c r="AI16" t="str">
        <f t="shared" si="33"/>
        <v>DSUM('NHAN VIEN'!$E$5:$Q$2133,"1",'NHAN VIEN'!$Y$9:$Y$10)</v>
      </c>
      <c r="AJ16" t="str">
        <f t="shared" si="20"/>
        <v>DSUM('NHAN VIEN'!$E$5:$Q$2133,"2",'NHAN VIEN'!$Y$9:$Y$10)</v>
      </c>
      <c r="AK16" t="str">
        <f t="shared" si="21"/>
        <v>DSUM('NHAN VIEN'!$E$5:$Q$2133,"3",'NHAN VIEN'!$Y$9:$Y$10)</v>
      </c>
      <c r="AL16" t="str">
        <f t="shared" si="22"/>
        <v>DSUM('NHAN VIEN'!$E$5:$Q$2133,"4",'NHAN VIEN'!$Y$9:$Y$10)</v>
      </c>
      <c r="AM16" t="str">
        <f t="shared" si="23"/>
        <v>DSUM('NHAN VIEN'!$E$5:$Q$2133,"5",'NHAN VIEN'!$Y$9:$Y$10)</v>
      </c>
      <c r="AN16" t="str">
        <f t="shared" si="24"/>
        <v>DSUM('NHAN VIEN'!$E$5:$Q$2133,"6",'NHAN VIEN'!$Y$9:$Y$10)</v>
      </c>
      <c r="AO16" t="str">
        <f t="shared" si="25"/>
        <v>DSUM('NHAN VIEN'!$E$5:$Q$2133,"7",'NHAN VIEN'!$Y$9:$Y$10)</v>
      </c>
      <c r="AP16" t="str">
        <f t="shared" si="26"/>
        <v>DSUM('NHAN VIEN'!$E$5:$Q$2133,"8",'NHAN VIEN'!$Y$9:$Y$10)</v>
      </c>
      <c r="AQ16" t="str">
        <f t="shared" si="27"/>
        <v>DSUM('NHAN VIEN'!$E$5:$Q$2133,"9",'NHAN VIEN'!$Y$9:$Y$10)</v>
      </c>
      <c r="AR16" t="str">
        <f t="shared" si="28"/>
        <v>DSUM('NHAN VIEN'!$E$5:$Q$2133,"10",'NHAN VIEN'!$Y$9:$Y$10)</v>
      </c>
      <c r="AS16" t="str">
        <f t="shared" si="29"/>
        <v>DSUM('NHAN VIEN'!$E$5:$Q$2133,"11",'NHAN VIEN'!$Y$9:$Y$10)</v>
      </c>
      <c r="AT16" t="str">
        <f t="shared" si="30"/>
        <v>DSUM('NHAN VIEN'!$E$5:$Q$2133,"12",'NHAN VIEN'!$Y$9:$Y$10)</v>
      </c>
      <c r="AU16"/>
      <c r="AV16" t="str">
        <f t="shared" si="31"/>
        <v>'NHAN VIEN'!$Y$9:$Y$10</v>
      </c>
      <c r="AY16" s="103" t="str">
        <f t="shared" si="32"/>
        <v>=DSUM('NHAN VIEN'!$E$5:$Q$2133,"1",'NHAN VIEN'!$Y$9:$Y$10)</v>
      </c>
      <c r="AZ16" s="103" t="str">
        <f t="shared" si="5"/>
        <v>=DSUM('NHAN VIEN'!$E$5:$Q$2133,"2",'NHAN VIEN'!$Y$9:$Y$10)</v>
      </c>
      <c r="BA16" s="103" t="str">
        <f t="shared" si="5"/>
        <v>=DSUM('NHAN VIEN'!$E$5:$Q$2133,"3",'NHAN VIEN'!$Y$9:$Y$10)</v>
      </c>
      <c r="BB16" s="103" t="str">
        <f t="shared" si="5"/>
        <v>=DSUM('NHAN VIEN'!$E$5:$Q$2133,"4",'NHAN VIEN'!$Y$9:$Y$10)</v>
      </c>
      <c r="BC16" s="103" t="str">
        <f t="shared" si="5"/>
        <v>=DSUM('NHAN VIEN'!$E$5:$Q$2133,"5",'NHAN VIEN'!$Y$9:$Y$10)</v>
      </c>
      <c r="BD16" s="103" t="str">
        <f t="shared" si="5"/>
        <v>=DSUM('NHAN VIEN'!$E$5:$Q$2133,"6",'NHAN VIEN'!$Y$9:$Y$10)</v>
      </c>
      <c r="BE16" s="103" t="str">
        <f t="shared" si="5"/>
        <v>=DSUM('NHAN VIEN'!$E$5:$Q$2133,"7",'NHAN VIEN'!$Y$9:$Y$10)</v>
      </c>
      <c r="BF16" s="103" t="str">
        <f t="shared" si="5"/>
        <v>=DSUM('NHAN VIEN'!$E$5:$Q$2133,"8",'NHAN VIEN'!$Y$9:$Y$10)</v>
      </c>
      <c r="BG16" s="103" t="str">
        <f t="shared" si="5"/>
        <v>=DSUM('NHAN VIEN'!$E$5:$Q$2133,"9",'NHAN VIEN'!$Y$9:$Y$10)</v>
      </c>
      <c r="BH16" s="103" t="str">
        <f t="shared" si="5"/>
        <v>=DSUM('NHAN VIEN'!$E$5:$Q$2133,"10",'NHAN VIEN'!$Y$9:$Y$10)</v>
      </c>
      <c r="BI16" s="103" t="str">
        <f t="shared" si="5"/>
        <v>=DSUM('NHAN VIEN'!$E$5:$Q$2133,"11",'NHAN VIEN'!$Y$9:$Y$10)</v>
      </c>
      <c r="BJ16" s="103" t="str">
        <f t="shared" si="5"/>
        <v>=DSUM('NHAN VIEN'!$E$5:$Q$2133,"12",'NHAN VIEN'!$Y$9:$Y$10)</v>
      </c>
      <c r="BR16" s="124">
        <f>R16-'KHACH HANG'!S19</f>
        <v>11673</v>
      </c>
    </row>
    <row r="17" ht="18" spans="1:70">
      <c r="A17" s="125"/>
      <c r="B17" s="118">
        <f t="shared" si="6"/>
        <v>15</v>
      </c>
      <c r="C17" s="119" t="str">
        <f>VLOOKUP(B17,DMSP!$A$1:$C$39,2,0)</f>
        <v>5.TRUYỀN THỐNG</v>
      </c>
      <c r="D17" s="120" t="str">
        <f>VLOOKUP(B17,DMSP!$A$1:$C$39,3,0)</f>
        <v>F95</v>
      </c>
      <c r="E17" s="121">
        <f t="shared" si="7"/>
        <v>10084</v>
      </c>
      <c r="F17" s="122">
        <f>DSUM('KHACH HANG'!$E$5:$R$2133,"1",'KHACH HANG'!$AA$9:$AA$10)</f>
        <v>158</v>
      </c>
      <c r="G17" s="126">
        <f>DSUM('KHACH HANG'!$E$5:$R$2133,"2",'KHACH HANG'!$AA$9:$AA$10)</f>
        <v>50</v>
      </c>
      <c r="H17" s="126">
        <f>DSUM('KHACH HANG'!$E$5:$R$2133,"3",'KHACH HANG'!$AA$9:$AA$10)</f>
        <v>707</v>
      </c>
      <c r="I17" s="126">
        <f>DSUM('KHACH HANG'!$E$5:$R$2133,"4",'KHACH HANG'!$AA$9:$AA$10)</f>
        <v>575</v>
      </c>
      <c r="J17" s="126">
        <f>DSUM('KHACH HANG'!$E$5:$R$2133,"5",'KHACH HANG'!$AA$9:$AA$10)</f>
        <v>745</v>
      </c>
      <c r="K17" s="122">
        <f>DSUM('KHACH HANG'!$E$5:$R$2133,"6",'KHACH HANG'!$AA$9:$AA$10)</f>
        <v>500</v>
      </c>
      <c r="L17" s="122">
        <f>DSUM('KHACH HANG'!$E$5:$R$2133,"7",'KHACH HANG'!$AA$9:$AA$10)</f>
        <v>646</v>
      </c>
      <c r="M17" s="122">
        <f>DSUM('KHACH HANG'!$E$5:$R$2133,"8",'KHACH HANG'!$AA$9:$AA$10)</f>
        <v>1584</v>
      </c>
      <c r="N17" s="122">
        <f>DSUM('KHACH HANG'!$E$5:$R$2133,"9",'KHACH HANG'!$AA$9:$AA$10)</f>
        <v>1178</v>
      </c>
      <c r="O17" s="122">
        <f>DSUM('KHACH HANG'!$E$5:$R$2133,"10",'KHACH HANG'!$AA$9:$AA$10)</f>
        <v>1625</v>
      </c>
      <c r="P17" s="122">
        <f>DSUM('KHACH HANG'!$E$5:$R$2133,"11",'KHACH HANG'!$AA$9:$AA$10)</f>
        <v>1732</v>
      </c>
      <c r="Q17" s="122">
        <f>DSUM('KHACH HANG'!$E$5:$R$2133,"12",'KHACH HANG'!$AA$9:$AA$10)</f>
        <v>584</v>
      </c>
      <c r="R17" s="123">
        <f t="shared" si="3"/>
        <v>10084</v>
      </c>
      <c r="S17" s="6"/>
      <c r="T17" t="s">
        <v>44</v>
      </c>
      <c r="U17">
        <v>9</v>
      </c>
      <c r="V17">
        <v>10</v>
      </c>
      <c r="W17" t="s">
        <v>42</v>
      </c>
      <c r="X17" t="str">
        <f t="shared" si="8"/>
        <v>DSUM('NHAN VIEN'!$E$5:$Q$2133,"2"</v>
      </c>
      <c r="Y17" t="str">
        <f t="shared" si="9"/>
        <v>DSUM('NHAN VIEN'!$E$5:$Q$2133,"3"</v>
      </c>
      <c r="Z17" t="str">
        <f t="shared" si="10"/>
        <v>DSUM('NHAN VIEN'!$E$5:$Q$2133,"4"</v>
      </c>
      <c r="AA17" t="str">
        <f t="shared" si="11"/>
        <v>DSUM('NHAN VIEN'!$E$5:$Q$2133,"5"</v>
      </c>
      <c r="AB17" t="str">
        <f t="shared" si="12"/>
        <v>DSUM('NHAN VIEN'!$E$5:$Q$2133,"6"</v>
      </c>
      <c r="AC17" t="str">
        <f t="shared" si="13"/>
        <v>DSUM('NHAN VIEN'!$E$5:$Q$2133,"7"</v>
      </c>
      <c r="AD17" t="str">
        <f t="shared" si="14"/>
        <v>DSUM('NHAN VIEN'!$E$5:$Q$2133,"8"</v>
      </c>
      <c r="AE17" t="str">
        <f t="shared" si="15"/>
        <v>DSUM('NHAN VIEN'!$E$5:$Q$2133,"9"</v>
      </c>
      <c r="AF17" t="str">
        <f t="shared" si="16"/>
        <v>DSUM('NHAN VIEN'!$E$5:$Q$2133,"10"</v>
      </c>
      <c r="AG17" t="str">
        <f t="shared" si="17"/>
        <v>DSUM('NHAN VIEN'!$E$5:$Q$2133,"11"</v>
      </c>
      <c r="AH17" t="str">
        <f t="shared" si="18"/>
        <v>DSUM('NHAN VIEN'!$E$5:$Q$2133,"12"</v>
      </c>
      <c r="AI17" t="str">
        <f t="shared" si="33"/>
        <v>DSUM('NHAN VIEN'!$E$5:$Q$2133,"1",'NHAN VIEN'!$Z$9:$Z$10)</v>
      </c>
      <c r="AJ17" t="str">
        <f t="shared" si="20"/>
        <v>DSUM('NHAN VIEN'!$E$5:$Q$2133,"2",'NHAN VIEN'!$Z$9:$Z$10)</v>
      </c>
      <c r="AK17" t="str">
        <f t="shared" si="21"/>
        <v>DSUM('NHAN VIEN'!$E$5:$Q$2133,"3",'NHAN VIEN'!$Z$9:$Z$10)</v>
      </c>
      <c r="AL17" t="str">
        <f t="shared" si="22"/>
        <v>DSUM('NHAN VIEN'!$E$5:$Q$2133,"4",'NHAN VIEN'!$Z$9:$Z$10)</v>
      </c>
      <c r="AM17" t="str">
        <f t="shared" si="23"/>
        <v>DSUM('NHAN VIEN'!$E$5:$Q$2133,"5",'NHAN VIEN'!$Z$9:$Z$10)</v>
      </c>
      <c r="AN17" t="str">
        <f t="shared" si="24"/>
        <v>DSUM('NHAN VIEN'!$E$5:$Q$2133,"6",'NHAN VIEN'!$Z$9:$Z$10)</v>
      </c>
      <c r="AO17" t="str">
        <f t="shared" si="25"/>
        <v>DSUM('NHAN VIEN'!$E$5:$Q$2133,"7",'NHAN VIEN'!$Z$9:$Z$10)</v>
      </c>
      <c r="AP17" t="str">
        <f t="shared" si="26"/>
        <v>DSUM('NHAN VIEN'!$E$5:$Q$2133,"8",'NHAN VIEN'!$Z$9:$Z$10)</v>
      </c>
      <c r="AQ17" t="str">
        <f t="shared" si="27"/>
        <v>DSUM('NHAN VIEN'!$E$5:$Q$2133,"9",'NHAN VIEN'!$Z$9:$Z$10)</v>
      </c>
      <c r="AR17" t="str">
        <f t="shared" si="28"/>
        <v>DSUM('NHAN VIEN'!$E$5:$Q$2133,"10",'NHAN VIEN'!$Z$9:$Z$10)</v>
      </c>
      <c r="AS17" t="str">
        <f t="shared" si="29"/>
        <v>DSUM('NHAN VIEN'!$E$5:$Q$2133,"11",'NHAN VIEN'!$Z$9:$Z$10)</v>
      </c>
      <c r="AT17" t="str">
        <f t="shared" si="30"/>
        <v>DSUM('NHAN VIEN'!$E$5:$Q$2133,"12",'NHAN VIEN'!$Z$9:$Z$10)</v>
      </c>
      <c r="AU17"/>
      <c r="AV17" t="str">
        <f t="shared" si="31"/>
        <v>'NHAN VIEN'!$Z$9:$Z$10</v>
      </c>
      <c r="AY17" s="103" t="str">
        <f t="shared" si="32"/>
        <v>=DSUM('NHAN VIEN'!$E$5:$Q$2133,"1",'NHAN VIEN'!$Z$9:$Z$10)</v>
      </c>
      <c r="AZ17" s="103" t="str">
        <f t="shared" si="5"/>
        <v>=DSUM('NHAN VIEN'!$E$5:$Q$2133,"2",'NHAN VIEN'!$Z$9:$Z$10)</v>
      </c>
      <c r="BA17" s="103" t="str">
        <f t="shared" si="5"/>
        <v>=DSUM('NHAN VIEN'!$E$5:$Q$2133,"3",'NHAN VIEN'!$Z$9:$Z$10)</v>
      </c>
      <c r="BB17" s="103" t="str">
        <f t="shared" si="5"/>
        <v>=DSUM('NHAN VIEN'!$E$5:$Q$2133,"4",'NHAN VIEN'!$Z$9:$Z$10)</v>
      </c>
      <c r="BC17" s="103" t="str">
        <f t="shared" si="5"/>
        <v>=DSUM('NHAN VIEN'!$E$5:$Q$2133,"5",'NHAN VIEN'!$Z$9:$Z$10)</v>
      </c>
      <c r="BD17" s="103" t="str">
        <f t="shared" si="5"/>
        <v>=DSUM('NHAN VIEN'!$E$5:$Q$2133,"6",'NHAN VIEN'!$Z$9:$Z$10)</v>
      </c>
      <c r="BE17" s="103" t="str">
        <f t="shared" si="5"/>
        <v>=DSUM('NHAN VIEN'!$E$5:$Q$2133,"7",'NHAN VIEN'!$Z$9:$Z$10)</v>
      </c>
      <c r="BF17" s="103" t="str">
        <f t="shared" si="5"/>
        <v>=DSUM('NHAN VIEN'!$E$5:$Q$2133,"8",'NHAN VIEN'!$Z$9:$Z$10)</v>
      </c>
      <c r="BG17" s="103" t="str">
        <f t="shared" si="5"/>
        <v>=DSUM('NHAN VIEN'!$E$5:$Q$2133,"9",'NHAN VIEN'!$Z$9:$Z$10)</v>
      </c>
      <c r="BH17" s="103" t="str">
        <f t="shared" si="5"/>
        <v>=DSUM('NHAN VIEN'!$E$5:$Q$2133,"10",'NHAN VIEN'!$Z$9:$Z$10)</v>
      </c>
      <c r="BI17" s="103" t="str">
        <f t="shared" si="5"/>
        <v>=DSUM('NHAN VIEN'!$E$5:$Q$2133,"11",'NHAN VIEN'!$Z$9:$Z$10)</v>
      </c>
      <c r="BJ17" s="103" t="str">
        <f t="shared" si="5"/>
        <v>=DSUM('NHAN VIEN'!$E$5:$Q$2133,"12",'NHAN VIEN'!$Z$9:$Z$10)</v>
      </c>
      <c r="BR17" s="124">
        <f>R17-'KHACH HANG'!S20</f>
        <v>10084</v>
      </c>
    </row>
    <row r="18" ht="18" spans="1:70">
      <c r="A18" s="125"/>
      <c r="B18" s="118">
        <f t="shared" si="6"/>
        <v>16</v>
      </c>
      <c r="C18" s="119" t="str">
        <f>VLOOKUP(B18,DMSP!$A$1:$C$39,2,0)</f>
        <v>5.TRUYỀN THỐNG</v>
      </c>
      <c r="D18" s="120" t="str">
        <f>VLOOKUP(B18,DMSP!$A$1:$C$39,3,0)</f>
        <v>THIOURE</v>
      </c>
      <c r="E18" s="121">
        <f t="shared" si="7"/>
        <v>0</v>
      </c>
      <c r="F18" s="122">
        <f>DSUM('KHACH HANG'!$E$5:$R$2133,"1",'KHACH HANG'!$AB$9:$AB$10)</f>
        <v>0</v>
      </c>
      <c r="G18" s="122">
        <f>DSUM('KHACH HANG'!$E$5:$R$2133,"2",'KHACH HANG'!$AB$9:$AB$10)</f>
        <v>0</v>
      </c>
      <c r="H18" s="122">
        <f>DSUM('KHACH HANG'!$E$5:$R$2133,"3",'KHACH HANG'!$AB$9:$AB$10)</f>
        <v>0</v>
      </c>
      <c r="I18" s="122">
        <f>DSUM('KHACH HANG'!$E$5:$R$2133,"4",'KHACH HANG'!$AB$9:$AB$10)</f>
        <v>0</v>
      </c>
      <c r="J18" s="122">
        <f>DSUM('KHACH HANG'!$E$5:$R$2133,"5",'KHACH HANG'!$AB$9:$AB$10)</f>
        <v>0</v>
      </c>
      <c r="K18" s="122">
        <f>DSUM('KHACH HANG'!$E$5:$R$2133,"6",'KHACH HANG'!$AB$9:$AB$10)</f>
        <v>0</v>
      </c>
      <c r="L18" s="122">
        <f>DSUM('KHACH HANG'!$E$5:$R$2133,"7",'KHACH HANG'!$AB$9:$AB$10)</f>
        <v>0</v>
      </c>
      <c r="M18" s="122">
        <f>DSUM('KHACH HANG'!$E$5:$R$2133,"8",'KHACH HANG'!$AB$9:$AB$10)</f>
        <v>0</v>
      </c>
      <c r="N18" s="122">
        <f>DSUM('KHACH HANG'!$E$5:$R$2133,"9",'KHACH HANG'!$AB$9:$AB$10)</f>
        <v>0</v>
      </c>
      <c r="O18" s="122">
        <f>DSUM('KHACH HANG'!$E$5:$R$2133,"10",'KHACH HANG'!$AB$9:$AB$10)</f>
        <v>0</v>
      </c>
      <c r="P18" s="122">
        <f>DSUM('KHACH HANG'!$E$5:$R$2133,"11",'KHACH HANG'!$AB$9:$AB$10)</f>
        <v>0</v>
      </c>
      <c r="Q18" s="122">
        <f>DSUM('KHACH HANG'!$E$5:$R$2133,"12",'KHACH HANG'!$AB$9:$AB$10)</f>
        <v>0</v>
      </c>
      <c r="R18" s="123">
        <f t="shared" si="3"/>
        <v>0</v>
      </c>
      <c r="S18" s="6"/>
      <c r="T18" t="s">
        <v>45</v>
      </c>
      <c r="U18">
        <v>9</v>
      </c>
      <c r="V18">
        <v>10</v>
      </c>
      <c r="W18" t="s">
        <v>42</v>
      </c>
      <c r="X18" t="str">
        <f t="shared" si="8"/>
        <v>DSUM('NHAN VIEN'!$E$5:$Q$2133,"2"</v>
      </c>
      <c r="Y18" t="str">
        <f t="shared" si="9"/>
        <v>DSUM('NHAN VIEN'!$E$5:$Q$2133,"3"</v>
      </c>
      <c r="Z18" t="str">
        <f t="shared" si="10"/>
        <v>DSUM('NHAN VIEN'!$E$5:$Q$2133,"4"</v>
      </c>
      <c r="AA18" t="str">
        <f t="shared" si="11"/>
        <v>DSUM('NHAN VIEN'!$E$5:$Q$2133,"5"</v>
      </c>
      <c r="AB18" t="str">
        <f t="shared" si="12"/>
        <v>DSUM('NHAN VIEN'!$E$5:$Q$2133,"6"</v>
      </c>
      <c r="AC18" t="str">
        <f t="shared" si="13"/>
        <v>DSUM('NHAN VIEN'!$E$5:$Q$2133,"7"</v>
      </c>
      <c r="AD18" t="str">
        <f t="shared" si="14"/>
        <v>DSUM('NHAN VIEN'!$E$5:$Q$2133,"8"</v>
      </c>
      <c r="AE18" t="str">
        <f t="shared" si="15"/>
        <v>DSUM('NHAN VIEN'!$E$5:$Q$2133,"9"</v>
      </c>
      <c r="AF18" t="str">
        <f t="shared" si="16"/>
        <v>DSUM('NHAN VIEN'!$E$5:$Q$2133,"10"</v>
      </c>
      <c r="AG18" t="str">
        <f t="shared" si="17"/>
        <v>DSUM('NHAN VIEN'!$E$5:$Q$2133,"11"</v>
      </c>
      <c r="AH18" t="str">
        <f t="shared" si="18"/>
        <v>DSUM('NHAN VIEN'!$E$5:$Q$2133,"12"</v>
      </c>
      <c r="AI18" t="str">
        <f t="shared" si="33"/>
        <v>DSUM('NHAN VIEN'!$E$5:$Q$2133,"1",'NHAN VIEN'!$AA$9:$AA$10)</v>
      </c>
      <c r="AJ18" t="str">
        <f t="shared" si="20"/>
        <v>DSUM('NHAN VIEN'!$E$5:$Q$2133,"2",'NHAN VIEN'!$AA$9:$AA$10)</v>
      </c>
      <c r="AK18" t="str">
        <f t="shared" si="21"/>
        <v>DSUM('NHAN VIEN'!$E$5:$Q$2133,"3",'NHAN VIEN'!$AA$9:$AA$10)</v>
      </c>
      <c r="AL18" t="str">
        <f t="shared" si="22"/>
        <v>DSUM('NHAN VIEN'!$E$5:$Q$2133,"4",'NHAN VIEN'!$AA$9:$AA$10)</v>
      </c>
      <c r="AM18" t="str">
        <f t="shared" si="23"/>
        <v>DSUM('NHAN VIEN'!$E$5:$Q$2133,"5",'NHAN VIEN'!$AA$9:$AA$10)</v>
      </c>
      <c r="AN18" t="str">
        <f t="shared" si="24"/>
        <v>DSUM('NHAN VIEN'!$E$5:$Q$2133,"6",'NHAN VIEN'!$AA$9:$AA$10)</v>
      </c>
      <c r="AO18" t="str">
        <f t="shared" si="25"/>
        <v>DSUM('NHAN VIEN'!$E$5:$Q$2133,"7",'NHAN VIEN'!$AA$9:$AA$10)</v>
      </c>
      <c r="AP18" t="str">
        <f t="shared" si="26"/>
        <v>DSUM('NHAN VIEN'!$E$5:$Q$2133,"8",'NHAN VIEN'!$AA$9:$AA$10)</v>
      </c>
      <c r="AQ18" t="str">
        <f t="shared" si="27"/>
        <v>DSUM('NHAN VIEN'!$E$5:$Q$2133,"9",'NHAN VIEN'!$AA$9:$AA$10)</v>
      </c>
      <c r="AR18" t="str">
        <f t="shared" si="28"/>
        <v>DSUM('NHAN VIEN'!$E$5:$Q$2133,"10",'NHAN VIEN'!$AA$9:$AA$10)</v>
      </c>
      <c r="AS18" t="str">
        <f t="shared" si="29"/>
        <v>DSUM('NHAN VIEN'!$E$5:$Q$2133,"11",'NHAN VIEN'!$AA$9:$AA$10)</v>
      </c>
      <c r="AT18" t="str">
        <f t="shared" si="30"/>
        <v>DSUM('NHAN VIEN'!$E$5:$Q$2133,"12",'NHAN VIEN'!$AA$9:$AA$10)</v>
      </c>
      <c r="AU18"/>
      <c r="AV18" t="str">
        <f t="shared" si="31"/>
        <v>'NHAN VIEN'!$AA$9:$AA$10</v>
      </c>
      <c r="AY18" s="103" t="str">
        <f t="shared" si="32"/>
        <v>=DSUM('NHAN VIEN'!$E$5:$Q$2133,"1",'NHAN VIEN'!$AA$9:$AA$10)</v>
      </c>
      <c r="AZ18" s="103" t="str">
        <f t="shared" si="5"/>
        <v>=DSUM('NHAN VIEN'!$E$5:$Q$2133,"2",'NHAN VIEN'!$AA$9:$AA$10)</v>
      </c>
      <c r="BA18" s="103" t="str">
        <f t="shared" si="5"/>
        <v>=DSUM('NHAN VIEN'!$E$5:$Q$2133,"3",'NHAN VIEN'!$AA$9:$AA$10)</v>
      </c>
      <c r="BB18" s="103" t="str">
        <f t="shared" si="5"/>
        <v>=DSUM('NHAN VIEN'!$E$5:$Q$2133,"4",'NHAN VIEN'!$AA$9:$AA$10)</v>
      </c>
      <c r="BC18" s="103" t="str">
        <f t="shared" si="5"/>
        <v>=DSUM('NHAN VIEN'!$E$5:$Q$2133,"5",'NHAN VIEN'!$AA$9:$AA$10)</v>
      </c>
      <c r="BD18" s="103" t="str">
        <f t="shared" si="5"/>
        <v>=DSUM('NHAN VIEN'!$E$5:$Q$2133,"6",'NHAN VIEN'!$AA$9:$AA$10)</v>
      </c>
      <c r="BE18" s="103" t="str">
        <f t="shared" si="5"/>
        <v>=DSUM('NHAN VIEN'!$E$5:$Q$2133,"7",'NHAN VIEN'!$AA$9:$AA$10)</v>
      </c>
      <c r="BF18" s="103" t="str">
        <f t="shared" si="5"/>
        <v>=DSUM('NHAN VIEN'!$E$5:$Q$2133,"8",'NHAN VIEN'!$AA$9:$AA$10)</v>
      </c>
      <c r="BG18" s="103" t="str">
        <f t="shared" si="5"/>
        <v>=DSUM('NHAN VIEN'!$E$5:$Q$2133,"9",'NHAN VIEN'!$AA$9:$AA$10)</v>
      </c>
      <c r="BH18" s="103" t="str">
        <f t="shared" si="5"/>
        <v>=DSUM('NHAN VIEN'!$E$5:$Q$2133,"10",'NHAN VIEN'!$AA$9:$AA$10)</v>
      </c>
      <c r="BI18" s="103" t="str">
        <f t="shared" si="5"/>
        <v>=DSUM('NHAN VIEN'!$E$5:$Q$2133,"11",'NHAN VIEN'!$AA$9:$AA$10)</v>
      </c>
      <c r="BJ18" s="103" t="str">
        <f t="shared" si="5"/>
        <v>=DSUM('NHAN VIEN'!$E$5:$Q$2133,"12",'NHAN VIEN'!$AA$9:$AA$10)</v>
      </c>
      <c r="BR18" s="124">
        <f>R18-'KHACH HANG'!S21</f>
        <v>0</v>
      </c>
    </row>
    <row r="19" ht="18" spans="1:70">
      <c r="A19" s="125"/>
      <c r="B19" s="118">
        <f t="shared" si="6"/>
        <v>17</v>
      </c>
      <c r="C19" s="119" t="str">
        <f>VLOOKUP(B19,DMSP!$A$1:$C$39,2,0)</f>
        <v>5.TRUYỀN THỐNG</v>
      </c>
      <c r="D19" s="120" t="str">
        <f>VLOOKUP(B19,DMSP!$A$1:$C$39,3,0)</f>
        <v>TOBA JUM</v>
      </c>
      <c r="E19" s="121">
        <f t="shared" si="7"/>
        <v>65660</v>
      </c>
      <c r="F19" s="122">
        <f>DSUM('KHACH HANG'!$E$5:$R$2133,"1",'KHACH HANG'!$AC$9:$AC$10)</f>
        <v>1927</v>
      </c>
      <c r="G19" s="122">
        <f>DSUM('KHACH HANG'!$E$5:$R$2133,"2",'KHACH HANG'!$AC$9:$AC$10)</f>
        <v>6909</v>
      </c>
      <c r="H19" s="122">
        <f>DSUM('KHACH HANG'!$E$5:$R$2133,"3",'KHACH HANG'!$AC$9:$AC$10)</f>
        <v>15510</v>
      </c>
      <c r="I19" s="122">
        <f>DSUM('KHACH HANG'!$E$5:$R$2133,"4",'KHACH HANG'!$AC$9:$AC$10)</f>
        <v>10575</v>
      </c>
      <c r="J19" s="122">
        <f>DSUM('KHACH HANG'!$E$5:$R$2133,"5",'KHACH HANG'!$AC$9:$AC$10)</f>
        <v>12455</v>
      </c>
      <c r="K19" s="122">
        <f>DSUM('KHACH HANG'!$E$5:$R$2133,"6",'KHACH HANG'!$AC$9:$AC$10)</f>
        <v>3807</v>
      </c>
      <c r="L19" s="122">
        <f>DSUM('KHACH HANG'!$E$5:$R$2133,"7",'KHACH HANG'!$AC$9:$AC$10)</f>
        <v>2820</v>
      </c>
      <c r="M19" s="122">
        <f>DSUM('KHACH HANG'!$E$5:$R$2133,"8",'KHACH HANG'!$AC$9:$AC$10)</f>
        <v>5546</v>
      </c>
      <c r="N19" s="122">
        <f>DSUM('KHACH HANG'!$E$5:$R$2133,"9",'KHACH HANG'!$AC$9:$AC$10)</f>
        <v>3079</v>
      </c>
      <c r="O19" s="122">
        <f>DSUM('KHACH HANG'!$E$5:$R$2133,"10",'KHACH HANG'!$AC$9:$AC$10)</f>
        <v>1410</v>
      </c>
      <c r="P19" s="122">
        <f>DSUM('KHACH HANG'!$E$5:$R$2133,"11",'KHACH HANG'!$AC$9:$AC$10)</f>
        <v>1598</v>
      </c>
      <c r="Q19" s="122">
        <f>DSUM('KHACH HANG'!$E$5:$R$2133,"12",'KHACH HANG'!$AC$9:$AC$10)</f>
        <v>24</v>
      </c>
      <c r="R19" s="123">
        <f t="shared" si="3"/>
        <v>65660</v>
      </c>
      <c r="S19" s="6"/>
      <c r="T19" t="s">
        <v>46</v>
      </c>
      <c r="U19">
        <v>9</v>
      </c>
      <c r="V19">
        <v>10</v>
      </c>
      <c r="W19" t="s">
        <v>42</v>
      </c>
      <c r="X19" t="str">
        <f t="shared" si="8"/>
        <v>DSUM('NHAN VIEN'!$E$5:$Q$2133,"2"</v>
      </c>
      <c r="Y19" t="str">
        <f t="shared" si="9"/>
        <v>DSUM('NHAN VIEN'!$E$5:$Q$2133,"3"</v>
      </c>
      <c r="Z19" t="str">
        <f t="shared" si="10"/>
        <v>DSUM('NHAN VIEN'!$E$5:$Q$2133,"4"</v>
      </c>
      <c r="AA19" t="str">
        <f t="shared" si="11"/>
        <v>DSUM('NHAN VIEN'!$E$5:$Q$2133,"5"</v>
      </c>
      <c r="AB19" t="str">
        <f t="shared" si="12"/>
        <v>DSUM('NHAN VIEN'!$E$5:$Q$2133,"6"</v>
      </c>
      <c r="AC19" t="str">
        <f t="shared" si="13"/>
        <v>DSUM('NHAN VIEN'!$E$5:$Q$2133,"7"</v>
      </c>
      <c r="AD19" t="str">
        <f t="shared" si="14"/>
        <v>DSUM('NHAN VIEN'!$E$5:$Q$2133,"8"</v>
      </c>
      <c r="AE19" t="str">
        <f t="shared" si="15"/>
        <v>DSUM('NHAN VIEN'!$E$5:$Q$2133,"9"</v>
      </c>
      <c r="AF19" t="str">
        <f t="shared" si="16"/>
        <v>DSUM('NHAN VIEN'!$E$5:$Q$2133,"10"</v>
      </c>
      <c r="AG19" t="str">
        <f t="shared" si="17"/>
        <v>DSUM('NHAN VIEN'!$E$5:$Q$2133,"11"</v>
      </c>
      <c r="AH19" t="str">
        <f t="shared" si="18"/>
        <v>DSUM('NHAN VIEN'!$E$5:$Q$2133,"12"</v>
      </c>
      <c r="AI19" t="str">
        <f t="shared" si="33"/>
        <v>DSUM('NHAN VIEN'!$E$5:$Q$2133,"1",'NHAN VIEN'!$AB$9:$AB$10)</v>
      </c>
      <c r="AJ19" t="str">
        <f t="shared" si="20"/>
        <v>DSUM('NHAN VIEN'!$E$5:$Q$2133,"2",'NHAN VIEN'!$AB$9:$AB$10)</v>
      </c>
      <c r="AK19" t="str">
        <f t="shared" si="21"/>
        <v>DSUM('NHAN VIEN'!$E$5:$Q$2133,"3",'NHAN VIEN'!$AB$9:$AB$10)</v>
      </c>
      <c r="AL19" t="str">
        <f t="shared" si="22"/>
        <v>DSUM('NHAN VIEN'!$E$5:$Q$2133,"4",'NHAN VIEN'!$AB$9:$AB$10)</v>
      </c>
      <c r="AM19" t="str">
        <f t="shared" si="23"/>
        <v>DSUM('NHAN VIEN'!$E$5:$Q$2133,"5",'NHAN VIEN'!$AB$9:$AB$10)</v>
      </c>
      <c r="AN19" t="str">
        <f t="shared" si="24"/>
        <v>DSUM('NHAN VIEN'!$E$5:$Q$2133,"6",'NHAN VIEN'!$AB$9:$AB$10)</v>
      </c>
      <c r="AO19" t="str">
        <f t="shared" si="25"/>
        <v>DSUM('NHAN VIEN'!$E$5:$Q$2133,"7",'NHAN VIEN'!$AB$9:$AB$10)</v>
      </c>
      <c r="AP19" t="str">
        <f t="shared" si="26"/>
        <v>DSUM('NHAN VIEN'!$E$5:$Q$2133,"8",'NHAN VIEN'!$AB$9:$AB$10)</v>
      </c>
      <c r="AQ19" t="str">
        <f t="shared" si="27"/>
        <v>DSUM('NHAN VIEN'!$E$5:$Q$2133,"9",'NHAN VIEN'!$AB$9:$AB$10)</v>
      </c>
      <c r="AR19" t="str">
        <f t="shared" si="28"/>
        <v>DSUM('NHAN VIEN'!$E$5:$Q$2133,"10",'NHAN VIEN'!$AB$9:$AB$10)</v>
      </c>
      <c r="AS19" t="str">
        <f t="shared" si="29"/>
        <v>DSUM('NHAN VIEN'!$E$5:$Q$2133,"11",'NHAN VIEN'!$AB$9:$AB$10)</v>
      </c>
      <c r="AT19" t="str">
        <f t="shared" si="30"/>
        <v>DSUM('NHAN VIEN'!$E$5:$Q$2133,"12",'NHAN VIEN'!$AB$9:$AB$10)</v>
      </c>
      <c r="AU19"/>
      <c r="AV19" t="str">
        <f t="shared" si="31"/>
        <v>'NHAN VIEN'!$AB$9:$AB$10</v>
      </c>
      <c r="AY19" s="103" t="str">
        <f t="shared" si="32"/>
        <v>=DSUM('NHAN VIEN'!$E$5:$Q$2133,"1",'NHAN VIEN'!$AB$9:$AB$10)</v>
      </c>
      <c r="AZ19" s="103" t="str">
        <f t="shared" ref="AZ19:AZ39" si="34">"="&amp;AJ19</f>
        <v>=DSUM('NHAN VIEN'!$E$5:$Q$2133,"2",'NHAN VIEN'!$AB$9:$AB$10)</v>
      </c>
      <c r="BA19" s="103" t="str">
        <f t="shared" ref="BA19:BA39" si="35">"="&amp;AK19</f>
        <v>=DSUM('NHAN VIEN'!$E$5:$Q$2133,"3",'NHAN VIEN'!$AB$9:$AB$10)</v>
      </c>
      <c r="BB19" s="103" t="str">
        <f t="shared" ref="BB19:BB39" si="36">"="&amp;AL19</f>
        <v>=DSUM('NHAN VIEN'!$E$5:$Q$2133,"4",'NHAN VIEN'!$AB$9:$AB$10)</v>
      </c>
      <c r="BC19" s="103" t="str">
        <f t="shared" ref="BC19:BC39" si="37">"="&amp;AM19</f>
        <v>=DSUM('NHAN VIEN'!$E$5:$Q$2133,"5",'NHAN VIEN'!$AB$9:$AB$10)</v>
      </c>
      <c r="BD19" s="103" t="str">
        <f t="shared" ref="BD19:BD39" si="38">"="&amp;AN19</f>
        <v>=DSUM('NHAN VIEN'!$E$5:$Q$2133,"6",'NHAN VIEN'!$AB$9:$AB$10)</v>
      </c>
      <c r="BE19" s="103" t="str">
        <f t="shared" ref="BE19:BE39" si="39">"="&amp;AO19</f>
        <v>=DSUM('NHAN VIEN'!$E$5:$Q$2133,"7",'NHAN VIEN'!$AB$9:$AB$10)</v>
      </c>
      <c r="BF19" s="103" t="str">
        <f t="shared" ref="BF19:BF39" si="40">"="&amp;AP19</f>
        <v>=DSUM('NHAN VIEN'!$E$5:$Q$2133,"8",'NHAN VIEN'!$AB$9:$AB$10)</v>
      </c>
      <c r="BG19" s="103" t="str">
        <f t="shared" ref="BG19:BG39" si="41">"="&amp;AQ19</f>
        <v>=DSUM('NHAN VIEN'!$E$5:$Q$2133,"9",'NHAN VIEN'!$AB$9:$AB$10)</v>
      </c>
      <c r="BH19" s="103" t="str">
        <f t="shared" ref="BH19:BH39" si="42">"="&amp;AR19</f>
        <v>=DSUM('NHAN VIEN'!$E$5:$Q$2133,"10",'NHAN VIEN'!$AB$9:$AB$10)</v>
      </c>
      <c r="BI19" s="103" t="str">
        <f t="shared" ref="BI19:BI39" si="43">"="&amp;AS19</f>
        <v>=DSUM('NHAN VIEN'!$E$5:$Q$2133,"11",'NHAN VIEN'!$AB$9:$AB$10)</v>
      </c>
      <c r="BJ19" s="103" t="str">
        <f t="shared" ref="BJ19:BJ39" si="44">"="&amp;AT19</f>
        <v>=DSUM('NHAN VIEN'!$E$5:$Q$2133,"12",'NHAN VIEN'!$AB$9:$AB$10)</v>
      </c>
      <c r="BR19" s="124">
        <f>R19-'KHACH HANG'!S22</f>
        <v>65660</v>
      </c>
    </row>
    <row r="20" ht="18" spans="1:70">
      <c r="A20" s="125"/>
      <c r="B20" s="118">
        <f t="shared" si="6"/>
        <v>18</v>
      </c>
      <c r="C20" s="119" t="str">
        <f>VLOOKUP(B20,DMSP!$A$1:$C$39,2,0)</f>
        <v>5.TRUYỀN THỐNG</v>
      </c>
      <c r="D20" s="120" t="str">
        <f>VLOOKUP(B20,DMSP!$A$1:$C$39,3,0)</f>
        <v>TOBA NET</v>
      </c>
      <c r="E20" s="121">
        <f t="shared" si="7"/>
        <v>0</v>
      </c>
      <c r="F20" s="122">
        <f>DSUM('KHACH HANG'!$E$5:$R$2133,"1",'KHACH HANG'!$AD$9:$AD$10)</f>
        <v>0</v>
      </c>
      <c r="G20" s="122">
        <f>DSUM('KHACH HANG'!$E$5:$R$2133,"2",'KHACH HANG'!$AD$9:$AD$10)</f>
        <v>0</v>
      </c>
      <c r="H20" s="122">
        <f>DSUM('KHACH HANG'!$E$5:$R$2133,"3",'KHACH HANG'!$AD$9:$AD$10)</f>
        <v>0</v>
      </c>
      <c r="I20" s="122">
        <f>DSUM('KHACH HANG'!$E$5:$R$2133,"4",'KHACH HANG'!$AD$9:$AD$10)</f>
        <v>0</v>
      </c>
      <c r="J20" s="122">
        <f>DSUM('KHACH HANG'!$E$5:$R$2133,"5",'KHACH HANG'!$AD$9:$AD$10)</f>
        <v>0</v>
      </c>
      <c r="K20" s="122">
        <f>DSUM('KHACH HANG'!$E$5:$R$2133,"6",'KHACH HANG'!$AD$9:$AD$10)</f>
        <v>0</v>
      </c>
      <c r="L20" s="122">
        <f>DSUM('KHACH HANG'!$E$5:$R$2133,"7",'KHACH HANG'!$AD$9:$AD$10)</f>
        <v>0</v>
      </c>
      <c r="M20" s="122">
        <f>DSUM('KHACH HANG'!$E$5:$R$2133,"8",'KHACH HANG'!$AD$9:$AD$10)</f>
        <v>0</v>
      </c>
      <c r="N20" s="122">
        <f>DSUM('KHACH HANG'!$E$5:$R$2133,"9",'KHACH HANG'!$AD$9:$AD$10)</f>
        <v>0</v>
      </c>
      <c r="O20" s="122">
        <f>DSUM('KHACH HANG'!$E$5:$R$2133,"10",'KHACH HANG'!$AD$9:$AD$10)</f>
        <v>0</v>
      </c>
      <c r="P20" s="122">
        <f>DSUM('KHACH HANG'!$E$5:$R$2133,"11",'KHACH HANG'!$AD$9:$AD$10)</f>
        <v>0</v>
      </c>
      <c r="Q20" s="122">
        <f>DSUM('KHACH HANG'!$E$5:$R$2133,"12",'KHACH HANG'!$AD$9:$AD$10)</f>
        <v>0</v>
      </c>
      <c r="R20" s="123">
        <f t="shared" si="3"/>
        <v>0</v>
      </c>
      <c r="S20" s="6"/>
      <c r="T20" t="s">
        <v>47</v>
      </c>
      <c r="U20">
        <v>9</v>
      </c>
      <c r="V20">
        <v>10</v>
      </c>
      <c r="W20" t="s">
        <v>42</v>
      </c>
      <c r="X20" t="str">
        <f t="shared" si="8"/>
        <v>DSUM('NHAN VIEN'!$E$5:$Q$2133,"2"</v>
      </c>
      <c r="Y20" t="str">
        <f t="shared" si="9"/>
        <v>DSUM('NHAN VIEN'!$E$5:$Q$2133,"3"</v>
      </c>
      <c r="Z20" t="str">
        <f t="shared" si="10"/>
        <v>DSUM('NHAN VIEN'!$E$5:$Q$2133,"4"</v>
      </c>
      <c r="AA20" t="str">
        <f t="shared" si="11"/>
        <v>DSUM('NHAN VIEN'!$E$5:$Q$2133,"5"</v>
      </c>
      <c r="AB20" t="str">
        <f t="shared" si="12"/>
        <v>DSUM('NHAN VIEN'!$E$5:$Q$2133,"6"</v>
      </c>
      <c r="AC20" t="str">
        <f t="shared" si="13"/>
        <v>DSUM('NHAN VIEN'!$E$5:$Q$2133,"7"</v>
      </c>
      <c r="AD20" t="str">
        <f t="shared" si="14"/>
        <v>DSUM('NHAN VIEN'!$E$5:$Q$2133,"8"</v>
      </c>
      <c r="AE20" t="str">
        <f t="shared" si="15"/>
        <v>DSUM('NHAN VIEN'!$E$5:$Q$2133,"9"</v>
      </c>
      <c r="AF20" t="str">
        <f t="shared" si="16"/>
        <v>DSUM('NHAN VIEN'!$E$5:$Q$2133,"10"</v>
      </c>
      <c r="AG20" t="str">
        <f t="shared" si="17"/>
        <v>DSUM('NHAN VIEN'!$E$5:$Q$2133,"11"</v>
      </c>
      <c r="AH20" t="str">
        <f t="shared" si="18"/>
        <v>DSUM('NHAN VIEN'!$E$5:$Q$2133,"12"</v>
      </c>
      <c r="AI20" t="str">
        <f t="shared" si="33"/>
        <v>DSUM('NHAN VIEN'!$E$5:$Q$2133,"1",'NHAN VIEN'!$AC$9:$AC$10)</v>
      </c>
      <c r="AJ20" t="str">
        <f t="shared" si="20"/>
        <v>DSUM('NHAN VIEN'!$E$5:$Q$2133,"2",'NHAN VIEN'!$AC$9:$AC$10)</v>
      </c>
      <c r="AK20" t="str">
        <f t="shared" si="21"/>
        <v>DSUM('NHAN VIEN'!$E$5:$Q$2133,"3",'NHAN VIEN'!$AC$9:$AC$10)</v>
      </c>
      <c r="AL20" t="str">
        <f t="shared" si="22"/>
        <v>DSUM('NHAN VIEN'!$E$5:$Q$2133,"4",'NHAN VIEN'!$AC$9:$AC$10)</v>
      </c>
      <c r="AM20" t="str">
        <f t="shared" si="23"/>
        <v>DSUM('NHAN VIEN'!$E$5:$Q$2133,"5",'NHAN VIEN'!$AC$9:$AC$10)</v>
      </c>
      <c r="AN20" t="str">
        <f t="shared" si="24"/>
        <v>DSUM('NHAN VIEN'!$E$5:$Q$2133,"6",'NHAN VIEN'!$AC$9:$AC$10)</v>
      </c>
      <c r="AO20" t="str">
        <f t="shared" si="25"/>
        <v>DSUM('NHAN VIEN'!$E$5:$Q$2133,"7",'NHAN VIEN'!$AC$9:$AC$10)</v>
      </c>
      <c r="AP20" t="str">
        <f t="shared" si="26"/>
        <v>DSUM('NHAN VIEN'!$E$5:$Q$2133,"8",'NHAN VIEN'!$AC$9:$AC$10)</v>
      </c>
      <c r="AQ20" t="str">
        <f t="shared" si="27"/>
        <v>DSUM('NHAN VIEN'!$E$5:$Q$2133,"9",'NHAN VIEN'!$AC$9:$AC$10)</v>
      </c>
      <c r="AR20" t="str">
        <f t="shared" si="28"/>
        <v>DSUM('NHAN VIEN'!$E$5:$Q$2133,"10",'NHAN VIEN'!$AC$9:$AC$10)</v>
      </c>
      <c r="AS20" t="str">
        <f t="shared" si="29"/>
        <v>DSUM('NHAN VIEN'!$E$5:$Q$2133,"11",'NHAN VIEN'!$AC$9:$AC$10)</v>
      </c>
      <c r="AT20" t="str">
        <f t="shared" si="30"/>
        <v>DSUM('NHAN VIEN'!$E$5:$Q$2133,"12",'NHAN VIEN'!$AC$9:$AC$10)</v>
      </c>
      <c r="AU20"/>
      <c r="AV20" t="str">
        <f t="shared" si="31"/>
        <v>'NHAN VIEN'!$AC$9:$AC$10</v>
      </c>
      <c r="AY20" s="103" t="str">
        <f t="shared" si="32"/>
        <v>=DSUM('NHAN VIEN'!$E$5:$Q$2133,"1",'NHAN VIEN'!$AC$9:$AC$10)</v>
      </c>
      <c r="AZ20" s="103" t="str">
        <f t="shared" si="34"/>
        <v>=DSUM('NHAN VIEN'!$E$5:$Q$2133,"2",'NHAN VIEN'!$AC$9:$AC$10)</v>
      </c>
      <c r="BA20" s="103" t="str">
        <f t="shared" si="35"/>
        <v>=DSUM('NHAN VIEN'!$E$5:$Q$2133,"3",'NHAN VIEN'!$AC$9:$AC$10)</v>
      </c>
      <c r="BB20" s="103" t="str">
        <f t="shared" si="36"/>
        <v>=DSUM('NHAN VIEN'!$E$5:$Q$2133,"4",'NHAN VIEN'!$AC$9:$AC$10)</v>
      </c>
      <c r="BC20" s="103" t="str">
        <f t="shared" si="37"/>
        <v>=DSUM('NHAN VIEN'!$E$5:$Q$2133,"5",'NHAN VIEN'!$AC$9:$AC$10)</v>
      </c>
      <c r="BD20" s="103" t="str">
        <f t="shared" si="38"/>
        <v>=DSUM('NHAN VIEN'!$E$5:$Q$2133,"6",'NHAN VIEN'!$AC$9:$AC$10)</v>
      </c>
      <c r="BE20" s="103" t="str">
        <f t="shared" si="39"/>
        <v>=DSUM('NHAN VIEN'!$E$5:$Q$2133,"7",'NHAN VIEN'!$AC$9:$AC$10)</v>
      </c>
      <c r="BF20" s="103" t="str">
        <f t="shared" si="40"/>
        <v>=DSUM('NHAN VIEN'!$E$5:$Q$2133,"8",'NHAN VIEN'!$AC$9:$AC$10)</v>
      </c>
      <c r="BG20" s="103" t="str">
        <f t="shared" si="41"/>
        <v>=DSUM('NHAN VIEN'!$E$5:$Q$2133,"9",'NHAN VIEN'!$AC$9:$AC$10)</v>
      </c>
      <c r="BH20" s="103" t="str">
        <f t="shared" si="42"/>
        <v>=DSUM('NHAN VIEN'!$E$5:$Q$2133,"10",'NHAN VIEN'!$AC$9:$AC$10)</v>
      </c>
      <c r="BI20" s="103" t="str">
        <f t="shared" si="43"/>
        <v>=DSUM('NHAN VIEN'!$E$5:$Q$2133,"11",'NHAN VIEN'!$AC$9:$AC$10)</v>
      </c>
      <c r="BJ20" s="103" t="str">
        <f t="shared" si="44"/>
        <v>=DSUM('NHAN VIEN'!$E$5:$Q$2133,"12",'NHAN VIEN'!$AC$9:$AC$10)</v>
      </c>
      <c r="BR20" s="124">
        <f>R20-'KHACH HANG'!S23</f>
        <v>0</v>
      </c>
    </row>
    <row r="21" ht="18" spans="1:70">
      <c r="A21" s="125"/>
      <c r="B21" s="118">
        <f t="shared" si="6"/>
        <v>19</v>
      </c>
      <c r="C21" s="119" t="str">
        <f>VLOOKUP(B21,DMSP!$A$1:$C$39,2,0)</f>
        <v>6.BVTV</v>
      </c>
      <c r="D21" s="120" t="str">
        <f>VLOOKUP(B21,DMSP!$A$1:$C$39,3,0)</f>
        <v>ABAFAX 1.8</v>
      </c>
      <c r="E21" s="121">
        <f t="shared" si="7"/>
        <v>10</v>
      </c>
      <c r="F21" s="122">
        <f>DSUM('KHACH HANG'!$E$5:$R$2133,"1",'KHACH HANG'!$Y$11:$Y$12)</f>
        <v>0</v>
      </c>
      <c r="G21" s="122">
        <f>DSUM('KHACH HANG'!$E$5:$R$2133,"2",'KHACH HANG'!$Y$11:$Y$12)</f>
        <v>10</v>
      </c>
      <c r="H21" s="122">
        <f>DSUM('KHACH HANG'!$E$5:$R$2133,"3",'KHACH HANG'!$Y$11:$Y$12)</f>
        <v>0</v>
      </c>
      <c r="I21" s="122">
        <f>DSUM('KHACH HANG'!$E$5:$R$2133,"4",'KHACH HANG'!$Y$11:$Y$12)</f>
        <v>0</v>
      </c>
      <c r="J21" s="122">
        <f>DSUM('KHACH HANG'!$E$5:$R$2133,"5",'KHACH HANG'!$Y$11:$Y$12)</f>
        <v>0</v>
      </c>
      <c r="K21" s="122">
        <f>DSUM('KHACH HANG'!$E$5:$R$2133,"6",'KHACH HANG'!$Y$11:$Y$12)</f>
        <v>0</v>
      </c>
      <c r="L21" s="122">
        <f>DSUM('KHACH HANG'!$E$5:$R$2133,"7",'KHACH HANG'!$Y$11:$Y$12)</f>
        <v>0</v>
      </c>
      <c r="M21" s="122">
        <f>DSUM('KHACH HANG'!$E$5:$R$2133,"8",'KHACH HANG'!$Y$11:$Y$12)</f>
        <v>0</v>
      </c>
      <c r="N21" s="122">
        <f>DSUM('KHACH HANG'!$E$5:$R$2133,"9",'KHACH HANG'!$Y$11:$Y$12)</f>
        <v>0</v>
      </c>
      <c r="O21" s="122">
        <f>DSUM('KHACH HANG'!$E$5:$R$2133,"10",'KHACH HANG'!$Y$11:$Y$12)</f>
        <v>0</v>
      </c>
      <c r="P21" s="122">
        <f>DSUM('KHACH HANG'!$E$5:$R$2133,"11",'KHACH HANG'!$Y$11:$Y$12)</f>
        <v>0</v>
      </c>
      <c r="Q21" s="122">
        <f>DSUM('KHACH HANG'!$E$5:$R$2133,"12",'KHACH HANG'!$Y$11:$Y$12)</f>
        <v>0</v>
      </c>
      <c r="R21" s="123">
        <f t="shared" si="3"/>
        <v>10</v>
      </c>
      <c r="S21" s="6"/>
      <c r="T21" t="s">
        <v>41</v>
      </c>
      <c r="U21">
        <v>11</v>
      </c>
      <c r="V21">
        <v>12</v>
      </c>
      <c r="W21" t="s">
        <v>42</v>
      </c>
      <c r="X21" t="str">
        <f t="shared" si="8"/>
        <v>DSUM('NHAN VIEN'!$E$5:$Q$2133,"2"</v>
      </c>
      <c r="Y21" t="str">
        <f t="shared" si="9"/>
        <v>DSUM('NHAN VIEN'!$E$5:$Q$2133,"3"</v>
      </c>
      <c r="Z21" t="str">
        <f t="shared" si="10"/>
        <v>DSUM('NHAN VIEN'!$E$5:$Q$2133,"4"</v>
      </c>
      <c r="AA21" t="str">
        <f t="shared" si="11"/>
        <v>DSUM('NHAN VIEN'!$E$5:$Q$2133,"5"</v>
      </c>
      <c r="AB21" t="str">
        <f t="shared" si="12"/>
        <v>DSUM('NHAN VIEN'!$E$5:$Q$2133,"6"</v>
      </c>
      <c r="AC21" t="str">
        <f t="shared" si="13"/>
        <v>DSUM('NHAN VIEN'!$E$5:$Q$2133,"7"</v>
      </c>
      <c r="AD21" t="str">
        <f t="shared" si="14"/>
        <v>DSUM('NHAN VIEN'!$E$5:$Q$2133,"8"</v>
      </c>
      <c r="AE21" t="str">
        <f t="shared" si="15"/>
        <v>DSUM('NHAN VIEN'!$E$5:$Q$2133,"9"</v>
      </c>
      <c r="AF21" t="str">
        <f t="shared" si="16"/>
        <v>DSUM('NHAN VIEN'!$E$5:$Q$2133,"10"</v>
      </c>
      <c r="AG21" t="str">
        <f t="shared" si="17"/>
        <v>DSUM('NHAN VIEN'!$E$5:$Q$2133,"11"</v>
      </c>
      <c r="AH21" t="str">
        <f t="shared" si="18"/>
        <v>DSUM('NHAN VIEN'!$E$5:$Q$2133,"12"</v>
      </c>
      <c r="AI21" t="str">
        <f t="shared" si="33"/>
        <v>DSUM('NHAN VIEN'!$E$5:$Q$2133,"1",'NHAN VIEN'!$X$11:$X$12)</v>
      </c>
      <c r="AJ21" t="str">
        <f t="shared" si="20"/>
        <v>DSUM('NHAN VIEN'!$E$5:$Q$2133,"2",'NHAN VIEN'!$X$11:$X$12)</v>
      </c>
      <c r="AK21" t="str">
        <f t="shared" si="21"/>
        <v>DSUM('NHAN VIEN'!$E$5:$Q$2133,"3",'NHAN VIEN'!$X$11:$X$12)</v>
      </c>
      <c r="AL21" t="str">
        <f t="shared" si="22"/>
        <v>DSUM('NHAN VIEN'!$E$5:$Q$2133,"4",'NHAN VIEN'!$X$11:$X$12)</v>
      </c>
      <c r="AM21" t="str">
        <f t="shared" si="23"/>
        <v>DSUM('NHAN VIEN'!$E$5:$Q$2133,"5",'NHAN VIEN'!$X$11:$X$12)</v>
      </c>
      <c r="AN21" t="str">
        <f t="shared" si="24"/>
        <v>DSUM('NHAN VIEN'!$E$5:$Q$2133,"6",'NHAN VIEN'!$X$11:$X$12)</v>
      </c>
      <c r="AO21" t="str">
        <f t="shared" si="25"/>
        <v>DSUM('NHAN VIEN'!$E$5:$Q$2133,"7",'NHAN VIEN'!$X$11:$X$12)</v>
      </c>
      <c r="AP21" t="str">
        <f t="shared" si="26"/>
        <v>DSUM('NHAN VIEN'!$E$5:$Q$2133,"8",'NHAN VIEN'!$X$11:$X$12)</v>
      </c>
      <c r="AQ21" t="str">
        <f t="shared" si="27"/>
        <v>DSUM('NHAN VIEN'!$E$5:$Q$2133,"9",'NHAN VIEN'!$X$11:$X$12)</v>
      </c>
      <c r="AR21" t="str">
        <f t="shared" si="28"/>
        <v>DSUM('NHAN VIEN'!$E$5:$Q$2133,"10",'NHAN VIEN'!$X$11:$X$12)</v>
      </c>
      <c r="AS21" t="str">
        <f t="shared" si="29"/>
        <v>DSUM('NHAN VIEN'!$E$5:$Q$2133,"11",'NHAN VIEN'!$X$11:$X$12)</v>
      </c>
      <c r="AT21" t="str">
        <f t="shared" si="30"/>
        <v>DSUM('NHAN VIEN'!$E$5:$Q$2133,"12",'NHAN VIEN'!$X$11:$X$12)</v>
      </c>
      <c r="AU21"/>
      <c r="AV21" t="str">
        <f t="shared" si="31"/>
        <v>'NHAN VIEN'!$X$11:$X$12</v>
      </c>
      <c r="AY21" s="103" t="str">
        <f t="shared" si="32"/>
        <v>=DSUM('NHAN VIEN'!$E$5:$Q$2133,"1",'NHAN VIEN'!$X$11:$X$12)</v>
      </c>
      <c r="AZ21" s="103" t="str">
        <f t="shared" si="34"/>
        <v>=DSUM('NHAN VIEN'!$E$5:$Q$2133,"2",'NHAN VIEN'!$X$11:$X$12)</v>
      </c>
      <c r="BA21" s="103" t="str">
        <f t="shared" si="35"/>
        <v>=DSUM('NHAN VIEN'!$E$5:$Q$2133,"3",'NHAN VIEN'!$X$11:$X$12)</v>
      </c>
      <c r="BB21" s="103" t="str">
        <f t="shared" si="36"/>
        <v>=DSUM('NHAN VIEN'!$E$5:$Q$2133,"4",'NHAN VIEN'!$X$11:$X$12)</v>
      </c>
      <c r="BC21" s="103" t="str">
        <f t="shared" si="37"/>
        <v>=DSUM('NHAN VIEN'!$E$5:$Q$2133,"5",'NHAN VIEN'!$X$11:$X$12)</v>
      </c>
      <c r="BD21" s="103" t="str">
        <f t="shared" si="38"/>
        <v>=DSUM('NHAN VIEN'!$E$5:$Q$2133,"6",'NHAN VIEN'!$X$11:$X$12)</v>
      </c>
      <c r="BE21" s="103" t="str">
        <f t="shared" si="39"/>
        <v>=DSUM('NHAN VIEN'!$E$5:$Q$2133,"7",'NHAN VIEN'!$X$11:$X$12)</v>
      </c>
      <c r="BF21" s="103" t="str">
        <f t="shared" si="40"/>
        <v>=DSUM('NHAN VIEN'!$E$5:$Q$2133,"8",'NHAN VIEN'!$X$11:$X$12)</v>
      </c>
      <c r="BG21" s="103" t="str">
        <f t="shared" si="41"/>
        <v>=DSUM('NHAN VIEN'!$E$5:$Q$2133,"9",'NHAN VIEN'!$X$11:$X$12)</v>
      </c>
      <c r="BH21" s="103" t="str">
        <f t="shared" si="42"/>
        <v>=DSUM('NHAN VIEN'!$E$5:$Q$2133,"10",'NHAN VIEN'!$X$11:$X$12)</v>
      </c>
      <c r="BI21" s="103" t="str">
        <f t="shared" si="43"/>
        <v>=DSUM('NHAN VIEN'!$E$5:$Q$2133,"11",'NHAN VIEN'!$X$11:$X$12)</v>
      </c>
      <c r="BJ21" s="103" t="str">
        <f t="shared" si="44"/>
        <v>=DSUM('NHAN VIEN'!$E$5:$Q$2133,"12",'NHAN VIEN'!$X$11:$X$12)</v>
      </c>
      <c r="BR21" s="124">
        <f>R21-'KHACH HANG'!S24</f>
        <v>10</v>
      </c>
    </row>
    <row r="22" ht="18" spans="1:70">
      <c r="A22" s="125"/>
      <c r="B22" s="118">
        <f t="shared" ref="B22:B39" si="45">B21+1</f>
        <v>20</v>
      </c>
      <c r="C22" s="119" t="str">
        <f>VLOOKUP(B22,DMSP!$A$1:$C$39,2,0)</f>
        <v>6.BVTV</v>
      </c>
      <c r="D22" s="120" t="str">
        <f>VLOOKUP(B22,DMSP!$A$1:$C$39,3,0)</f>
        <v>ABAFAX 3.6</v>
      </c>
      <c r="E22" s="121">
        <f t="shared" si="7"/>
        <v>0</v>
      </c>
      <c r="F22" s="122">
        <f>DSUM('KHACH HANG'!$E$5:$R$2133,"1",'KHACH HANG'!$Z$11:$Z$12)</f>
        <v>0</v>
      </c>
      <c r="G22" s="122">
        <f>DSUM('KHACH HANG'!$E$5:$R$2133,"2",'KHACH HANG'!$Z$11:$Z$12)</f>
        <v>0</v>
      </c>
      <c r="H22" s="122">
        <f>DSUM('KHACH HANG'!$E$5:$R$2133,"3",'KHACH HANG'!$Z$11:$Z$12)</f>
        <v>0</v>
      </c>
      <c r="I22" s="122">
        <f>DSUM('KHACH HANG'!$E$5:$R$2133,"4",'KHACH HANG'!$Z$11:$Z$12)</f>
        <v>0</v>
      </c>
      <c r="J22" s="122">
        <f>DSUM('KHACH HANG'!$E$5:$R$2133,"5",'KHACH HANG'!$Z$11:$Z$12)</f>
        <v>0</v>
      </c>
      <c r="K22" s="122">
        <f>DSUM('KHACH HANG'!$E$5:$R$2133,"6",'KHACH HANG'!$Z$11:$Z$12)</f>
        <v>0</v>
      </c>
      <c r="L22" s="122">
        <f>DSUM('KHACH HANG'!$E$5:$R$2133,"7",'KHACH HANG'!$Z$11:$Z$12)</f>
        <v>0</v>
      </c>
      <c r="M22" s="122">
        <f>DSUM('KHACH HANG'!$E$5:$R$2133,"8",'KHACH HANG'!$Z$11:$Z$12)</f>
        <v>0</v>
      </c>
      <c r="N22" s="122">
        <f>DSUM('KHACH HANG'!$E$5:$R$2133,"9",'KHACH HANG'!$Z$11:$Z$12)</f>
        <v>0</v>
      </c>
      <c r="O22" s="122">
        <f>DSUM('KHACH HANG'!$E$5:$R$2133,"10",'KHACH HANG'!$Z$11:$Z$12)</f>
        <v>0</v>
      </c>
      <c r="P22" s="122">
        <f>DSUM('KHACH HANG'!$E$5:$R$2133,"11",'KHACH HANG'!$Z$11:$Z$12)</f>
        <v>0</v>
      </c>
      <c r="Q22" s="122">
        <f>DSUM('KHACH HANG'!$E$5:$R$2133,"12",'KHACH HANG'!$Z$11:$Z$12)</f>
        <v>0</v>
      </c>
      <c r="R22" s="123">
        <f t="shared" si="3"/>
        <v>0</v>
      </c>
      <c r="S22" s="6"/>
      <c r="T22" t="s">
        <v>43</v>
      </c>
      <c r="U22">
        <v>11</v>
      </c>
      <c r="V22">
        <v>12</v>
      </c>
      <c r="W22" t="s">
        <v>42</v>
      </c>
      <c r="X22" t="str">
        <f t="shared" si="8"/>
        <v>DSUM('NHAN VIEN'!$E$5:$Q$2133,"2"</v>
      </c>
      <c r="Y22" t="str">
        <f t="shared" si="9"/>
        <v>DSUM('NHAN VIEN'!$E$5:$Q$2133,"3"</v>
      </c>
      <c r="Z22" t="str">
        <f t="shared" si="10"/>
        <v>DSUM('NHAN VIEN'!$E$5:$Q$2133,"4"</v>
      </c>
      <c r="AA22" t="str">
        <f t="shared" si="11"/>
        <v>DSUM('NHAN VIEN'!$E$5:$Q$2133,"5"</v>
      </c>
      <c r="AB22" t="str">
        <f t="shared" si="12"/>
        <v>DSUM('NHAN VIEN'!$E$5:$Q$2133,"6"</v>
      </c>
      <c r="AC22" t="str">
        <f t="shared" si="13"/>
        <v>DSUM('NHAN VIEN'!$E$5:$Q$2133,"7"</v>
      </c>
      <c r="AD22" t="str">
        <f t="shared" si="14"/>
        <v>DSUM('NHAN VIEN'!$E$5:$Q$2133,"8"</v>
      </c>
      <c r="AE22" t="str">
        <f t="shared" si="15"/>
        <v>DSUM('NHAN VIEN'!$E$5:$Q$2133,"9"</v>
      </c>
      <c r="AF22" t="str">
        <f t="shared" si="16"/>
        <v>DSUM('NHAN VIEN'!$E$5:$Q$2133,"10"</v>
      </c>
      <c r="AG22" t="str">
        <f t="shared" si="17"/>
        <v>DSUM('NHAN VIEN'!$E$5:$Q$2133,"11"</v>
      </c>
      <c r="AH22" t="str">
        <f t="shared" si="18"/>
        <v>DSUM('NHAN VIEN'!$E$5:$Q$2133,"12"</v>
      </c>
      <c r="AI22" t="str">
        <f t="shared" si="33"/>
        <v>DSUM('NHAN VIEN'!$E$5:$Q$2133,"1",'NHAN VIEN'!$Y$11:$Y$12)</v>
      </c>
      <c r="AJ22" t="str">
        <f t="shared" si="20"/>
        <v>DSUM('NHAN VIEN'!$E$5:$Q$2133,"2",'NHAN VIEN'!$Y$11:$Y$12)</v>
      </c>
      <c r="AK22" t="str">
        <f t="shared" si="21"/>
        <v>DSUM('NHAN VIEN'!$E$5:$Q$2133,"3",'NHAN VIEN'!$Y$11:$Y$12)</v>
      </c>
      <c r="AL22" t="str">
        <f t="shared" si="22"/>
        <v>DSUM('NHAN VIEN'!$E$5:$Q$2133,"4",'NHAN VIEN'!$Y$11:$Y$12)</v>
      </c>
      <c r="AM22" t="str">
        <f t="shared" si="23"/>
        <v>DSUM('NHAN VIEN'!$E$5:$Q$2133,"5",'NHAN VIEN'!$Y$11:$Y$12)</v>
      </c>
      <c r="AN22" t="str">
        <f t="shared" si="24"/>
        <v>DSUM('NHAN VIEN'!$E$5:$Q$2133,"6",'NHAN VIEN'!$Y$11:$Y$12)</v>
      </c>
      <c r="AO22" t="str">
        <f t="shared" si="25"/>
        <v>DSUM('NHAN VIEN'!$E$5:$Q$2133,"7",'NHAN VIEN'!$Y$11:$Y$12)</v>
      </c>
      <c r="AP22" t="str">
        <f t="shared" si="26"/>
        <v>DSUM('NHAN VIEN'!$E$5:$Q$2133,"8",'NHAN VIEN'!$Y$11:$Y$12)</v>
      </c>
      <c r="AQ22" t="str">
        <f t="shared" si="27"/>
        <v>DSUM('NHAN VIEN'!$E$5:$Q$2133,"9",'NHAN VIEN'!$Y$11:$Y$12)</v>
      </c>
      <c r="AR22" t="str">
        <f t="shared" si="28"/>
        <v>DSUM('NHAN VIEN'!$E$5:$Q$2133,"10",'NHAN VIEN'!$Y$11:$Y$12)</v>
      </c>
      <c r="AS22" t="str">
        <f t="shared" si="29"/>
        <v>DSUM('NHAN VIEN'!$E$5:$Q$2133,"11",'NHAN VIEN'!$Y$11:$Y$12)</v>
      </c>
      <c r="AT22" t="str">
        <f t="shared" si="30"/>
        <v>DSUM('NHAN VIEN'!$E$5:$Q$2133,"12",'NHAN VIEN'!$Y$11:$Y$12)</v>
      </c>
      <c r="AU22"/>
      <c r="AV22" t="str">
        <f t="shared" si="31"/>
        <v>'NHAN VIEN'!$Y$11:$Y$12</v>
      </c>
      <c r="AY22" s="103" t="str">
        <f t="shared" si="32"/>
        <v>=DSUM('NHAN VIEN'!$E$5:$Q$2133,"1",'NHAN VIEN'!$Y$11:$Y$12)</v>
      </c>
      <c r="AZ22" s="103" t="str">
        <f t="shared" si="34"/>
        <v>=DSUM('NHAN VIEN'!$E$5:$Q$2133,"2",'NHAN VIEN'!$Y$11:$Y$12)</v>
      </c>
      <c r="BA22" s="103" t="str">
        <f t="shared" si="35"/>
        <v>=DSUM('NHAN VIEN'!$E$5:$Q$2133,"3",'NHAN VIEN'!$Y$11:$Y$12)</v>
      </c>
      <c r="BB22" s="103" t="str">
        <f t="shared" si="36"/>
        <v>=DSUM('NHAN VIEN'!$E$5:$Q$2133,"4",'NHAN VIEN'!$Y$11:$Y$12)</v>
      </c>
      <c r="BC22" s="103" t="str">
        <f t="shared" si="37"/>
        <v>=DSUM('NHAN VIEN'!$E$5:$Q$2133,"5",'NHAN VIEN'!$Y$11:$Y$12)</v>
      </c>
      <c r="BD22" s="103" t="str">
        <f t="shared" si="38"/>
        <v>=DSUM('NHAN VIEN'!$E$5:$Q$2133,"6",'NHAN VIEN'!$Y$11:$Y$12)</v>
      </c>
      <c r="BE22" s="103" t="str">
        <f t="shared" si="39"/>
        <v>=DSUM('NHAN VIEN'!$E$5:$Q$2133,"7",'NHAN VIEN'!$Y$11:$Y$12)</v>
      </c>
      <c r="BF22" s="103" t="str">
        <f t="shared" si="40"/>
        <v>=DSUM('NHAN VIEN'!$E$5:$Q$2133,"8",'NHAN VIEN'!$Y$11:$Y$12)</v>
      </c>
      <c r="BG22" s="103" t="str">
        <f t="shared" si="41"/>
        <v>=DSUM('NHAN VIEN'!$E$5:$Q$2133,"9",'NHAN VIEN'!$Y$11:$Y$12)</v>
      </c>
      <c r="BH22" s="103" t="str">
        <f t="shared" si="42"/>
        <v>=DSUM('NHAN VIEN'!$E$5:$Q$2133,"10",'NHAN VIEN'!$Y$11:$Y$12)</v>
      </c>
      <c r="BI22" s="103" t="str">
        <f t="shared" si="43"/>
        <v>=DSUM('NHAN VIEN'!$E$5:$Q$2133,"11",'NHAN VIEN'!$Y$11:$Y$12)</v>
      </c>
      <c r="BJ22" s="103" t="str">
        <f t="shared" si="44"/>
        <v>=DSUM('NHAN VIEN'!$E$5:$Q$2133,"12",'NHAN VIEN'!$Y$11:$Y$12)</v>
      </c>
      <c r="BR22" s="124">
        <f>R22-'KHACH HANG'!S25</f>
        <v>0</v>
      </c>
    </row>
    <row r="23" ht="18" spans="1:70">
      <c r="A23" s="125"/>
      <c r="B23" s="118">
        <f t="shared" si="45"/>
        <v>21</v>
      </c>
      <c r="C23" s="119" t="str">
        <f>VLOOKUP(B23,DMSP!$A$1:$C$39,2,0)</f>
        <v>6.BVTV</v>
      </c>
      <c r="D23" s="120" t="str">
        <f>VLOOKUP(B23,DMSP!$A$1:$C$39,3,0)</f>
        <v>AZET</v>
      </c>
      <c r="E23" s="121">
        <f t="shared" si="7"/>
        <v>448</v>
      </c>
      <c r="F23" s="122">
        <f>DSUM('KHACH HANG'!$E$5:$R$2133,"1",'KHACH HANG'!$AA$11:$AA$12)</f>
        <v>32</v>
      </c>
      <c r="G23" s="122">
        <f>DSUM('KHACH HANG'!$E$5:$R$2133,"2",'KHACH HANG'!$AA$11:$AA$12)</f>
        <v>95</v>
      </c>
      <c r="H23" s="122">
        <f>DSUM('KHACH HANG'!$E$5:$R$2133,"3",'KHACH HANG'!$AA$11:$AA$12)</f>
        <v>6</v>
      </c>
      <c r="I23" s="122">
        <f>DSUM('KHACH HANG'!$E$5:$R$2133,"4",'KHACH HANG'!$AA$11:$AA$12)</f>
        <v>0</v>
      </c>
      <c r="J23" s="122">
        <f>DSUM('KHACH HANG'!$E$5:$R$2133,"5",'KHACH HANG'!$AA$11:$AA$12)</f>
        <v>0</v>
      </c>
      <c r="K23" s="122">
        <f>DSUM('KHACH HANG'!$E$5:$R$2133,"6",'KHACH HANG'!$AA$11:$AA$12)</f>
        <v>63</v>
      </c>
      <c r="L23" s="122">
        <f>DSUM('KHACH HANG'!$E$5:$R$2133,"7",'KHACH HANG'!$AA$11:$AA$12)</f>
        <v>63</v>
      </c>
      <c r="M23" s="122">
        <f>DSUM('KHACH HANG'!$E$5:$R$2133,"8",'KHACH HANG'!$AA$11:$AA$12)</f>
        <v>0</v>
      </c>
      <c r="N23" s="122">
        <f>DSUM('KHACH HANG'!$E$5:$R$2133,"9",'KHACH HANG'!$AA$11:$AA$12)</f>
        <v>0</v>
      </c>
      <c r="O23" s="122">
        <f>DSUM('KHACH HANG'!$E$5:$R$2133,"10",'KHACH HANG'!$AA$11:$AA$12)</f>
        <v>0</v>
      </c>
      <c r="P23" s="122">
        <f>DSUM('KHACH HANG'!$E$5:$R$2133,"11",'KHACH HANG'!$AA$11:$AA$12)</f>
        <v>189</v>
      </c>
      <c r="Q23" s="122">
        <f>DSUM('KHACH HANG'!$E$5:$R$2133,"12",'KHACH HANG'!$AA$11:$AA$12)</f>
        <v>0</v>
      </c>
      <c r="R23" s="123">
        <f t="shared" si="3"/>
        <v>448</v>
      </c>
      <c r="S23" s="6"/>
      <c r="T23" t="s">
        <v>44</v>
      </c>
      <c r="U23">
        <v>11</v>
      </c>
      <c r="V23">
        <v>12</v>
      </c>
      <c r="W23" t="s">
        <v>42</v>
      </c>
      <c r="X23" t="str">
        <f t="shared" si="8"/>
        <v>DSUM('NHAN VIEN'!$E$5:$Q$2133,"2"</v>
      </c>
      <c r="Y23" t="str">
        <f t="shared" si="9"/>
        <v>DSUM('NHAN VIEN'!$E$5:$Q$2133,"3"</v>
      </c>
      <c r="Z23" t="str">
        <f t="shared" si="10"/>
        <v>DSUM('NHAN VIEN'!$E$5:$Q$2133,"4"</v>
      </c>
      <c r="AA23" t="str">
        <f t="shared" si="11"/>
        <v>DSUM('NHAN VIEN'!$E$5:$Q$2133,"5"</v>
      </c>
      <c r="AB23" t="str">
        <f t="shared" si="12"/>
        <v>DSUM('NHAN VIEN'!$E$5:$Q$2133,"6"</v>
      </c>
      <c r="AC23" t="str">
        <f t="shared" si="13"/>
        <v>DSUM('NHAN VIEN'!$E$5:$Q$2133,"7"</v>
      </c>
      <c r="AD23" t="str">
        <f t="shared" si="14"/>
        <v>DSUM('NHAN VIEN'!$E$5:$Q$2133,"8"</v>
      </c>
      <c r="AE23" t="str">
        <f t="shared" si="15"/>
        <v>DSUM('NHAN VIEN'!$E$5:$Q$2133,"9"</v>
      </c>
      <c r="AF23" t="str">
        <f t="shared" si="16"/>
        <v>DSUM('NHAN VIEN'!$E$5:$Q$2133,"10"</v>
      </c>
      <c r="AG23" t="str">
        <f t="shared" si="17"/>
        <v>DSUM('NHAN VIEN'!$E$5:$Q$2133,"11"</v>
      </c>
      <c r="AH23" t="str">
        <f t="shared" si="18"/>
        <v>DSUM('NHAN VIEN'!$E$5:$Q$2133,"12"</v>
      </c>
      <c r="AI23" t="str">
        <f t="shared" si="33"/>
        <v>DSUM('NHAN VIEN'!$E$5:$Q$2133,"1",'NHAN VIEN'!$Z$11:$Z$12)</v>
      </c>
      <c r="AJ23" t="str">
        <f t="shared" si="20"/>
        <v>DSUM('NHAN VIEN'!$E$5:$Q$2133,"2",'NHAN VIEN'!$Z$11:$Z$12)</v>
      </c>
      <c r="AK23" t="str">
        <f t="shared" si="21"/>
        <v>DSUM('NHAN VIEN'!$E$5:$Q$2133,"3",'NHAN VIEN'!$Z$11:$Z$12)</v>
      </c>
      <c r="AL23" t="str">
        <f t="shared" si="22"/>
        <v>DSUM('NHAN VIEN'!$E$5:$Q$2133,"4",'NHAN VIEN'!$Z$11:$Z$12)</v>
      </c>
      <c r="AM23" t="str">
        <f t="shared" si="23"/>
        <v>DSUM('NHAN VIEN'!$E$5:$Q$2133,"5",'NHAN VIEN'!$Z$11:$Z$12)</v>
      </c>
      <c r="AN23" t="str">
        <f t="shared" si="24"/>
        <v>DSUM('NHAN VIEN'!$E$5:$Q$2133,"6",'NHAN VIEN'!$Z$11:$Z$12)</v>
      </c>
      <c r="AO23" t="str">
        <f t="shared" si="25"/>
        <v>DSUM('NHAN VIEN'!$E$5:$Q$2133,"7",'NHAN VIEN'!$Z$11:$Z$12)</v>
      </c>
      <c r="AP23" t="str">
        <f t="shared" si="26"/>
        <v>DSUM('NHAN VIEN'!$E$5:$Q$2133,"8",'NHAN VIEN'!$Z$11:$Z$12)</v>
      </c>
      <c r="AQ23" t="str">
        <f t="shared" si="27"/>
        <v>DSUM('NHAN VIEN'!$E$5:$Q$2133,"9",'NHAN VIEN'!$Z$11:$Z$12)</v>
      </c>
      <c r="AR23" t="str">
        <f t="shared" si="28"/>
        <v>DSUM('NHAN VIEN'!$E$5:$Q$2133,"10",'NHAN VIEN'!$Z$11:$Z$12)</v>
      </c>
      <c r="AS23" t="str">
        <f t="shared" si="29"/>
        <v>DSUM('NHAN VIEN'!$E$5:$Q$2133,"11",'NHAN VIEN'!$Z$11:$Z$12)</v>
      </c>
      <c r="AT23" t="str">
        <f t="shared" si="30"/>
        <v>DSUM('NHAN VIEN'!$E$5:$Q$2133,"12",'NHAN VIEN'!$Z$11:$Z$12)</v>
      </c>
      <c r="AU23"/>
      <c r="AV23" t="str">
        <f t="shared" si="31"/>
        <v>'NHAN VIEN'!$Z$11:$Z$12</v>
      </c>
      <c r="AY23" s="103" t="str">
        <f t="shared" si="32"/>
        <v>=DSUM('NHAN VIEN'!$E$5:$Q$2133,"1",'NHAN VIEN'!$Z$11:$Z$12)</v>
      </c>
      <c r="AZ23" s="103" t="str">
        <f t="shared" si="34"/>
        <v>=DSUM('NHAN VIEN'!$E$5:$Q$2133,"2",'NHAN VIEN'!$Z$11:$Z$12)</v>
      </c>
      <c r="BA23" s="103" t="str">
        <f t="shared" si="35"/>
        <v>=DSUM('NHAN VIEN'!$E$5:$Q$2133,"3",'NHAN VIEN'!$Z$11:$Z$12)</v>
      </c>
      <c r="BB23" s="103" t="str">
        <f t="shared" si="36"/>
        <v>=DSUM('NHAN VIEN'!$E$5:$Q$2133,"4",'NHAN VIEN'!$Z$11:$Z$12)</v>
      </c>
      <c r="BC23" s="103" t="str">
        <f t="shared" si="37"/>
        <v>=DSUM('NHAN VIEN'!$E$5:$Q$2133,"5",'NHAN VIEN'!$Z$11:$Z$12)</v>
      </c>
      <c r="BD23" s="103" t="str">
        <f t="shared" si="38"/>
        <v>=DSUM('NHAN VIEN'!$E$5:$Q$2133,"6",'NHAN VIEN'!$Z$11:$Z$12)</v>
      </c>
      <c r="BE23" s="103" t="str">
        <f t="shared" si="39"/>
        <v>=DSUM('NHAN VIEN'!$E$5:$Q$2133,"7",'NHAN VIEN'!$Z$11:$Z$12)</v>
      </c>
      <c r="BF23" s="103" t="str">
        <f t="shared" si="40"/>
        <v>=DSUM('NHAN VIEN'!$E$5:$Q$2133,"8",'NHAN VIEN'!$Z$11:$Z$12)</v>
      </c>
      <c r="BG23" s="103" t="str">
        <f t="shared" si="41"/>
        <v>=DSUM('NHAN VIEN'!$E$5:$Q$2133,"9",'NHAN VIEN'!$Z$11:$Z$12)</v>
      </c>
      <c r="BH23" s="103" t="str">
        <f t="shared" si="42"/>
        <v>=DSUM('NHAN VIEN'!$E$5:$Q$2133,"10",'NHAN VIEN'!$Z$11:$Z$12)</v>
      </c>
      <c r="BI23" s="103" t="str">
        <f t="shared" si="43"/>
        <v>=DSUM('NHAN VIEN'!$E$5:$Q$2133,"11",'NHAN VIEN'!$Z$11:$Z$12)</v>
      </c>
      <c r="BJ23" s="103" t="str">
        <f t="shared" si="44"/>
        <v>=DSUM('NHAN VIEN'!$E$5:$Q$2133,"12",'NHAN VIEN'!$Z$11:$Z$12)</v>
      </c>
      <c r="BR23" s="124">
        <f>R23-'KHACH HANG'!S26</f>
        <v>448</v>
      </c>
    </row>
    <row r="24" ht="18" spans="1:70">
      <c r="A24" s="125"/>
      <c r="B24" s="118">
        <f t="shared" si="45"/>
        <v>22</v>
      </c>
      <c r="C24" s="119" t="str">
        <f>VLOOKUP(B24,DMSP!$A$1:$C$39,2,0)</f>
        <v>6.BVTV</v>
      </c>
      <c r="D24" s="120" t="str">
        <f>VLOOKUP(B24,DMSP!$A$1:$C$39,3,0)</f>
        <v>BACBA</v>
      </c>
      <c r="E24" s="121">
        <f t="shared" si="7"/>
        <v>0</v>
      </c>
      <c r="F24" s="122">
        <f>DSUM('KHACH HANG'!$E$5:$R$2133,"1",'KHACH HANG'!$AB$11:$AB$12)</f>
        <v>0</v>
      </c>
      <c r="G24" s="122">
        <f>DSUM('KHACH HANG'!$E$5:$R$2133,"2",'KHACH HANG'!$AB$11:$AB$12)</f>
        <v>0</v>
      </c>
      <c r="H24" s="122">
        <f>DSUM('KHACH HANG'!$E$5:$R$2133,"3",'KHACH HANG'!$AB$11:$AB$12)</f>
        <v>0</v>
      </c>
      <c r="I24" s="122">
        <f>DSUM('KHACH HANG'!$E$5:$R$2133,"4",'KHACH HANG'!$AB$11:$AB$12)</f>
        <v>0</v>
      </c>
      <c r="J24" s="122">
        <f>DSUM('KHACH HANG'!$E$5:$R$2133,"5",'KHACH HANG'!$AB$11:$AB$12)</f>
        <v>0</v>
      </c>
      <c r="K24" s="122">
        <f>DSUM('KHACH HANG'!$E$5:$R$2133,"6",'KHACH HANG'!$AB$11:$AB$12)</f>
        <v>0</v>
      </c>
      <c r="L24" s="122">
        <f>DSUM('KHACH HANG'!$E$5:$R$2133,"7",'KHACH HANG'!$AB$11:$AB$12)</f>
        <v>0</v>
      </c>
      <c r="M24" s="122">
        <f>DSUM('KHACH HANG'!$E$5:$R$2133,"8",'KHACH HANG'!$AB$11:$AB$12)</f>
        <v>0</v>
      </c>
      <c r="N24" s="122">
        <f>DSUM('KHACH HANG'!$E$5:$R$2133,"9",'KHACH HANG'!$AB$11:$AB$12)</f>
        <v>0</v>
      </c>
      <c r="O24" s="122">
        <f>DSUM('KHACH HANG'!$E$5:$R$2133,"10",'KHACH HANG'!$AB$11:$AB$12)</f>
        <v>0</v>
      </c>
      <c r="P24" s="122">
        <f>DSUM('KHACH HANG'!$E$5:$R$2133,"11",'KHACH HANG'!$AB$11:$AB$12)</f>
        <v>0</v>
      </c>
      <c r="Q24" s="122">
        <f>DSUM('KHACH HANG'!$E$5:$R$2133,"12",'KHACH HANG'!$AB$11:$AB$12)</f>
        <v>0</v>
      </c>
      <c r="R24" s="123">
        <f t="shared" si="3"/>
        <v>0</v>
      </c>
      <c r="S24" s="6"/>
      <c r="T24" t="s">
        <v>45</v>
      </c>
      <c r="U24">
        <v>11</v>
      </c>
      <c r="V24">
        <v>12</v>
      </c>
      <c r="W24" t="s">
        <v>42</v>
      </c>
      <c r="X24" t="str">
        <f t="shared" si="8"/>
        <v>DSUM('NHAN VIEN'!$E$5:$Q$2133,"2"</v>
      </c>
      <c r="Y24" t="str">
        <f t="shared" si="9"/>
        <v>DSUM('NHAN VIEN'!$E$5:$Q$2133,"3"</v>
      </c>
      <c r="Z24" t="str">
        <f t="shared" si="10"/>
        <v>DSUM('NHAN VIEN'!$E$5:$Q$2133,"4"</v>
      </c>
      <c r="AA24" t="str">
        <f t="shared" si="11"/>
        <v>DSUM('NHAN VIEN'!$E$5:$Q$2133,"5"</v>
      </c>
      <c r="AB24" t="str">
        <f t="shared" si="12"/>
        <v>DSUM('NHAN VIEN'!$E$5:$Q$2133,"6"</v>
      </c>
      <c r="AC24" t="str">
        <f t="shared" si="13"/>
        <v>DSUM('NHAN VIEN'!$E$5:$Q$2133,"7"</v>
      </c>
      <c r="AD24" t="str">
        <f t="shared" si="14"/>
        <v>DSUM('NHAN VIEN'!$E$5:$Q$2133,"8"</v>
      </c>
      <c r="AE24" t="str">
        <f t="shared" si="15"/>
        <v>DSUM('NHAN VIEN'!$E$5:$Q$2133,"9"</v>
      </c>
      <c r="AF24" t="str">
        <f t="shared" si="16"/>
        <v>DSUM('NHAN VIEN'!$E$5:$Q$2133,"10"</v>
      </c>
      <c r="AG24" t="str">
        <f t="shared" si="17"/>
        <v>DSUM('NHAN VIEN'!$E$5:$Q$2133,"11"</v>
      </c>
      <c r="AH24" t="str">
        <f t="shared" si="18"/>
        <v>DSUM('NHAN VIEN'!$E$5:$Q$2133,"12"</v>
      </c>
      <c r="AI24" t="str">
        <f t="shared" si="33"/>
        <v>DSUM('NHAN VIEN'!$E$5:$Q$2133,"1",'NHAN VIEN'!$AA$11:$AA$12)</v>
      </c>
      <c r="AJ24" t="str">
        <f t="shared" si="20"/>
        <v>DSUM('NHAN VIEN'!$E$5:$Q$2133,"2",'NHAN VIEN'!$AA$11:$AA$12)</v>
      </c>
      <c r="AK24" t="str">
        <f t="shared" si="21"/>
        <v>DSUM('NHAN VIEN'!$E$5:$Q$2133,"3",'NHAN VIEN'!$AA$11:$AA$12)</v>
      </c>
      <c r="AL24" t="str">
        <f t="shared" si="22"/>
        <v>DSUM('NHAN VIEN'!$E$5:$Q$2133,"4",'NHAN VIEN'!$AA$11:$AA$12)</v>
      </c>
      <c r="AM24" t="str">
        <f t="shared" si="23"/>
        <v>DSUM('NHAN VIEN'!$E$5:$Q$2133,"5",'NHAN VIEN'!$AA$11:$AA$12)</v>
      </c>
      <c r="AN24" t="str">
        <f t="shared" si="24"/>
        <v>DSUM('NHAN VIEN'!$E$5:$Q$2133,"6",'NHAN VIEN'!$AA$11:$AA$12)</v>
      </c>
      <c r="AO24" t="str">
        <f t="shared" si="25"/>
        <v>DSUM('NHAN VIEN'!$E$5:$Q$2133,"7",'NHAN VIEN'!$AA$11:$AA$12)</v>
      </c>
      <c r="AP24" t="str">
        <f t="shared" si="26"/>
        <v>DSUM('NHAN VIEN'!$E$5:$Q$2133,"8",'NHAN VIEN'!$AA$11:$AA$12)</v>
      </c>
      <c r="AQ24" t="str">
        <f t="shared" si="27"/>
        <v>DSUM('NHAN VIEN'!$E$5:$Q$2133,"9",'NHAN VIEN'!$AA$11:$AA$12)</v>
      </c>
      <c r="AR24" t="str">
        <f t="shared" si="28"/>
        <v>DSUM('NHAN VIEN'!$E$5:$Q$2133,"10",'NHAN VIEN'!$AA$11:$AA$12)</v>
      </c>
      <c r="AS24" t="str">
        <f t="shared" si="29"/>
        <v>DSUM('NHAN VIEN'!$E$5:$Q$2133,"11",'NHAN VIEN'!$AA$11:$AA$12)</v>
      </c>
      <c r="AT24" t="str">
        <f t="shared" si="30"/>
        <v>DSUM('NHAN VIEN'!$E$5:$Q$2133,"12",'NHAN VIEN'!$AA$11:$AA$12)</v>
      </c>
      <c r="AU24"/>
      <c r="AV24" t="str">
        <f t="shared" si="31"/>
        <v>'NHAN VIEN'!$AA$11:$AA$12</v>
      </c>
      <c r="AY24" s="103" t="str">
        <f t="shared" si="32"/>
        <v>=DSUM('NHAN VIEN'!$E$5:$Q$2133,"1",'NHAN VIEN'!$AA$11:$AA$12)</v>
      </c>
      <c r="AZ24" s="103" t="str">
        <f t="shared" si="34"/>
        <v>=DSUM('NHAN VIEN'!$E$5:$Q$2133,"2",'NHAN VIEN'!$AA$11:$AA$12)</v>
      </c>
      <c r="BA24" s="103" t="str">
        <f t="shared" si="35"/>
        <v>=DSUM('NHAN VIEN'!$E$5:$Q$2133,"3",'NHAN VIEN'!$AA$11:$AA$12)</v>
      </c>
      <c r="BB24" s="103" t="str">
        <f t="shared" si="36"/>
        <v>=DSUM('NHAN VIEN'!$E$5:$Q$2133,"4",'NHAN VIEN'!$AA$11:$AA$12)</v>
      </c>
      <c r="BC24" s="103" t="str">
        <f t="shared" si="37"/>
        <v>=DSUM('NHAN VIEN'!$E$5:$Q$2133,"5",'NHAN VIEN'!$AA$11:$AA$12)</v>
      </c>
      <c r="BD24" s="103" t="str">
        <f t="shared" si="38"/>
        <v>=DSUM('NHAN VIEN'!$E$5:$Q$2133,"6",'NHAN VIEN'!$AA$11:$AA$12)</v>
      </c>
      <c r="BE24" s="103" t="str">
        <f t="shared" si="39"/>
        <v>=DSUM('NHAN VIEN'!$E$5:$Q$2133,"7",'NHAN VIEN'!$AA$11:$AA$12)</v>
      </c>
      <c r="BF24" s="103" t="str">
        <f t="shared" si="40"/>
        <v>=DSUM('NHAN VIEN'!$E$5:$Q$2133,"8",'NHAN VIEN'!$AA$11:$AA$12)</v>
      </c>
      <c r="BG24" s="103" t="str">
        <f t="shared" si="41"/>
        <v>=DSUM('NHAN VIEN'!$E$5:$Q$2133,"9",'NHAN VIEN'!$AA$11:$AA$12)</v>
      </c>
      <c r="BH24" s="103" t="str">
        <f t="shared" si="42"/>
        <v>=DSUM('NHAN VIEN'!$E$5:$Q$2133,"10",'NHAN VIEN'!$AA$11:$AA$12)</v>
      </c>
      <c r="BI24" s="103" t="str">
        <f t="shared" si="43"/>
        <v>=DSUM('NHAN VIEN'!$E$5:$Q$2133,"11",'NHAN VIEN'!$AA$11:$AA$12)</v>
      </c>
      <c r="BJ24" s="103" t="str">
        <f t="shared" si="44"/>
        <v>=DSUM('NHAN VIEN'!$E$5:$Q$2133,"12",'NHAN VIEN'!$AA$11:$AA$12)</v>
      </c>
      <c r="BR24" s="124">
        <f>R24-'KHACH HANG'!S27</f>
        <v>0</v>
      </c>
    </row>
    <row r="25" ht="18" spans="1:70">
      <c r="A25" s="125"/>
      <c r="B25" s="118">
        <f t="shared" si="45"/>
        <v>23</v>
      </c>
      <c r="C25" s="119" t="str">
        <f>VLOOKUP(B25,DMSP!$A$1:$C$39,2,0)</f>
        <v>6.BVTV</v>
      </c>
      <c r="D25" s="120" t="str">
        <f>VLOOKUP(B25,DMSP!$A$1:$C$39,3,0)</f>
        <v>BIOROSAMIL</v>
      </c>
      <c r="E25" s="121">
        <f t="shared" si="7"/>
        <v>100</v>
      </c>
      <c r="F25" s="122">
        <f>DSUM('KHACH HANG'!$E$5:$R$2133,"1",'KHACH HANG'!$AC$11:$AC$12)</f>
        <v>35</v>
      </c>
      <c r="G25" s="122">
        <f>DSUM('KHACH HANG'!$E$5:$R$2133,"2",'KHACH HANG'!$AC$11:$AC$12)</f>
        <v>9</v>
      </c>
      <c r="H25" s="122">
        <f>DSUM('KHACH HANG'!$E$5:$R$2133,"3",'KHACH HANG'!$AC$11:$AC$12)</f>
        <v>0</v>
      </c>
      <c r="I25" s="122">
        <f>DSUM('KHACH HANG'!$E$5:$R$2133,"4",'KHACH HANG'!$AC$11:$AC$12)</f>
        <v>13</v>
      </c>
      <c r="J25" s="122">
        <f>DSUM('KHACH HANG'!$E$5:$R$2133,"5",'KHACH HANG'!$AC$11:$AC$12)</f>
        <v>0</v>
      </c>
      <c r="K25" s="122">
        <f>DSUM('KHACH HANG'!$E$5:$R$2133,"6",'KHACH HANG'!$AC$11:$AC$12)</f>
        <v>20</v>
      </c>
      <c r="L25" s="122">
        <f>DSUM('KHACH HANG'!$E$5:$R$2133,"7",'KHACH HANG'!$AC$11:$AC$12)</f>
        <v>0</v>
      </c>
      <c r="M25" s="122">
        <f>DSUM('KHACH HANG'!$E$5:$R$2133,"8",'KHACH HANG'!$AC$11:$AC$12)</f>
        <v>0</v>
      </c>
      <c r="N25" s="122">
        <f>DSUM('KHACH HANG'!$E$5:$R$2133,"9",'KHACH HANG'!$AC$11:$AC$12)</f>
        <v>0</v>
      </c>
      <c r="O25" s="122">
        <f>DSUM('KHACH HANG'!$E$5:$R$2133,"10",'KHACH HANG'!$AC$11:$AC$12)</f>
        <v>10</v>
      </c>
      <c r="P25" s="122">
        <f>DSUM('KHACH HANG'!$E$5:$R$2133,"11",'KHACH HANG'!$AC$11:$AC$12)</f>
        <v>13</v>
      </c>
      <c r="Q25" s="122">
        <f>DSUM('KHACH HANG'!$E$5:$R$2133,"12",'KHACH HANG'!$AC$11:$AC$12)</f>
        <v>0</v>
      </c>
      <c r="R25" s="123">
        <f t="shared" si="3"/>
        <v>100</v>
      </c>
      <c r="S25" s="6"/>
      <c r="T25" t="s">
        <v>46</v>
      </c>
      <c r="U25">
        <v>11</v>
      </c>
      <c r="V25">
        <v>12</v>
      </c>
      <c r="W25" t="s">
        <v>42</v>
      </c>
      <c r="X25" t="str">
        <f t="shared" si="8"/>
        <v>DSUM('NHAN VIEN'!$E$5:$Q$2133,"2"</v>
      </c>
      <c r="Y25" t="str">
        <f t="shared" si="9"/>
        <v>DSUM('NHAN VIEN'!$E$5:$Q$2133,"3"</v>
      </c>
      <c r="Z25" t="str">
        <f t="shared" si="10"/>
        <v>DSUM('NHAN VIEN'!$E$5:$Q$2133,"4"</v>
      </c>
      <c r="AA25" t="str">
        <f t="shared" si="11"/>
        <v>DSUM('NHAN VIEN'!$E$5:$Q$2133,"5"</v>
      </c>
      <c r="AB25" t="str">
        <f t="shared" si="12"/>
        <v>DSUM('NHAN VIEN'!$E$5:$Q$2133,"6"</v>
      </c>
      <c r="AC25" t="str">
        <f t="shared" si="13"/>
        <v>DSUM('NHAN VIEN'!$E$5:$Q$2133,"7"</v>
      </c>
      <c r="AD25" t="str">
        <f t="shared" si="14"/>
        <v>DSUM('NHAN VIEN'!$E$5:$Q$2133,"8"</v>
      </c>
      <c r="AE25" t="str">
        <f t="shared" si="15"/>
        <v>DSUM('NHAN VIEN'!$E$5:$Q$2133,"9"</v>
      </c>
      <c r="AF25" t="str">
        <f t="shared" si="16"/>
        <v>DSUM('NHAN VIEN'!$E$5:$Q$2133,"10"</v>
      </c>
      <c r="AG25" t="str">
        <f t="shared" si="17"/>
        <v>DSUM('NHAN VIEN'!$E$5:$Q$2133,"11"</v>
      </c>
      <c r="AH25" t="str">
        <f t="shared" si="18"/>
        <v>DSUM('NHAN VIEN'!$E$5:$Q$2133,"12"</v>
      </c>
      <c r="AI25" t="str">
        <f t="shared" si="33"/>
        <v>DSUM('NHAN VIEN'!$E$5:$Q$2133,"1",'NHAN VIEN'!$AB$11:$AB$12)</v>
      </c>
      <c r="AJ25" t="str">
        <f t="shared" si="20"/>
        <v>DSUM('NHAN VIEN'!$E$5:$Q$2133,"2",'NHAN VIEN'!$AB$11:$AB$12)</v>
      </c>
      <c r="AK25" t="str">
        <f t="shared" si="21"/>
        <v>DSUM('NHAN VIEN'!$E$5:$Q$2133,"3",'NHAN VIEN'!$AB$11:$AB$12)</v>
      </c>
      <c r="AL25" t="str">
        <f t="shared" si="22"/>
        <v>DSUM('NHAN VIEN'!$E$5:$Q$2133,"4",'NHAN VIEN'!$AB$11:$AB$12)</v>
      </c>
      <c r="AM25" t="str">
        <f t="shared" si="23"/>
        <v>DSUM('NHAN VIEN'!$E$5:$Q$2133,"5",'NHAN VIEN'!$AB$11:$AB$12)</v>
      </c>
      <c r="AN25" t="str">
        <f t="shared" si="24"/>
        <v>DSUM('NHAN VIEN'!$E$5:$Q$2133,"6",'NHAN VIEN'!$AB$11:$AB$12)</v>
      </c>
      <c r="AO25" t="str">
        <f t="shared" si="25"/>
        <v>DSUM('NHAN VIEN'!$E$5:$Q$2133,"7",'NHAN VIEN'!$AB$11:$AB$12)</v>
      </c>
      <c r="AP25" t="str">
        <f t="shared" si="26"/>
        <v>DSUM('NHAN VIEN'!$E$5:$Q$2133,"8",'NHAN VIEN'!$AB$11:$AB$12)</v>
      </c>
      <c r="AQ25" t="str">
        <f t="shared" si="27"/>
        <v>DSUM('NHAN VIEN'!$E$5:$Q$2133,"9",'NHAN VIEN'!$AB$11:$AB$12)</v>
      </c>
      <c r="AR25" t="str">
        <f t="shared" si="28"/>
        <v>DSUM('NHAN VIEN'!$E$5:$Q$2133,"10",'NHAN VIEN'!$AB$11:$AB$12)</v>
      </c>
      <c r="AS25" t="str">
        <f t="shared" si="29"/>
        <v>DSUM('NHAN VIEN'!$E$5:$Q$2133,"11",'NHAN VIEN'!$AB$11:$AB$12)</v>
      </c>
      <c r="AT25" t="str">
        <f t="shared" si="30"/>
        <v>DSUM('NHAN VIEN'!$E$5:$Q$2133,"12",'NHAN VIEN'!$AB$11:$AB$12)</v>
      </c>
      <c r="AU25"/>
      <c r="AV25" t="str">
        <f t="shared" si="31"/>
        <v>'NHAN VIEN'!$AB$11:$AB$12</v>
      </c>
      <c r="AY25" s="103" t="str">
        <f t="shared" si="32"/>
        <v>=DSUM('NHAN VIEN'!$E$5:$Q$2133,"1",'NHAN VIEN'!$AB$11:$AB$12)</v>
      </c>
      <c r="AZ25" s="103" t="str">
        <f t="shared" si="34"/>
        <v>=DSUM('NHAN VIEN'!$E$5:$Q$2133,"2",'NHAN VIEN'!$AB$11:$AB$12)</v>
      </c>
      <c r="BA25" s="103" t="str">
        <f t="shared" si="35"/>
        <v>=DSUM('NHAN VIEN'!$E$5:$Q$2133,"3",'NHAN VIEN'!$AB$11:$AB$12)</v>
      </c>
      <c r="BB25" s="103" t="str">
        <f t="shared" si="36"/>
        <v>=DSUM('NHAN VIEN'!$E$5:$Q$2133,"4",'NHAN VIEN'!$AB$11:$AB$12)</v>
      </c>
      <c r="BC25" s="103" t="str">
        <f t="shared" si="37"/>
        <v>=DSUM('NHAN VIEN'!$E$5:$Q$2133,"5",'NHAN VIEN'!$AB$11:$AB$12)</v>
      </c>
      <c r="BD25" s="103" t="str">
        <f t="shared" si="38"/>
        <v>=DSUM('NHAN VIEN'!$E$5:$Q$2133,"6",'NHAN VIEN'!$AB$11:$AB$12)</v>
      </c>
      <c r="BE25" s="103" t="str">
        <f t="shared" si="39"/>
        <v>=DSUM('NHAN VIEN'!$E$5:$Q$2133,"7",'NHAN VIEN'!$AB$11:$AB$12)</v>
      </c>
      <c r="BF25" s="103" t="str">
        <f t="shared" si="40"/>
        <v>=DSUM('NHAN VIEN'!$E$5:$Q$2133,"8",'NHAN VIEN'!$AB$11:$AB$12)</v>
      </c>
      <c r="BG25" s="103" t="str">
        <f t="shared" si="41"/>
        <v>=DSUM('NHAN VIEN'!$E$5:$Q$2133,"9",'NHAN VIEN'!$AB$11:$AB$12)</v>
      </c>
      <c r="BH25" s="103" t="str">
        <f t="shared" si="42"/>
        <v>=DSUM('NHAN VIEN'!$E$5:$Q$2133,"10",'NHAN VIEN'!$AB$11:$AB$12)</v>
      </c>
      <c r="BI25" s="103" t="str">
        <f t="shared" si="43"/>
        <v>=DSUM('NHAN VIEN'!$E$5:$Q$2133,"11",'NHAN VIEN'!$AB$11:$AB$12)</v>
      </c>
      <c r="BJ25" s="103" t="str">
        <f t="shared" si="44"/>
        <v>=DSUM('NHAN VIEN'!$E$5:$Q$2133,"12",'NHAN VIEN'!$AB$11:$AB$12)</v>
      </c>
      <c r="BR25" s="124">
        <f>R25-'KHACH HANG'!S28</f>
        <v>90</v>
      </c>
    </row>
    <row r="26" ht="18" spans="1:70">
      <c r="A26" s="125"/>
      <c r="B26" s="118">
        <f t="shared" si="45"/>
        <v>24</v>
      </c>
      <c r="C26" s="119" t="str">
        <f>VLOOKUP(B26,DMSP!$A$1:$C$39,2,0)</f>
        <v>6.BVTV</v>
      </c>
      <c r="D26" s="120" t="str">
        <f>VLOOKUP(B26,DMSP!$A$1:$C$39,3,0)</f>
        <v>COC 86</v>
      </c>
      <c r="E26" s="121">
        <f t="shared" si="7"/>
        <v>0</v>
      </c>
      <c r="F26" s="122">
        <f>DSUM('KHACH HANG'!$E$5:$R$2133,"1",'KHACH HANG'!$AD$11:$AD$12)</f>
        <v>0</v>
      </c>
      <c r="G26" s="122">
        <f>DSUM('KHACH HANG'!$E$5:$R$2133,"2",'KHACH HANG'!$AD$11:$AD$12)</f>
        <v>0</v>
      </c>
      <c r="H26" s="122">
        <f>DSUM('KHACH HANG'!$E$5:$R$2133,"3",'KHACH HANG'!$AD$11:$AD$12)</f>
        <v>0</v>
      </c>
      <c r="I26" s="122">
        <f>DSUM('KHACH HANG'!$E$5:$R$2133,"4",'KHACH HANG'!$AD$11:$AD$12)</f>
        <v>0</v>
      </c>
      <c r="J26" s="122">
        <f>DSUM('KHACH HANG'!$E$5:$R$2133,"5",'KHACH HANG'!$AD$11:$AD$12)</f>
        <v>0</v>
      </c>
      <c r="K26" s="122">
        <f>DSUM('KHACH HANG'!$E$5:$R$2133,"6",'KHACH HANG'!$AD$11:$AD$12)</f>
        <v>0</v>
      </c>
      <c r="L26" s="122">
        <f>DSUM('KHACH HANG'!$E$5:$R$2133,"7",'KHACH HANG'!$AD$11:$AD$12)</f>
        <v>0</v>
      </c>
      <c r="M26" s="122">
        <f>DSUM('KHACH HANG'!$E$5:$R$2133,"8",'KHACH HANG'!$AD$11:$AD$12)</f>
        <v>0</v>
      </c>
      <c r="N26" s="122">
        <f>DSUM('KHACH HANG'!$E$5:$R$2133,"9",'KHACH HANG'!$AD$11:$AD$12)</f>
        <v>0</v>
      </c>
      <c r="O26" s="122">
        <f>DSUM('KHACH HANG'!$E$5:$R$2133,"10",'KHACH HANG'!$AD$11:$AD$12)</f>
        <v>0</v>
      </c>
      <c r="P26" s="122">
        <f>DSUM('KHACH HANG'!$E$5:$R$2133,"11",'KHACH HANG'!$AD$11:$AD$12)</f>
        <v>0</v>
      </c>
      <c r="Q26" s="122">
        <f>DSUM('KHACH HANG'!$E$5:$R$2133,"12",'KHACH HANG'!$AD$11:$AD$12)</f>
        <v>0</v>
      </c>
      <c r="R26" s="123">
        <f t="shared" si="3"/>
        <v>0</v>
      </c>
      <c r="S26" s="6"/>
      <c r="T26" t="s">
        <v>47</v>
      </c>
      <c r="U26">
        <v>11</v>
      </c>
      <c r="V26">
        <v>12</v>
      </c>
      <c r="W26" t="s">
        <v>42</v>
      </c>
      <c r="X26" t="str">
        <f t="shared" si="8"/>
        <v>DSUM('NHAN VIEN'!$E$5:$Q$2133,"2"</v>
      </c>
      <c r="Y26" t="str">
        <f t="shared" si="9"/>
        <v>DSUM('NHAN VIEN'!$E$5:$Q$2133,"3"</v>
      </c>
      <c r="Z26" t="str">
        <f t="shared" si="10"/>
        <v>DSUM('NHAN VIEN'!$E$5:$Q$2133,"4"</v>
      </c>
      <c r="AA26" t="str">
        <f t="shared" si="11"/>
        <v>DSUM('NHAN VIEN'!$E$5:$Q$2133,"5"</v>
      </c>
      <c r="AB26" t="str">
        <f t="shared" si="12"/>
        <v>DSUM('NHAN VIEN'!$E$5:$Q$2133,"6"</v>
      </c>
      <c r="AC26" t="str">
        <f t="shared" si="13"/>
        <v>DSUM('NHAN VIEN'!$E$5:$Q$2133,"7"</v>
      </c>
      <c r="AD26" t="str">
        <f t="shared" si="14"/>
        <v>DSUM('NHAN VIEN'!$E$5:$Q$2133,"8"</v>
      </c>
      <c r="AE26" t="str">
        <f t="shared" si="15"/>
        <v>DSUM('NHAN VIEN'!$E$5:$Q$2133,"9"</v>
      </c>
      <c r="AF26" t="str">
        <f t="shared" si="16"/>
        <v>DSUM('NHAN VIEN'!$E$5:$Q$2133,"10"</v>
      </c>
      <c r="AG26" t="str">
        <f t="shared" si="17"/>
        <v>DSUM('NHAN VIEN'!$E$5:$Q$2133,"11"</v>
      </c>
      <c r="AH26" t="str">
        <f t="shared" si="18"/>
        <v>DSUM('NHAN VIEN'!$E$5:$Q$2133,"12"</v>
      </c>
      <c r="AI26" t="str">
        <f t="shared" si="33"/>
        <v>DSUM('NHAN VIEN'!$E$5:$Q$2133,"1",'NHAN VIEN'!$AC$11:$AC$12)</v>
      </c>
      <c r="AJ26" t="str">
        <f t="shared" si="20"/>
        <v>DSUM('NHAN VIEN'!$E$5:$Q$2133,"2",'NHAN VIEN'!$AC$11:$AC$12)</v>
      </c>
      <c r="AK26" t="str">
        <f t="shared" si="21"/>
        <v>DSUM('NHAN VIEN'!$E$5:$Q$2133,"3",'NHAN VIEN'!$AC$11:$AC$12)</v>
      </c>
      <c r="AL26" t="str">
        <f t="shared" si="22"/>
        <v>DSUM('NHAN VIEN'!$E$5:$Q$2133,"4",'NHAN VIEN'!$AC$11:$AC$12)</v>
      </c>
      <c r="AM26" t="str">
        <f t="shared" si="23"/>
        <v>DSUM('NHAN VIEN'!$E$5:$Q$2133,"5",'NHAN VIEN'!$AC$11:$AC$12)</v>
      </c>
      <c r="AN26" t="str">
        <f t="shared" si="24"/>
        <v>DSUM('NHAN VIEN'!$E$5:$Q$2133,"6",'NHAN VIEN'!$AC$11:$AC$12)</v>
      </c>
      <c r="AO26" t="str">
        <f t="shared" si="25"/>
        <v>DSUM('NHAN VIEN'!$E$5:$Q$2133,"7",'NHAN VIEN'!$AC$11:$AC$12)</v>
      </c>
      <c r="AP26" t="str">
        <f t="shared" si="26"/>
        <v>DSUM('NHAN VIEN'!$E$5:$Q$2133,"8",'NHAN VIEN'!$AC$11:$AC$12)</v>
      </c>
      <c r="AQ26" t="str">
        <f t="shared" si="27"/>
        <v>DSUM('NHAN VIEN'!$E$5:$Q$2133,"9",'NHAN VIEN'!$AC$11:$AC$12)</v>
      </c>
      <c r="AR26" t="str">
        <f t="shared" si="28"/>
        <v>DSUM('NHAN VIEN'!$E$5:$Q$2133,"10",'NHAN VIEN'!$AC$11:$AC$12)</v>
      </c>
      <c r="AS26" t="str">
        <f t="shared" si="29"/>
        <v>DSUM('NHAN VIEN'!$E$5:$Q$2133,"11",'NHAN VIEN'!$AC$11:$AC$12)</v>
      </c>
      <c r="AT26" t="str">
        <f t="shared" si="30"/>
        <v>DSUM('NHAN VIEN'!$E$5:$Q$2133,"12",'NHAN VIEN'!$AC$11:$AC$12)</v>
      </c>
      <c r="AU26"/>
      <c r="AV26" t="str">
        <f t="shared" si="31"/>
        <v>'NHAN VIEN'!$AC$11:$AC$12</v>
      </c>
      <c r="AY26" s="103" t="str">
        <f t="shared" si="32"/>
        <v>=DSUM('NHAN VIEN'!$E$5:$Q$2133,"1",'NHAN VIEN'!$AC$11:$AC$12)</v>
      </c>
      <c r="AZ26" s="103" t="str">
        <f t="shared" si="34"/>
        <v>=DSUM('NHAN VIEN'!$E$5:$Q$2133,"2",'NHAN VIEN'!$AC$11:$AC$12)</v>
      </c>
      <c r="BA26" s="103" t="str">
        <f t="shared" si="35"/>
        <v>=DSUM('NHAN VIEN'!$E$5:$Q$2133,"3",'NHAN VIEN'!$AC$11:$AC$12)</v>
      </c>
      <c r="BB26" s="103" t="str">
        <f t="shared" si="36"/>
        <v>=DSUM('NHAN VIEN'!$E$5:$Q$2133,"4",'NHAN VIEN'!$AC$11:$AC$12)</v>
      </c>
      <c r="BC26" s="103" t="str">
        <f t="shared" si="37"/>
        <v>=DSUM('NHAN VIEN'!$E$5:$Q$2133,"5",'NHAN VIEN'!$AC$11:$AC$12)</v>
      </c>
      <c r="BD26" s="103" t="str">
        <f t="shared" si="38"/>
        <v>=DSUM('NHAN VIEN'!$E$5:$Q$2133,"6",'NHAN VIEN'!$AC$11:$AC$12)</v>
      </c>
      <c r="BE26" s="103" t="str">
        <f t="shared" si="39"/>
        <v>=DSUM('NHAN VIEN'!$E$5:$Q$2133,"7",'NHAN VIEN'!$AC$11:$AC$12)</v>
      </c>
      <c r="BF26" s="103" t="str">
        <f t="shared" si="40"/>
        <v>=DSUM('NHAN VIEN'!$E$5:$Q$2133,"8",'NHAN VIEN'!$AC$11:$AC$12)</v>
      </c>
      <c r="BG26" s="103" t="str">
        <f t="shared" si="41"/>
        <v>=DSUM('NHAN VIEN'!$E$5:$Q$2133,"9",'NHAN VIEN'!$AC$11:$AC$12)</v>
      </c>
      <c r="BH26" s="103" t="str">
        <f t="shared" si="42"/>
        <v>=DSUM('NHAN VIEN'!$E$5:$Q$2133,"10",'NHAN VIEN'!$AC$11:$AC$12)</v>
      </c>
      <c r="BI26" s="103" t="str">
        <f t="shared" si="43"/>
        <v>=DSUM('NHAN VIEN'!$E$5:$Q$2133,"11",'NHAN VIEN'!$AC$11:$AC$12)</v>
      </c>
      <c r="BJ26" s="103" t="str">
        <f t="shared" si="44"/>
        <v>=DSUM('NHAN VIEN'!$E$5:$Q$2133,"12",'NHAN VIEN'!$AC$11:$AC$12)</v>
      </c>
      <c r="BR26" s="124">
        <f>R26-'KHACH HANG'!S29</f>
        <v>0</v>
      </c>
    </row>
    <row r="27" ht="18" spans="1:70">
      <c r="A27" s="125"/>
      <c r="B27" s="118">
        <f t="shared" si="45"/>
        <v>25</v>
      </c>
      <c r="C27" s="119" t="str">
        <f>VLOOKUP(B27,DMSP!$A$1:$C$39,2,0)</f>
        <v>6.BVTV</v>
      </c>
      <c r="D27" s="120" t="str">
        <f>VLOOKUP(B27,DMSP!$A$1:$C$39,3,0)</f>
        <v>HEXA 5</v>
      </c>
      <c r="E27" s="121">
        <f t="shared" si="7"/>
        <v>78</v>
      </c>
      <c r="F27" s="122">
        <f>DSUM('KHACH HANG'!$E$5:$R$2133,"1",'KHACH HANG'!$Y$13:$Y$14)</f>
        <v>15</v>
      </c>
      <c r="G27" s="122">
        <f>DSUM('KHACH HANG'!$E$5:$R$2133,"2",'KHACH HANG'!$Y$13:$Y$14)</f>
        <v>15</v>
      </c>
      <c r="H27" s="122">
        <f>DSUM('KHACH HANG'!$E$5:$R$2133,"3",'KHACH HANG'!$Y$13:$Y$14)</f>
        <v>0</v>
      </c>
      <c r="I27" s="122">
        <f>DSUM('KHACH HANG'!$E$5:$R$2133,"4",'KHACH HANG'!$Y$13:$Y$14)</f>
        <v>30</v>
      </c>
      <c r="J27" s="122">
        <f>DSUM('KHACH HANG'!$E$5:$R$2133,"5",'KHACH HANG'!$Y$13:$Y$14)</f>
        <v>0</v>
      </c>
      <c r="K27" s="122">
        <f>DSUM('KHACH HANG'!$E$5:$R$2133,"6",'KHACH HANG'!$Y$13:$Y$14)</f>
        <v>15</v>
      </c>
      <c r="L27" s="122">
        <f>DSUM('KHACH HANG'!$E$5:$R$2133,"7",'KHACH HANG'!$Y$13:$Y$14)</f>
        <v>3</v>
      </c>
      <c r="M27" s="122">
        <f>DSUM('KHACH HANG'!$E$5:$R$2133,"8",'KHACH HANG'!$Y$13:$Y$14)</f>
        <v>0</v>
      </c>
      <c r="N27" s="122">
        <f>DSUM('KHACH HANG'!$E$5:$R$2133,"9",'KHACH HANG'!$Y$13:$Y$14)</f>
        <v>0</v>
      </c>
      <c r="O27" s="122">
        <f>DSUM('KHACH HANG'!$E$5:$R$2133,"10",'KHACH HANG'!$Y$13:$Y$14)</f>
        <v>0</v>
      </c>
      <c r="P27" s="122">
        <f>DSUM('KHACH HANG'!$E$5:$R$2133,"11",'KHACH HANG'!$Y$13:$Y$14)</f>
        <v>0</v>
      </c>
      <c r="Q27" s="122">
        <f>DSUM('KHACH HANG'!$E$5:$R$2133,"12",'KHACH HANG'!$Y$13:$Y$14)</f>
        <v>0</v>
      </c>
      <c r="R27" s="123">
        <f t="shared" si="3"/>
        <v>78</v>
      </c>
      <c r="S27" s="6"/>
      <c r="T27" t="s">
        <v>41</v>
      </c>
      <c r="U27">
        <v>13</v>
      </c>
      <c r="V27">
        <v>14</v>
      </c>
      <c r="W27" t="s">
        <v>42</v>
      </c>
      <c r="X27" t="str">
        <f t="shared" si="8"/>
        <v>DSUM('NHAN VIEN'!$E$5:$Q$2133,"2"</v>
      </c>
      <c r="Y27" t="str">
        <f t="shared" si="9"/>
        <v>DSUM('NHAN VIEN'!$E$5:$Q$2133,"3"</v>
      </c>
      <c r="Z27" t="str">
        <f t="shared" si="10"/>
        <v>DSUM('NHAN VIEN'!$E$5:$Q$2133,"4"</v>
      </c>
      <c r="AA27" t="str">
        <f t="shared" si="11"/>
        <v>DSUM('NHAN VIEN'!$E$5:$Q$2133,"5"</v>
      </c>
      <c r="AB27" t="str">
        <f t="shared" si="12"/>
        <v>DSUM('NHAN VIEN'!$E$5:$Q$2133,"6"</v>
      </c>
      <c r="AC27" t="str">
        <f t="shared" si="13"/>
        <v>DSUM('NHAN VIEN'!$E$5:$Q$2133,"7"</v>
      </c>
      <c r="AD27" t="str">
        <f t="shared" si="14"/>
        <v>DSUM('NHAN VIEN'!$E$5:$Q$2133,"8"</v>
      </c>
      <c r="AE27" t="str">
        <f t="shared" si="15"/>
        <v>DSUM('NHAN VIEN'!$E$5:$Q$2133,"9"</v>
      </c>
      <c r="AF27" t="str">
        <f t="shared" si="16"/>
        <v>DSUM('NHAN VIEN'!$E$5:$Q$2133,"10"</v>
      </c>
      <c r="AG27" t="str">
        <f t="shared" si="17"/>
        <v>DSUM('NHAN VIEN'!$E$5:$Q$2133,"11"</v>
      </c>
      <c r="AH27" t="str">
        <f t="shared" si="18"/>
        <v>DSUM('NHAN VIEN'!$E$5:$Q$2133,"12"</v>
      </c>
      <c r="AI27" t="str">
        <f t="shared" si="33"/>
        <v>DSUM('NHAN VIEN'!$E$5:$Q$2133,"1",'NHAN VIEN'!$X$13:$X$14)</v>
      </c>
      <c r="AJ27" t="str">
        <f t="shared" si="20"/>
        <v>DSUM('NHAN VIEN'!$E$5:$Q$2133,"2",'NHAN VIEN'!$X$13:$X$14)</v>
      </c>
      <c r="AK27" t="str">
        <f t="shared" si="21"/>
        <v>DSUM('NHAN VIEN'!$E$5:$Q$2133,"3",'NHAN VIEN'!$X$13:$X$14)</v>
      </c>
      <c r="AL27" t="str">
        <f t="shared" si="22"/>
        <v>DSUM('NHAN VIEN'!$E$5:$Q$2133,"4",'NHAN VIEN'!$X$13:$X$14)</v>
      </c>
      <c r="AM27" t="str">
        <f t="shared" si="23"/>
        <v>DSUM('NHAN VIEN'!$E$5:$Q$2133,"5",'NHAN VIEN'!$X$13:$X$14)</v>
      </c>
      <c r="AN27" t="str">
        <f t="shared" si="24"/>
        <v>DSUM('NHAN VIEN'!$E$5:$Q$2133,"6",'NHAN VIEN'!$X$13:$X$14)</v>
      </c>
      <c r="AO27" t="str">
        <f t="shared" si="25"/>
        <v>DSUM('NHAN VIEN'!$E$5:$Q$2133,"7",'NHAN VIEN'!$X$13:$X$14)</v>
      </c>
      <c r="AP27" t="str">
        <f t="shared" si="26"/>
        <v>DSUM('NHAN VIEN'!$E$5:$Q$2133,"8",'NHAN VIEN'!$X$13:$X$14)</v>
      </c>
      <c r="AQ27" t="str">
        <f t="shared" si="27"/>
        <v>DSUM('NHAN VIEN'!$E$5:$Q$2133,"9",'NHAN VIEN'!$X$13:$X$14)</v>
      </c>
      <c r="AR27" t="str">
        <f t="shared" si="28"/>
        <v>DSUM('NHAN VIEN'!$E$5:$Q$2133,"10",'NHAN VIEN'!$X$13:$X$14)</v>
      </c>
      <c r="AS27" t="str">
        <f t="shared" si="29"/>
        <v>DSUM('NHAN VIEN'!$E$5:$Q$2133,"11",'NHAN VIEN'!$X$13:$X$14)</v>
      </c>
      <c r="AT27" t="str">
        <f t="shared" si="30"/>
        <v>DSUM('NHAN VIEN'!$E$5:$Q$2133,"12",'NHAN VIEN'!$X$13:$X$14)</v>
      </c>
      <c r="AU27"/>
      <c r="AV27" t="str">
        <f t="shared" si="31"/>
        <v>'NHAN VIEN'!$X$13:$X$14</v>
      </c>
      <c r="AY27" s="103" t="str">
        <f t="shared" si="32"/>
        <v>=DSUM('NHAN VIEN'!$E$5:$Q$2133,"1",'NHAN VIEN'!$X$13:$X$14)</v>
      </c>
      <c r="AZ27" s="103" t="str">
        <f t="shared" si="34"/>
        <v>=DSUM('NHAN VIEN'!$E$5:$Q$2133,"2",'NHAN VIEN'!$X$13:$X$14)</v>
      </c>
      <c r="BA27" s="103" t="str">
        <f t="shared" si="35"/>
        <v>=DSUM('NHAN VIEN'!$E$5:$Q$2133,"3",'NHAN VIEN'!$X$13:$X$14)</v>
      </c>
      <c r="BB27" s="103" t="str">
        <f t="shared" si="36"/>
        <v>=DSUM('NHAN VIEN'!$E$5:$Q$2133,"4",'NHAN VIEN'!$X$13:$X$14)</v>
      </c>
      <c r="BC27" s="103" t="str">
        <f t="shared" si="37"/>
        <v>=DSUM('NHAN VIEN'!$E$5:$Q$2133,"5",'NHAN VIEN'!$X$13:$X$14)</v>
      </c>
      <c r="BD27" s="103" t="str">
        <f t="shared" si="38"/>
        <v>=DSUM('NHAN VIEN'!$E$5:$Q$2133,"6",'NHAN VIEN'!$X$13:$X$14)</v>
      </c>
      <c r="BE27" s="103" t="str">
        <f t="shared" si="39"/>
        <v>=DSUM('NHAN VIEN'!$E$5:$Q$2133,"7",'NHAN VIEN'!$X$13:$X$14)</v>
      </c>
      <c r="BF27" s="103" t="str">
        <f t="shared" si="40"/>
        <v>=DSUM('NHAN VIEN'!$E$5:$Q$2133,"8",'NHAN VIEN'!$X$13:$X$14)</v>
      </c>
      <c r="BG27" s="103" t="str">
        <f t="shared" si="41"/>
        <v>=DSUM('NHAN VIEN'!$E$5:$Q$2133,"9",'NHAN VIEN'!$X$13:$X$14)</v>
      </c>
      <c r="BH27" s="103" t="str">
        <f t="shared" si="42"/>
        <v>=DSUM('NHAN VIEN'!$E$5:$Q$2133,"10",'NHAN VIEN'!$X$13:$X$14)</v>
      </c>
      <c r="BI27" s="103" t="str">
        <f t="shared" si="43"/>
        <v>=DSUM('NHAN VIEN'!$E$5:$Q$2133,"11",'NHAN VIEN'!$X$13:$X$14)</v>
      </c>
      <c r="BJ27" s="103" t="str">
        <f t="shared" si="44"/>
        <v>=DSUM('NHAN VIEN'!$E$5:$Q$2133,"12",'NHAN VIEN'!$X$13:$X$14)</v>
      </c>
      <c r="BR27" s="124">
        <f>R27-'KHACH HANG'!S30</f>
        <v>3</v>
      </c>
    </row>
    <row r="28" ht="18" spans="1:70">
      <c r="A28" s="125"/>
      <c r="B28" s="118">
        <f t="shared" si="45"/>
        <v>26</v>
      </c>
      <c r="C28" s="119" t="str">
        <f>VLOOKUP(B28,DMSP!$A$1:$C$39,2,0)</f>
        <v>6.BVTV</v>
      </c>
      <c r="D28" s="120" t="str">
        <f>VLOOKUP(B28,DMSP!$A$1:$C$39,3,0)</f>
        <v>TAMALA</v>
      </c>
      <c r="E28" s="121">
        <f t="shared" si="7"/>
        <v>0</v>
      </c>
      <c r="F28" s="122">
        <f>DSUM('KHACH HANG'!$E$5:$R$2133,"1",'KHACH HANG'!$Z$13:$Z$14)</f>
        <v>0</v>
      </c>
      <c r="G28" s="122">
        <f>DSUM('KHACH HANG'!$E$5:$R$2133,"2",'KHACH HANG'!$Z$13:$Z$14)</f>
        <v>0</v>
      </c>
      <c r="H28" s="122">
        <f>DSUM('KHACH HANG'!$E$5:$R$2133,"3",'KHACH HANG'!$Z$13:$Z$14)</f>
        <v>0</v>
      </c>
      <c r="I28" s="122">
        <f>DSUM('KHACH HANG'!$E$5:$R$2133,"4",'KHACH HANG'!$Z$13:$Z$14)</f>
        <v>0</v>
      </c>
      <c r="J28" s="122">
        <f>DSUM('KHACH HANG'!$E$5:$R$2133,"5",'KHACH HANG'!$Z$13:$Z$14)</f>
        <v>0</v>
      </c>
      <c r="K28" s="122">
        <f>DSUM('KHACH HANG'!$E$5:$R$2133,"6",'KHACH HANG'!$Z$13:$Z$14)</f>
        <v>0</v>
      </c>
      <c r="L28" s="122">
        <f>DSUM('KHACH HANG'!$E$5:$R$2133,"7",'KHACH HANG'!$Z$13:$Z$14)</f>
        <v>0</v>
      </c>
      <c r="M28" s="122">
        <f>DSUM('KHACH HANG'!$E$5:$R$2133,"8",'KHACH HANG'!$Z$13:$Z$14)</f>
        <v>0</v>
      </c>
      <c r="N28" s="122">
        <f>DSUM('KHACH HANG'!$E$5:$R$2133,"9",'KHACH HANG'!$Z$13:$Z$14)</f>
        <v>0</v>
      </c>
      <c r="O28" s="122">
        <f>DSUM('KHACH HANG'!$E$5:$R$2133,"10",'KHACH HANG'!$Z$13:$Z$14)</f>
        <v>0</v>
      </c>
      <c r="P28" s="122">
        <f>DSUM('KHACH HANG'!$E$5:$R$2133,"11",'KHACH HANG'!$Z$13:$Z$14)</f>
        <v>0</v>
      </c>
      <c r="Q28" s="122">
        <f>DSUM('KHACH HANG'!$E$5:$R$2133,"12",'KHACH HANG'!$Z$13:$Z$14)</f>
        <v>0</v>
      </c>
      <c r="R28" s="123">
        <f t="shared" si="3"/>
        <v>0</v>
      </c>
      <c r="S28" s="6"/>
      <c r="T28" t="s">
        <v>43</v>
      </c>
      <c r="U28">
        <v>13</v>
      </c>
      <c r="V28">
        <v>14</v>
      </c>
      <c r="W28" t="s">
        <v>42</v>
      </c>
      <c r="X28" t="str">
        <f t="shared" si="8"/>
        <v>DSUM('NHAN VIEN'!$E$5:$Q$2133,"2"</v>
      </c>
      <c r="Y28" t="str">
        <f t="shared" si="9"/>
        <v>DSUM('NHAN VIEN'!$E$5:$Q$2133,"3"</v>
      </c>
      <c r="Z28" t="str">
        <f t="shared" si="10"/>
        <v>DSUM('NHAN VIEN'!$E$5:$Q$2133,"4"</v>
      </c>
      <c r="AA28" t="str">
        <f t="shared" si="11"/>
        <v>DSUM('NHAN VIEN'!$E$5:$Q$2133,"5"</v>
      </c>
      <c r="AB28" t="str">
        <f t="shared" si="12"/>
        <v>DSUM('NHAN VIEN'!$E$5:$Q$2133,"6"</v>
      </c>
      <c r="AC28" t="str">
        <f t="shared" si="13"/>
        <v>DSUM('NHAN VIEN'!$E$5:$Q$2133,"7"</v>
      </c>
      <c r="AD28" t="str">
        <f t="shared" si="14"/>
        <v>DSUM('NHAN VIEN'!$E$5:$Q$2133,"8"</v>
      </c>
      <c r="AE28" t="str">
        <f t="shared" si="15"/>
        <v>DSUM('NHAN VIEN'!$E$5:$Q$2133,"9"</v>
      </c>
      <c r="AF28" t="str">
        <f t="shared" si="16"/>
        <v>DSUM('NHAN VIEN'!$E$5:$Q$2133,"10"</v>
      </c>
      <c r="AG28" t="str">
        <f t="shared" si="17"/>
        <v>DSUM('NHAN VIEN'!$E$5:$Q$2133,"11"</v>
      </c>
      <c r="AH28" t="str">
        <f t="shared" si="18"/>
        <v>DSUM('NHAN VIEN'!$E$5:$Q$2133,"12"</v>
      </c>
      <c r="AI28" t="str">
        <f t="shared" si="33"/>
        <v>DSUM('NHAN VIEN'!$E$5:$Q$2133,"1",'NHAN VIEN'!$Y$13:$Y$14)</v>
      </c>
      <c r="AJ28" t="str">
        <f t="shared" si="20"/>
        <v>DSUM('NHAN VIEN'!$E$5:$Q$2133,"2",'NHAN VIEN'!$Y$13:$Y$14)</v>
      </c>
      <c r="AK28" t="str">
        <f t="shared" si="21"/>
        <v>DSUM('NHAN VIEN'!$E$5:$Q$2133,"3",'NHAN VIEN'!$Y$13:$Y$14)</v>
      </c>
      <c r="AL28" t="str">
        <f t="shared" si="22"/>
        <v>DSUM('NHAN VIEN'!$E$5:$Q$2133,"4",'NHAN VIEN'!$Y$13:$Y$14)</v>
      </c>
      <c r="AM28" t="str">
        <f t="shared" si="23"/>
        <v>DSUM('NHAN VIEN'!$E$5:$Q$2133,"5",'NHAN VIEN'!$Y$13:$Y$14)</v>
      </c>
      <c r="AN28" t="str">
        <f t="shared" si="24"/>
        <v>DSUM('NHAN VIEN'!$E$5:$Q$2133,"6",'NHAN VIEN'!$Y$13:$Y$14)</v>
      </c>
      <c r="AO28" t="str">
        <f t="shared" si="25"/>
        <v>DSUM('NHAN VIEN'!$E$5:$Q$2133,"7",'NHAN VIEN'!$Y$13:$Y$14)</v>
      </c>
      <c r="AP28" t="str">
        <f t="shared" si="26"/>
        <v>DSUM('NHAN VIEN'!$E$5:$Q$2133,"8",'NHAN VIEN'!$Y$13:$Y$14)</v>
      </c>
      <c r="AQ28" t="str">
        <f t="shared" si="27"/>
        <v>DSUM('NHAN VIEN'!$E$5:$Q$2133,"9",'NHAN VIEN'!$Y$13:$Y$14)</v>
      </c>
      <c r="AR28" t="str">
        <f t="shared" si="28"/>
        <v>DSUM('NHAN VIEN'!$E$5:$Q$2133,"10",'NHAN VIEN'!$Y$13:$Y$14)</v>
      </c>
      <c r="AS28" t="str">
        <f t="shared" si="29"/>
        <v>DSUM('NHAN VIEN'!$E$5:$Q$2133,"11",'NHAN VIEN'!$Y$13:$Y$14)</v>
      </c>
      <c r="AT28" t="str">
        <f t="shared" si="30"/>
        <v>DSUM('NHAN VIEN'!$E$5:$Q$2133,"12",'NHAN VIEN'!$Y$13:$Y$14)</v>
      </c>
      <c r="AU28"/>
      <c r="AV28" t="str">
        <f t="shared" si="31"/>
        <v>'NHAN VIEN'!$Y$13:$Y$14</v>
      </c>
      <c r="AY28" s="103" t="str">
        <f t="shared" si="32"/>
        <v>=DSUM('NHAN VIEN'!$E$5:$Q$2133,"1",'NHAN VIEN'!$Y$13:$Y$14)</v>
      </c>
      <c r="AZ28" s="103" t="str">
        <f t="shared" si="34"/>
        <v>=DSUM('NHAN VIEN'!$E$5:$Q$2133,"2",'NHAN VIEN'!$Y$13:$Y$14)</v>
      </c>
      <c r="BA28" s="103" t="str">
        <f t="shared" si="35"/>
        <v>=DSUM('NHAN VIEN'!$E$5:$Q$2133,"3",'NHAN VIEN'!$Y$13:$Y$14)</v>
      </c>
      <c r="BB28" s="103" t="str">
        <f t="shared" si="36"/>
        <v>=DSUM('NHAN VIEN'!$E$5:$Q$2133,"4",'NHAN VIEN'!$Y$13:$Y$14)</v>
      </c>
      <c r="BC28" s="103" t="str">
        <f t="shared" si="37"/>
        <v>=DSUM('NHAN VIEN'!$E$5:$Q$2133,"5",'NHAN VIEN'!$Y$13:$Y$14)</v>
      </c>
      <c r="BD28" s="103" t="str">
        <f t="shared" si="38"/>
        <v>=DSUM('NHAN VIEN'!$E$5:$Q$2133,"6",'NHAN VIEN'!$Y$13:$Y$14)</v>
      </c>
      <c r="BE28" s="103" t="str">
        <f t="shared" si="39"/>
        <v>=DSUM('NHAN VIEN'!$E$5:$Q$2133,"7",'NHAN VIEN'!$Y$13:$Y$14)</v>
      </c>
      <c r="BF28" s="103" t="str">
        <f t="shared" si="40"/>
        <v>=DSUM('NHAN VIEN'!$E$5:$Q$2133,"8",'NHAN VIEN'!$Y$13:$Y$14)</v>
      </c>
      <c r="BG28" s="103" t="str">
        <f t="shared" si="41"/>
        <v>=DSUM('NHAN VIEN'!$E$5:$Q$2133,"9",'NHAN VIEN'!$Y$13:$Y$14)</v>
      </c>
      <c r="BH28" s="103" t="str">
        <f t="shared" si="42"/>
        <v>=DSUM('NHAN VIEN'!$E$5:$Q$2133,"10",'NHAN VIEN'!$Y$13:$Y$14)</v>
      </c>
      <c r="BI28" s="103" t="str">
        <f t="shared" si="43"/>
        <v>=DSUM('NHAN VIEN'!$E$5:$Q$2133,"11",'NHAN VIEN'!$Y$13:$Y$14)</v>
      </c>
      <c r="BJ28" s="103" t="str">
        <f t="shared" si="44"/>
        <v>=DSUM('NHAN VIEN'!$E$5:$Q$2133,"12",'NHAN VIEN'!$Y$13:$Y$14)</v>
      </c>
      <c r="BR28" s="124">
        <f>R28-'KHACH HANG'!S31</f>
        <v>0</v>
      </c>
    </row>
    <row r="29" ht="18" spans="1:70">
      <c r="A29" s="125"/>
      <c r="B29" s="118">
        <f t="shared" si="45"/>
        <v>27</v>
      </c>
      <c r="C29" s="119" t="str">
        <f>VLOOKUP(B29,DMSP!$A$1:$C$39,2,0)</f>
        <v>7.KHÁC</v>
      </c>
      <c r="D29" s="120" t="str">
        <f>VLOOKUP(B29,DMSP!$A$1:$C$39,3,0)</f>
        <v>KẼM VÀNG</v>
      </c>
      <c r="E29" s="121">
        <f t="shared" si="7"/>
        <v>0</v>
      </c>
      <c r="F29" s="122">
        <f>DSUM('KHACH HANG'!$E$5:$R$2133,"1",'KHACH HANG'!$AA$13:$AA$14)</f>
        <v>0</v>
      </c>
      <c r="G29" s="122">
        <f>DSUM('KHACH HANG'!$E$5:$R$2133,"2",'KHACH HANG'!$AA$13:$AA$14)</f>
        <v>0</v>
      </c>
      <c r="H29" s="122">
        <f>DSUM('KHACH HANG'!$E$5:$R$2133,"3",'KHACH HANG'!$AA$13:$AA$14)</f>
        <v>0</v>
      </c>
      <c r="I29" s="122">
        <f>DSUM('KHACH HANG'!$E$5:$R$2133,"4",'KHACH HANG'!$AA$13:$AA$14)</f>
        <v>0</v>
      </c>
      <c r="J29" s="122">
        <f>DSUM('KHACH HANG'!$E$5:$R$2133,"5",'KHACH HANG'!$AA$13:$AA$14)</f>
        <v>0</v>
      </c>
      <c r="K29" s="122">
        <f>DSUM('KHACH HANG'!$E$5:$R$2133,"6",'KHACH HANG'!$AA$13:$AA$14)</f>
        <v>0</v>
      </c>
      <c r="L29" s="122">
        <f>DSUM('KHACH HANG'!$E$5:$R$2133,"7",'KHACH HANG'!$AA$13:$AA$14)</f>
        <v>0</v>
      </c>
      <c r="M29" s="122">
        <f>DSUM('KHACH HANG'!$E$5:$R$2133,"8",'KHACH HANG'!$AA$13:$AA$14)</f>
        <v>0</v>
      </c>
      <c r="N29" s="122">
        <f>DSUM('KHACH HANG'!$E$5:$R$2133,"9",'KHACH HANG'!$AA$13:$AA$14)</f>
        <v>0</v>
      </c>
      <c r="O29" s="122">
        <f>DSUM('KHACH HANG'!$E$5:$R$2133,"10",'KHACH HANG'!$AA$13:$AA$14)</f>
        <v>0</v>
      </c>
      <c r="P29" s="122">
        <f>DSUM('KHACH HANG'!$E$5:$R$2133,"11",'KHACH HANG'!$AA$13:$AA$14)</f>
        <v>0</v>
      </c>
      <c r="Q29" s="122">
        <f>DSUM('KHACH HANG'!$E$5:$R$2133,"12",'KHACH HANG'!$AA$13:$AA$14)</f>
        <v>0</v>
      </c>
      <c r="R29" s="123">
        <f t="shared" si="3"/>
        <v>0</v>
      </c>
      <c r="S29" s="6"/>
      <c r="T29" t="s">
        <v>44</v>
      </c>
      <c r="U29">
        <v>13</v>
      </c>
      <c r="V29">
        <v>14</v>
      </c>
      <c r="W29" t="s">
        <v>42</v>
      </c>
      <c r="X29" t="str">
        <f t="shared" si="8"/>
        <v>DSUM('NHAN VIEN'!$E$5:$Q$2133,"2"</v>
      </c>
      <c r="Y29" t="str">
        <f t="shared" si="9"/>
        <v>DSUM('NHAN VIEN'!$E$5:$Q$2133,"3"</v>
      </c>
      <c r="Z29" t="str">
        <f t="shared" si="10"/>
        <v>DSUM('NHAN VIEN'!$E$5:$Q$2133,"4"</v>
      </c>
      <c r="AA29" t="str">
        <f t="shared" si="11"/>
        <v>DSUM('NHAN VIEN'!$E$5:$Q$2133,"5"</v>
      </c>
      <c r="AB29" t="str">
        <f t="shared" si="12"/>
        <v>DSUM('NHAN VIEN'!$E$5:$Q$2133,"6"</v>
      </c>
      <c r="AC29" t="str">
        <f t="shared" si="13"/>
        <v>DSUM('NHAN VIEN'!$E$5:$Q$2133,"7"</v>
      </c>
      <c r="AD29" t="str">
        <f t="shared" si="14"/>
        <v>DSUM('NHAN VIEN'!$E$5:$Q$2133,"8"</v>
      </c>
      <c r="AE29" t="str">
        <f t="shared" si="15"/>
        <v>DSUM('NHAN VIEN'!$E$5:$Q$2133,"9"</v>
      </c>
      <c r="AF29" t="str">
        <f t="shared" si="16"/>
        <v>DSUM('NHAN VIEN'!$E$5:$Q$2133,"10"</v>
      </c>
      <c r="AG29" t="str">
        <f t="shared" si="17"/>
        <v>DSUM('NHAN VIEN'!$E$5:$Q$2133,"11"</v>
      </c>
      <c r="AH29" t="str">
        <f t="shared" si="18"/>
        <v>DSUM('NHAN VIEN'!$E$5:$Q$2133,"12"</v>
      </c>
      <c r="AI29" t="str">
        <f t="shared" si="33"/>
        <v>DSUM('NHAN VIEN'!$E$5:$Q$2133,"1",'NHAN VIEN'!$Z$13:$Z$14)</v>
      </c>
      <c r="AJ29" t="str">
        <f t="shared" si="20"/>
        <v>DSUM('NHAN VIEN'!$E$5:$Q$2133,"2",'NHAN VIEN'!$Z$13:$Z$14)</v>
      </c>
      <c r="AK29" t="str">
        <f t="shared" si="21"/>
        <v>DSUM('NHAN VIEN'!$E$5:$Q$2133,"3",'NHAN VIEN'!$Z$13:$Z$14)</v>
      </c>
      <c r="AL29" t="str">
        <f t="shared" si="22"/>
        <v>DSUM('NHAN VIEN'!$E$5:$Q$2133,"4",'NHAN VIEN'!$Z$13:$Z$14)</v>
      </c>
      <c r="AM29" t="str">
        <f t="shared" si="23"/>
        <v>DSUM('NHAN VIEN'!$E$5:$Q$2133,"5",'NHAN VIEN'!$Z$13:$Z$14)</v>
      </c>
      <c r="AN29" t="str">
        <f t="shared" si="24"/>
        <v>DSUM('NHAN VIEN'!$E$5:$Q$2133,"6",'NHAN VIEN'!$Z$13:$Z$14)</v>
      </c>
      <c r="AO29" t="str">
        <f t="shared" si="25"/>
        <v>DSUM('NHAN VIEN'!$E$5:$Q$2133,"7",'NHAN VIEN'!$Z$13:$Z$14)</v>
      </c>
      <c r="AP29" t="str">
        <f t="shared" si="26"/>
        <v>DSUM('NHAN VIEN'!$E$5:$Q$2133,"8",'NHAN VIEN'!$Z$13:$Z$14)</v>
      </c>
      <c r="AQ29" t="str">
        <f t="shared" si="27"/>
        <v>DSUM('NHAN VIEN'!$E$5:$Q$2133,"9",'NHAN VIEN'!$Z$13:$Z$14)</v>
      </c>
      <c r="AR29" t="str">
        <f t="shared" si="28"/>
        <v>DSUM('NHAN VIEN'!$E$5:$Q$2133,"10",'NHAN VIEN'!$Z$13:$Z$14)</v>
      </c>
      <c r="AS29" t="str">
        <f t="shared" si="29"/>
        <v>DSUM('NHAN VIEN'!$E$5:$Q$2133,"11",'NHAN VIEN'!$Z$13:$Z$14)</v>
      </c>
      <c r="AT29" t="str">
        <f t="shared" si="30"/>
        <v>DSUM('NHAN VIEN'!$E$5:$Q$2133,"12",'NHAN VIEN'!$Z$13:$Z$14)</v>
      </c>
      <c r="AU29"/>
      <c r="AV29" t="str">
        <f t="shared" si="31"/>
        <v>'NHAN VIEN'!$Z$13:$Z$14</v>
      </c>
      <c r="AY29" s="103" t="str">
        <f t="shared" si="32"/>
        <v>=DSUM('NHAN VIEN'!$E$5:$Q$2133,"1",'NHAN VIEN'!$Z$13:$Z$14)</v>
      </c>
      <c r="AZ29" s="103" t="str">
        <f t="shared" si="34"/>
        <v>=DSUM('NHAN VIEN'!$E$5:$Q$2133,"2",'NHAN VIEN'!$Z$13:$Z$14)</v>
      </c>
      <c r="BA29" s="103" t="str">
        <f t="shared" si="35"/>
        <v>=DSUM('NHAN VIEN'!$E$5:$Q$2133,"3",'NHAN VIEN'!$Z$13:$Z$14)</v>
      </c>
      <c r="BB29" s="103" t="str">
        <f t="shared" si="36"/>
        <v>=DSUM('NHAN VIEN'!$E$5:$Q$2133,"4",'NHAN VIEN'!$Z$13:$Z$14)</v>
      </c>
      <c r="BC29" s="103" t="str">
        <f t="shared" si="37"/>
        <v>=DSUM('NHAN VIEN'!$E$5:$Q$2133,"5",'NHAN VIEN'!$Z$13:$Z$14)</v>
      </c>
      <c r="BD29" s="103" t="str">
        <f t="shared" si="38"/>
        <v>=DSUM('NHAN VIEN'!$E$5:$Q$2133,"6",'NHAN VIEN'!$Z$13:$Z$14)</v>
      </c>
      <c r="BE29" s="103" t="str">
        <f t="shared" si="39"/>
        <v>=DSUM('NHAN VIEN'!$E$5:$Q$2133,"7",'NHAN VIEN'!$Z$13:$Z$14)</v>
      </c>
      <c r="BF29" s="103" t="str">
        <f t="shared" si="40"/>
        <v>=DSUM('NHAN VIEN'!$E$5:$Q$2133,"8",'NHAN VIEN'!$Z$13:$Z$14)</v>
      </c>
      <c r="BG29" s="103" t="str">
        <f t="shared" si="41"/>
        <v>=DSUM('NHAN VIEN'!$E$5:$Q$2133,"9",'NHAN VIEN'!$Z$13:$Z$14)</v>
      </c>
      <c r="BH29" s="103" t="str">
        <f t="shared" si="42"/>
        <v>=DSUM('NHAN VIEN'!$E$5:$Q$2133,"10",'NHAN VIEN'!$Z$13:$Z$14)</v>
      </c>
      <c r="BI29" s="103" t="str">
        <f t="shared" si="43"/>
        <v>=DSUM('NHAN VIEN'!$E$5:$Q$2133,"11",'NHAN VIEN'!$Z$13:$Z$14)</v>
      </c>
      <c r="BJ29" s="103" t="str">
        <f t="shared" si="44"/>
        <v>=DSUM('NHAN VIEN'!$E$5:$Q$2133,"12",'NHAN VIEN'!$Z$13:$Z$14)</v>
      </c>
      <c r="BR29" s="124">
        <f>R29-'KHACH HANG'!S32</f>
        <v>0</v>
      </c>
    </row>
    <row r="30" ht="18" spans="1:70">
      <c r="A30" s="125"/>
      <c r="B30" s="118">
        <f t="shared" si="45"/>
        <v>28</v>
      </c>
      <c r="C30" s="119" t="str">
        <f>VLOOKUP(B30,DMSP!$A$1:$C$39,2,0)</f>
        <v>7.KHÁC</v>
      </c>
      <c r="D30" s="120" t="str">
        <f>VLOOKUP(B30,DMSP!$A$1:$C$39,3,0)</f>
        <v>KHÁC1</v>
      </c>
      <c r="E30" s="121">
        <f t="shared" si="7"/>
        <v>433</v>
      </c>
      <c r="F30" s="122">
        <f>DSUM('KHACH HANG'!$E$5:$R$2133,"1",'KHACH HANG'!$AB$13:$AB$14)</f>
        <v>102</v>
      </c>
      <c r="G30" s="122">
        <f>DSUM('KHACH HANG'!$E$5:$R$2133,"2",'KHACH HANG'!$AB$13:$AB$14)</f>
        <v>27</v>
      </c>
      <c r="H30" s="122">
        <f>DSUM('KHACH HANG'!$E$5:$R$2133,"3",'KHACH HANG'!$AB$13:$AB$14)</f>
        <v>88</v>
      </c>
      <c r="I30" s="122">
        <f>DSUM('KHACH HANG'!$E$5:$R$2133,"4",'KHACH HANG'!$AB$13:$AB$14)</f>
        <v>78</v>
      </c>
      <c r="J30" s="122">
        <f>DSUM('KHACH HANG'!$E$5:$R$2133,"5",'KHACH HANG'!$AB$13:$AB$14)</f>
        <v>27</v>
      </c>
      <c r="K30" s="122">
        <f>DSUM('KHACH HANG'!$E$5:$R$2133,"6",'KHACH HANG'!$AB$13:$AB$14)</f>
        <v>9</v>
      </c>
      <c r="L30" s="122">
        <f>DSUM('KHACH HANG'!$E$5:$R$2133,"7",'KHACH HANG'!$AB$13:$AB$14)</f>
        <v>0</v>
      </c>
      <c r="M30" s="122">
        <f>DSUM('KHACH HANG'!$E$5:$R$2133,"8",'KHACH HANG'!$AB$13:$AB$14)</f>
        <v>0</v>
      </c>
      <c r="N30" s="122">
        <f>DSUM('KHACH HANG'!$E$5:$R$2133,"9",'KHACH HANG'!$AB$13:$AB$14)</f>
        <v>0</v>
      </c>
      <c r="O30" s="122">
        <f>DSUM('KHACH HANG'!$E$5:$R$2133,"10",'KHACH HANG'!$AB$13:$AB$14)</f>
        <v>0</v>
      </c>
      <c r="P30" s="122">
        <f>DSUM('KHACH HANG'!$E$5:$R$2133,"11",'KHACH HANG'!$AB$13:$AB$14)</f>
        <v>24</v>
      </c>
      <c r="Q30" s="122">
        <f>DSUM('KHACH HANG'!$E$5:$R$2133,"12",'KHACH HANG'!$AB$13:$AB$14)</f>
        <v>78</v>
      </c>
      <c r="R30" s="123">
        <f t="shared" si="3"/>
        <v>433</v>
      </c>
      <c r="S30" s="6"/>
      <c r="T30" t="s">
        <v>45</v>
      </c>
      <c r="U30">
        <v>13</v>
      </c>
      <c r="V30">
        <v>14</v>
      </c>
      <c r="W30" t="s">
        <v>42</v>
      </c>
      <c r="X30" t="str">
        <f t="shared" si="8"/>
        <v>DSUM('NHAN VIEN'!$E$5:$Q$2133,"2"</v>
      </c>
      <c r="Y30" t="str">
        <f t="shared" si="9"/>
        <v>DSUM('NHAN VIEN'!$E$5:$Q$2133,"3"</v>
      </c>
      <c r="Z30" t="str">
        <f t="shared" si="10"/>
        <v>DSUM('NHAN VIEN'!$E$5:$Q$2133,"4"</v>
      </c>
      <c r="AA30" t="str">
        <f t="shared" si="11"/>
        <v>DSUM('NHAN VIEN'!$E$5:$Q$2133,"5"</v>
      </c>
      <c r="AB30" t="str">
        <f t="shared" si="12"/>
        <v>DSUM('NHAN VIEN'!$E$5:$Q$2133,"6"</v>
      </c>
      <c r="AC30" t="str">
        <f t="shared" si="13"/>
        <v>DSUM('NHAN VIEN'!$E$5:$Q$2133,"7"</v>
      </c>
      <c r="AD30" t="str">
        <f t="shared" si="14"/>
        <v>DSUM('NHAN VIEN'!$E$5:$Q$2133,"8"</v>
      </c>
      <c r="AE30" t="str">
        <f t="shared" si="15"/>
        <v>DSUM('NHAN VIEN'!$E$5:$Q$2133,"9"</v>
      </c>
      <c r="AF30" t="str">
        <f t="shared" si="16"/>
        <v>DSUM('NHAN VIEN'!$E$5:$Q$2133,"10"</v>
      </c>
      <c r="AG30" t="str">
        <f t="shared" si="17"/>
        <v>DSUM('NHAN VIEN'!$E$5:$Q$2133,"11"</v>
      </c>
      <c r="AH30" t="str">
        <f t="shared" si="18"/>
        <v>DSUM('NHAN VIEN'!$E$5:$Q$2133,"12"</v>
      </c>
      <c r="AI30" t="str">
        <f t="shared" si="33"/>
        <v>DSUM('NHAN VIEN'!$E$5:$Q$2133,"1",'NHAN VIEN'!$AA$13:$AA$14)</v>
      </c>
      <c r="AJ30" t="str">
        <f t="shared" si="20"/>
        <v>DSUM('NHAN VIEN'!$E$5:$Q$2133,"2",'NHAN VIEN'!$AA$13:$AA$14)</v>
      </c>
      <c r="AK30" t="str">
        <f t="shared" si="21"/>
        <v>DSUM('NHAN VIEN'!$E$5:$Q$2133,"3",'NHAN VIEN'!$AA$13:$AA$14)</v>
      </c>
      <c r="AL30" t="str">
        <f t="shared" si="22"/>
        <v>DSUM('NHAN VIEN'!$E$5:$Q$2133,"4",'NHAN VIEN'!$AA$13:$AA$14)</v>
      </c>
      <c r="AM30" t="str">
        <f t="shared" si="23"/>
        <v>DSUM('NHAN VIEN'!$E$5:$Q$2133,"5",'NHAN VIEN'!$AA$13:$AA$14)</v>
      </c>
      <c r="AN30" t="str">
        <f t="shared" si="24"/>
        <v>DSUM('NHAN VIEN'!$E$5:$Q$2133,"6",'NHAN VIEN'!$AA$13:$AA$14)</v>
      </c>
      <c r="AO30" t="str">
        <f t="shared" si="25"/>
        <v>DSUM('NHAN VIEN'!$E$5:$Q$2133,"7",'NHAN VIEN'!$AA$13:$AA$14)</v>
      </c>
      <c r="AP30" t="str">
        <f t="shared" si="26"/>
        <v>DSUM('NHAN VIEN'!$E$5:$Q$2133,"8",'NHAN VIEN'!$AA$13:$AA$14)</v>
      </c>
      <c r="AQ30" t="str">
        <f t="shared" si="27"/>
        <v>DSUM('NHAN VIEN'!$E$5:$Q$2133,"9",'NHAN VIEN'!$AA$13:$AA$14)</v>
      </c>
      <c r="AR30" t="str">
        <f t="shared" si="28"/>
        <v>DSUM('NHAN VIEN'!$E$5:$Q$2133,"10",'NHAN VIEN'!$AA$13:$AA$14)</v>
      </c>
      <c r="AS30" t="str">
        <f t="shared" si="29"/>
        <v>DSUM('NHAN VIEN'!$E$5:$Q$2133,"11",'NHAN VIEN'!$AA$13:$AA$14)</v>
      </c>
      <c r="AT30" t="str">
        <f t="shared" si="30"/>
        <v>DSUM('NHAN VIEN'!$E$5:$Q$2133,"12",'NHAN VIEN'!$AA$13:$AA$14)</v>
      </c>
      <c r="AU30"/>
      <c r="AV30" t="str">
        <f t="shared" si="31"/>
        <v>'NHAN VIEN'!$AA$13:$AA$14</v>
      </c>
      <c r="AY30" s="103" t="str">
        <f t="shared" si="32"/>
        <v>=DSUM('NHAN VIEN'!$E$5:$Q$2133,"1",'NHAN VIEN'!$AA$13:$AA$14)</v>
      </c>
      <c r="AZ30" s="103" t="str">
        <f t="shared" si="34"/>
        <v>=DSUM('NHAN VIEN'!$E$5:$Q$2133,"2",'NHAN VIEN'!$AA$13:$AA$14)</v>
      </c>
      <c r="BA30" s="103" t="str">
        <f t="shared" si="35"/>
        <v>=DSUM('NHAN VIEN'!$E$5:$Q$2133,"3",'NHAN VIEN'!$AA$13:$AA$14)</v>
      </c>
      <c r="BB30" s="103" t="str">
        <f t="shared" si="36"/>
        <v>=DSUM('NHAN VIEN'!$E$5:$Q$2133,"4",'NHAN VIEN'!$AA$13:$AA$14)</v>
      </c>
      <c r="BC30" s="103" t="str">
        <f t="shared" si="37"/>
        <v>=DSUM('NHAN VIEN'!$E$5:$Q$2133,"5",'NHAN VIEN'!$AA$13:$AA$14)</v>
      </c>
      <c r="BD30" s="103" t="str">
        <f t="shared" si="38"/>
        <v>=DSUM('NHAN VIEN'!$E$5:$Q$2133,"6",'NHAN VIEN'!$AA$13:$AA$14)</v>
      </c>
      <c r="BE30" s="103" t="str">
        <f t="shared" si="39"/>
        <v>=DSUM('NHAN VIEN'!$E$5:$Q$2133,"7",'NHAN VIEN'!$AA$13:$AA$14)</v>
      </c>
      <c r="BF30" s="103" t="str">
        <f t="shared" si="40"/>
        <v>=DSUM('NHAN VIEN'!$E$5:$Q$2133,"8",'NHAN VIEN'!$AA$13:$AA$14)</v>
      </c>
      <c r="BG30" s="103" t="str">
        <f t="shared" si="41"/>
        <v>=DSUM('NHAN VIEN'!$E$5:$Q$2133,"9",'NHAN VIEN'!$AA$13:$AA$14)</v>
      </c>
      <c r="BH30" s="103" t="str">
        <f t="shared" si="42"/>
        <v>=DSUM('NHAN VIEN'!$E$5:$Q$2133,"10",'NHAN VIEN'!$AA$13:$AA$14)</v>
      </c>
      <c r="BI30" s="103" t="str">
        <f t="shared" si="43"/>
        <v>=DSUM('NHAN VIEN'!$E$5:$Q$2133,"11",'NHAN VIEN'!$AA$13:$AA$14)</v>
      </c>
      <c r="BJ30" s="103" t="str">
        <f t="shared" si="44"/>
        <v>=DSUM('NHAN VIEN'!$E$5:$Q$2133,"12",'NHAN VIEN'!$AA$13:$AA$14)</v>
      </c>
      <c r="BR30" s="124">
        <f>R30-'KHACH HANG'!S33</f>
        <v>377</v>
      </c>
    </row>
    <row r="31" ht="18" spans="1:70">
      <c r="A31" s="125"/>
      <c r="B31" s="118">
        <f t="shared" si="45"/>
        <v>29</v>
      </c>
      <c r="C31" s="119" t="str">
        <f>VLOOKUP(B31,DMSP!$A$1:$C$39,2,0)</f>
        <v>7.KHÁC</v>
      </c>
      <c r="D31" s="120" t="s">
        <v>13</v>
      </c>
      <c r="E31" s="121">
        <f t="shared" si="7"/>
        <v>324</v>
      </c>
      <c r="F31" s="122">
        <f>DSUM('KHACH HANG'!$E$5:$R$2133,"1",'KHACH HANG'!$AC$13:$AC$14)</f>
        <v>23</v>
      </c>
      <c r="G31" s="122">
        <f>DSUM('KHACH HANG'!$E$5:$R$2133,"2",'KHACH HANG'!$AC$13:$AC$14)</f>
        <v>68</v>
      </c>
      <c r="H31" s="122">
        <f>DSUM('KHACH HANG'!$E$5:$R$2133,"3",'KHACH HANG'!$AC$13:$AC$14)</f>
        <v>0</v>
      </c>
      <c r="I31" s="122">
        <f>DSUM('KHACH HANG'!$E$5:$R$2133,"4",'KHACH HANG'!$AC$13:$AC$14)</f>
        <v>46</v>
      </c>
      <c r="J31" s="122">
        <f>DSUM('KHACH HANG'!$E$5:$R$2133,"5",'KHACH HANG'!$AC$13:$AC$14)</f>
        <v>27</v>
      </c>
      <c r="K31" s="122">
        <f>DSUM('KHACH HANG'!$E$5:$R$2133,"6",'KHACH HANG'!$AC$13:$AC$14)</f>
        <v>0</v>
      </c>
      <c r="L31" s="122">
        <f>DSUM('KHACH HANG'!$E$5:$R$2133,"7",'KHACH HANG'!$AC$13:$AC$14)</f>
        <v>57</v>
      </c>
      <c r="M31" s="122">
        <f>DSUM('KHACH HANG'!$E$5:$R$2133,"8",'KHACH HANG'!$AC$13:$AC$14)</f>
        <v>8</v>
      </c>
      <c r="N31" s="122">
        <f>DSUM('KHACH HANG'!$E$5:$R$2133,"9",'KHACH HANG'!$AC$13:$AC$14)</f>
        <v>0</v>
      </c>
      <c r="O31" s="122">
        <f>DSUM('KHACH HANG'!$E$5:$R$2133,"10",'KHACH HANG'!$AC$13:$AC$14)</f>
        <v>0</v>
      </c>
      <c r="P31" s="122">
        <f>DSUM('KHACH HANG'!$E$5:$R$2133,"11",'KHACH HANG'!$AC$13:$AC$14)</f>
        <v>57</v>
      </c>
      <c r="Q31" s="122">
        <f>DSUM('KHACH HANG'!$E$5:$R$2133,"12",'KHACH HANG'!$AC$13:$AC$14)</f>
        <v>38</v>
      </c>
      <c r="R31" s="123">
        <f t="shared" si="3"/>
        <v>324</v>
      </c>
      <c r="S31" s="6"/>
      <c r="T31" t="s">
        <v>46</v>
      </c>
      <c r="U31">
        <v>13</v>
      </c>
      <c r="V31">
        <v>14</v>
      </c>
      <c r="W31" t="s">
        <v>42</v>
      </c>
      <c r="X31" t="str">
        <f t="shared" si="8"/>
        <v>DSUM('NHAN VIEN'!$E$5:$Q$2133,"2"</v>
      </c>
      <c r="Y31" t="str">
        <f t="shared" si="9"/>
        <v>DSUM('NHAN VIEN'!$E$5:$Q$2133,"3"</v>
      </c>
      <c r="Z31" t="str">
        <f t="shared" si="10"/>
        <v>DSUM('NHAN VIEN'!$E$5:$Q$2133,"4"</v>
      </c>
      <c r="AA31" t="str">
        <f t="shared" si="11"/>
        <v>DSUM('NHAN VIEN'!$E$5:$Q$2133,"5"</v>
      </c>
      <c r="AB31" t="str">
        <f t="shared" si="12"/>
        <v>DSUM('NHAN VIEN'!$E$5:$Q$2133,"6"</v>
      </c>
      <c r="AC31" t="str">
        <f t="shared" si="13"/>
        <v>DSUM('NHAN VIEN'!$E$5:$Q$2133,"7"</v>
      </c>
      <c r="AD31" t="str">
        <f t="shared" si="14"/>
        <v>DSUM('NHAN VIEN'!$E$5:$Q$2133,"8"</v>
      </c>
      <c r="AE31" t="str">
        <f t="shared" si="15"/>
        <v>DSUM('NHAN VIEN'!$E$5:$Q$2133,"9"</v>
      </c>
      <c r="AF31" t="str">
        <f t="shared" si="16"/>
        <v>DSUM('NHAN VIEN'!$E$5:$Q$2133,"10"</v>
      </c>
      <c r="AG31" t="str">
        <f t="shared" si="17"/>
        <v>DSUM('NHAN VIEN'!$E$5:$Q$2133,"11"</v>
      </c>
      <c r="AH31" t="str">
        <f t="shared" si="18"/>
        <v>DSUM('NHAN VIEN'!$E$5:$Q$2133,"12"</v>
      </c>
      <c r="AI31" t="str">
        <f t="shared" si="33"/>
        <v>DSUM('NHAN VIEN'!$E$5:$Q$2133,"1",'NHAN VIEN'!$AB$13:$AB$14)</v>
      </c>
      <c r="AJ31" t="str">
        <f t="shared" si="20"/>
        <v>DSUM('NHAN VIEN'!$E$5:$Q$2133,"2",'NHAN VIEN'!$AB$13:$AB$14)</v>
      </c>
      <c r="AK31" t="str">
        <f t="shared" si="21"/>
        <v>DSUM('NHAN VIEN'!$E$5:$Q$2133,"3",'NHAN VIEN'!$AB$13:$AB$14)</v>
      </c>
      <c r="AL31" t="str">
        <f t="shared" si="22"/>
        <v>DSUM('NHAN VIEN'!$E$5:$Q$2133,"4",'NHAN VIEN'!$AB$13:$AB$14)</v>
      </c>
      <c r="AM31" t="str">
        <f t="shared" si="23"/>
        <v>DSUM('NHAN VIEN'!$E$5:$Q$2133,"5",'NHAN VIEN'!$AB$13:$AB$14)</v>
      </c>
      <c r="AN31" t="str">
        <f t="shared" si="24"/>
        <v>DSUM('NHAN VIEN'!$E$5:$Q$2133,"6",'NHAN VIEN'!$AB$13:$AB$14)</v>
      </c>
      <c r="AO31" t="str">
        <f t="shared" si="25"/>
        <v>DSUM('NHAN VIEN'!$E$5:$Q$2133,"7",'NHAN VIEN'!$AB$13:$AB$14)</v>
      </c>
      <c r="AP31" t="str">
        <f t="shared" si="26"/>
        <v>DSUM('NHAN VIEN'!$E$5:$Q$2133,"8",'NHAN VIEN'!$AB$13:$AB$14)</v>
      </c>
      <c r="AQ31" t="str">
        <f t="shared" si="27"/>
        <v>DSUM('NHAN VIEN'!$E$5:$Q$2133,"9",'NHAN VIEN'!$AB$13:$AB$14)</v>
      </c>
      <c r="AR31" t="str">
        <f t="shared" si="28"/>
        <v>DSUM('NHAN VIEN'!$E$5:$Q$2133,"10",'NHAN VIEN'!$AB$13:$AB$14)</v>
      </c>
      <c r="AS31" t="str">
        <f t="shared" si="29"/>
        <v>DSUM('NHAN VIEN'!$E$5:$Q$2133,"11",'NHAN VIEN'!$AB$13:$AB$14)</v>
      </c>
      <c r="AT31" t="str">
        <f t="shared" si="30"/>
        <v>DSUM('NHAN VIEN'!$E$5:$Q$2133,"12",'NHAN VIEN'!$AB$13:$AB$14)</v>
      </c>
      <c r="AU31"/>
      <c r="AV31" t="str">
        <f t="shared" si="31"/>
        <v>'NHAN VIEN'!$AB$13:$AB$14</v>
      </c>
      <c r="AY31" s="103" t="str">
        <f t="shared" si="32"/>
        <v>=DSUM('NHAN VIEN'!$E$5:$Q$2133,"1",'NHAN VIEN'!$AB$13:$AB$14)</v>
      </c>
      <c r="AZ31" s="103" t="str">
        <f t="shared" si="34"/>
        <v>=DSUM('NHAN VIEN'!$E$5:$Q$2133,"2",'NHAN VIEN'!$AB$13:$AB$14)</v>
      </c>
      <c r="BA31" s="103" t="str">
        <f t="shared" si="35"/>
        <v>=DSUM('NHAN VIEN'!$E$5:$Q$2133,"3",'NHAN VIEN'!$AB$13:$AB$14)</v>
      </c>
      <c r="BB31" s="103" t="str">
        <f t="shared" si="36"/>
        <v>=DSUM('NHAN VIEN'!$E$5:$Q$2133,"4",'NHAN VIEN'!$AB$13:$AB$14)</v>
      </c>
      <c r="BC31" s="103" t="str">
        <f t="shared" si="37"/>
        <v>=DSUM('NHAN VIEN'!$E$5:$Q$2133,"5",'NHAN VIEN'!$AB$13:$AB$14)</v>
      </c>
      <c r="BD31" s="103" t="str">
        <f t="shared" si="38"/>
        <v>=DSUM('NHAN VIEN'!$E$5:$Q$2133,"6",'NHAN VIEN'!$AB$13:$AB$14)</v>
      </c>
      <c r="BE31" s="103" t="str">
        <f t="shared" si="39"/>
        <v>=DSUM('NHAN VIEN'!$E$5:$Q$2133,"7",'NHAN VIEN'!$AB$13:$AB$14)</v>
      </c>
      <c r="BF31" s="103" t="str">
        <f t="shared" si="40"/>
        <v>=DSUM('NHAN VIEN'!$E$5:$Q$2133,"8",'NHAN VIEN'!$AB$13:$AB$14)</v>
      </c>
      <c r="BG31" s="103" t="str">
        <f t="shared" si="41"/>
        <v>=DSUM('NHAN VIEN'!$E$5:$Q$2133,"9",'NHAN VIEN'!$AB$13:$AB$14)</v>
      </c>
      <c r="BH31" s="103" t="str">
        <f t="shared" si="42"/>
        <v>=DSUM('NHAN VIEN'!$E$5:$Q$2133,"10",'NHAN VIEN'!$AB$13:$AB$14)</v>
      </c>
      <c r="BI31" s="103" t="str">
        <f t="shared" si="43"/>
        <v>=DSUM('NHAN VIEN'!$E$5:$Q$2133,"11",'NHAN VIEN'!$AB$13:$AB$14)</v>
      </c>
      <c r="BJ31" s="103" t="str">
        <f t="shared" si="44"/>
        <v>=DSUM('NHAN VIEN'!$E$5:$Q$2133,"12",'NHAN VIEN'!$AB$13:$AB$14)</v>
      </c>
      <c r="BR31" s="124">
        <f>R31-'KHACH HANG'!S34</f>
        <v>286</v>
      </c>
    </row>
    <row r="32" ht="18" spans="1:70">
      <c r="A32" s="125"/>
      <c r="B32" s="118">
        <f t="shared" si="45"/>
        <v>30</v>
      </c>
      <c r="C32" s="119" t="str">
        <f>VLOOKUP(B32,DMSP!$A$1:$C$39,2,0)</f>
        <v>7.KHÁC</v>
      </c>
      <c r="D32" s="120" t="str">
        <f>VLOOKUP(B32,DMSP!$A$1:$C$39,3,0)</f>
        <v>RỬA RONG RÊU</v>
      </c>
      <c r="E32" s="121">
        <f t="shared" si="7"/>
        <v>4</v>
      </c>
      <c r="F32" s="122">
        <f>DSUM('KHACH HANG'!$E$5:$R$2133,"1",'KHACH HANG'!$AD$13:$AD$14)</f>
        <v>0</v>
      </c>
      <c r="G32" s="122">
        <f>DSUM('KHACH HANG'!$E$5:$R$2133,"2",'KHACH HANG'!$AD$13:$AD$14)</f>
        <v>0</v>
      </c>
      <c r="H32" s="122">
        <f>DSUM('KHACH HANG'!$E$5:$R$2133,"3",'KHACH HANG'!$AD$13:$AD$14)</f>
        <v>0</v>
      </c>
      <c r="I32" s="122">
        <f>DSUM('KHACH HANG'!$E$5:$R$2133,"4",'KHACH HANG'!$AD$13:$AD$14)</f>
        <v>0</v>
      </c>
      <c r="J32" s="122">
        <f>DSUM('KHACH HANG'!$E$5:$R$2133,"5",'KHACH HANG'!$AD$13:$AD$14)</f>
        <v>0</v>
      </c>
      <c r="K32" s="122">
        <f>DSUM('KHACH HANG'!$E$5:$R$2133,"6",'KHACH HANG'!$AD$13:$AD$14)</f>
        <v>0</v>
      </c>
      <c r="L32" s="122">
        <f>DSUM('KHACH HANG'!$E$5:$R$2133,"7",'KHACH HANG'!$AD$13:$AD$14)</f>
        <v>0</v>
      </c>
      <c r="M32" s="122">
        <f>DSUM('KHACH HANG'!$E$5:$R$2133,"8",'KHACH HANG'!$AD$13:$AD$14)</f>
        <v>0</v>
      </c>
      <c r="N32" s="122">
        <f>DSUM('KHACH HANG'!$E$5:$R$2133,"9",'KHACH HANG'!$AD$13:$AD$14)</f>
        <v>0</v>
      </c>
      <c r="O32" s="122">
        <f>DSUM('KHACH HANG'!$E$5:$R$2133,"10",'KHACH HANG'!$AD$13:$AD$14)</f>
        <v>0</v>
      </c>
      <c r="P32" s="122">
        <f>DSUM('KHACH HANG'!$E$5:$R$2133,"11",'KHACH HANG'!$AD$13:$AD$14)</f>
        <v>4</v>
      </c>
      <c r="Q32" s="122">
        <f>DSUM('KHACH HANG'!$E$5:$R$2133,"12",'KHACH HANG'!$AD$13:$AD$14)</f>
        <v>0</v>
      </c>
      <c r="R32" s="123">
        <f t="shared" si="3"/>
        <v>4</v>
      </c>
      <c r="S32" s="6"/>
      <c r="T32" t="s">
        <v>47</v>
      </c>
      <c r="U32">
        <v>13</v>
      </c>
      <c r="V32">
        <v>14</v>
      </c>
      <c r="W32" t="s">
        <v>42</v>
      </c>
      <c r="X32" t="str">
        <f t="shared" si="8"/>
        <v>DSUM('NHAN VIEN'!$E$5:$Q$2133,"2"</v>
      </c>
      <c r="Y32" t="str">
        <f t="shared" si="9"/>
        <v>DSUM('NHAN VIEN'!$E$5:$Q$2133,"3"</v>
      </c>
      <c r="Z32" t="str">
        <f t="shared" si="10"/>
        <v>DSUM('NHAN VIEN'!$E$5:$Q$2133,"4"</v>
      </c>
      <c r="AA32" t="str">
        <f t="shared" si="11"/>
        <v>DSUM('NHAN VIEN'!$E$5:$Q$2133,"5"</v>
      </c>
      <c r="AB32" t="str">
        <f t="shared" si="12"/>
        <v>DSUM('NHAN VIEN'!$E$5:$Q$2133,"6"</v>
      </c>
      <c r="AC32" t="str">
        <f t="shared" si="13"/>
        <v>DSUM('NHAN VIEN'!$E$5:$Q$2133,"7"</v>
      </c>
      <c r="AD32" t="str">
        <f t="shared" si="14"/>
        <v>DSUM('NHAN VIEN'!$E$5:$Q$2133,"8"</v>
      </c>
      <c r="AE32" t="str">
        <f t="shared" si="15"/>
        <v>DSUM('NHAN VIEN'!$E$5:$Q$2133,"9"</v>
      </c>
      <c r="AF32" t="str">
        <f t="shared" si="16"/>
        <v>DSUM('NHAN VIEN'!$E$5:$Q$2133,"10"</v>
      </c>
      <c r="AG32" t="str">
        <f t="shared" si="17"/>
        <v>DSUM('NHAN VIEN'!$E$5:$Q$2133,"11"</v>
      </c>
      <c r="AH32" t="str">
        <f t="shared" si="18"/>
        <v>DSUM('NHAN VIEN'!$E$5:$Q$2133,"12"</v>
      </c>
      <c r="AI32" t="str">
        <f t="shared" si="33"/>
        <v>DSUM('NHAN VIEN'!$E$5:$Q$2133,"1",'NHAN VIEN'!$AC$13:$AC$14)</v>
      </c>
      <c r="AJ32" t="str">
        <f t="shared" si="20"/>
        <v>DSUM('NHAN VIEN'!$E$5:$Q$2133,"2",'NHAN VIEN'!$AC$13:$AC$14)</v>
      </c>
      <c r="AK32" t="str">
        <f t="shared" si="21"/>
        <v>DSUM('NHAN VIEN'!$E$5:$Q$2133,"3",'NHAN VIEN'!$AC$13:$AC$14)</v>
      </c>
      <c r="AL32" t="str">
        <f t="shared" si="22"/>
        <v>DSUM('NHAN VIEN'!$E$5:$Q$2133,"4",'NHAN VIEN'!$AC$13:$AC$14)</v>
      </c>
      <c r="AM32" t="str">
        <f t="shared" si="23"/>
        <v>DSUM('NHAN VIEN'!$E$5:$Q$2133,"5",'NHAN VIEN'!$AC$13:$AC$14)</v>
      </c>
      <c r="AN32" t="str">
        <f t="shared" si="24"/>
        <v>DSUM('NHAN VIEN'!$E$5:$Q$2133,"6",'NHAN VIEN'!$AC$13:$AC$14)</v>
      </c>
      <c r="AO32" t="str">
        <f t="shared" si="25"/>
        <v>DSUM('NHAN VIEN'!$E$5:$Q$2133,"7",'NHAN VIEN'!$AC$13:$AC$14)</v>
      </c>
      <c r="AP32" t="str">
        <f t="shared" si="26"/>
        <v>DSUM('NHAN VIEN'!$E$5:$Q$2133,"8",'NHAN VIEN'!$AC$13:$AC$14)</v>
      </c>
      <c r="AQ32" t="str">
        <f t="shared" si="27"/>
        <v>DSUM('NHAN VIEN'!$E$5:$Q$2133,"9",'NHAN VIEN'!$AC$13:$AC$14)</v>
      </c>
      <c r="AR32" t="str">
        <f t="shared" si="28"/>
        <v>DSUM('NHAN VIEN'!$E$5:$Q$2133,"10",'NHAN VIEN'!$AC$13:$AC$14)</v>
      </c>
      <c r="AS32" t="str">
        <f t="shared" si="29"/>
        <v>DSUM('NHAN VIEN'!$E$5:$Q$2133,"11",'NHAN VIEN'!$AC$13:$AC$14)</v>
      </c>
      <c r="AT32" t="str">
        <f t="shared" si="30"/>
        <v>DSUM('NHAN VIEN'!$E$5:$Q$2133,"12",'NHAN VIEN'!$AC$13:$AC$14)</v>
      </c>
      <c r="AU32"/>
      <c r="AV32" t="str">
        <f t="shared" si="31"/>
        <v>'NHAN VIEN'!$AC$13:$AC$14</v>
      </c>
      <c r="AY32" s="103" t="str">
        <f t="shared" si="32"/>
        <v>=DSUM('NHAN VIEN'!$E$5:$Q$2133,"1",'NHAN VIEN'!$AC$13:$AC$14)</v>
      </c>
      <c r="AZ32" s="103" t="str">
        <f t="shared" si="34"/>
        <v>=DSUM('NHAN VIEN'!$E$5:$Q$2133,"2",'NHAN VIEN'!$AC$13:$AC$14)</v>
      </c>
      <c r="BA32" s="103" t="str">
        <f t="shared" si="35"/>
        <v>=DSUM('NHAN VIEN'!$E$5:$Q$2133,"3",'NHAN VIEN'!$AC$13:$AC$14)</v>
      </c>
      <c r="BB32" s="103" t="str">
        <f t="shared" si="36"/>
        <v>=DSUM('NHAN VIEN'!$E$5:$Q$2133,"4",'NHAN VIEN'!$AC$13:$AC$14)</v>
      </c>
      <c r="BC32" s="103" t="str">
        <f t="shared" si="37"/>
        <v>=DSUM('NHAN VIEN'!$E$5:$Q$2133,"5",'NHAN VIEN'!$AC$13:$AC$14)</v>
      </c>
      <c r="BD32" s="103" t="str">
        <f t="shared" si="38"/>
        <v>=DSUM('NHAN VIEN'!$E$5:$Q$2133,"6",'NHAN VIEN'!$AC$13:$AC$14)</v>
      </c>
      <c r="BE32" s="103" t="str">
        <f t="shared" si="39"/>
        <v>=DSUM('NHAN VIEN'!$E$5:$Q$2133,"7",'NHAN VIEN'!$AC$13:$AC$14)</v>
      </c>
      <c r="BF32" s="103" t="str">
        <f t="shared" si="40"/>
        <v>=DSUM('NHAN VIEN'!$E$5:$Q$2133,"8",'NHAN VIEN'!$AC$13:$AC$14)</v>
      </c>
      <c r="BG32" s="103" t="str">
        <f t="shared" si="41"/>
        <v>=DSUM('NHAN VIEN'!$E$5:$Q$2133,"9",'NHAN VIEN'!$AC$13:$AC$14)</v>
      </c>
      <c r="BH32" s="103" t="str">
        <f t="shared" si="42"/>
        <v>=DSUM('NHAN VIEN'!$E$5:$Q$2133,"10",'NHAN VIEN'!$AC$13:$AC$14)</v>
      </c>
      <c r="BI32" s="103" t="str">
        <f t="shared" si="43"/>
        <v>=DSUM('NHAN VIEN'!$E$5:$Q$2133,"11",'NHAN VIEN'!$AC$13:$AC$14)</v>
      </c>
      <c r="BJ32" s="103" t="str">
        <f t="shared" si="44"/>
        <v>=DSUM('NHAN VIEN'!$E$5:$Q$2133,"12",'NHAN VIEN'!$AC$13:$AC$14)</v>
      </c>
      <c r="BR32" s="124">
        <f>R32-'KHACH HANG'!S35</f>
        <v>4</v>
      </c>
    </row>
    <row r="33" ht="18" spans="1:71">
      <c r="A33" s="125"/>
      <c r="B33" s="118">
        <f t="shared" si="45"/>
        <v>31</v>
      </c>
      <c r="C33" s="119" t="str">
        <f>VLOOKUP(B33,DMSP!$A$1:$C$39,2,0)</f>
        <v>7.KHÁC</v>
      </c>
      <c r="D33" s="120" t="str">
        <f>VLOOKUP(B33,DMSP!$A$1:$C$39,3,0)</f>
        <v>TB BO</v>
      </c>
      <c r="E33" s="121">
        <f t="shared" si="7"/>
        <v>0</v>
      </c>
      <c r="F33" s="122">
        <f>DSUM('KHACH HANG'!$E$5:$R$2133,"1",'KHACH HANG'!$Y$15:$Y$16)</f>
        <v>0</v>
      </c>
      <c r="G33" s="122">
        <f>DSUM('KHACH HANG'!$E$5:$R$2133,"2",'KHACH HANG'!$Y$15:$Y$16)</f>
        <v>0</v>
      </c>
      <c r="H33" s="122">
        <f>DSUM('KHACH HANG'!$E$5:$R$2133,"3",'KHACH HANG'!$Y$15:$Y$16)</f>
        <v>0</v>
      </c>
      <c r="I33" s="122">
        <f>DSUM('KHACH HANG'!$E$5:$R$2133,"4",'KHACH HANG'!$Y$15:$Y$16)</f>
        <v>0</v>
      </c>
      <c r="J33" s="122">
        <f>DSUM('KHACH HANG'!$E$5:$R$2133,"5",'KHACH HANG'!$Y$15:$Y$16)</f>
        <v>0</v>
      </c>
      <c r="K33" s="122">
        <f>DSUM('KHACH HANG'!$E$5:$R$2133,"6",'KHACH HANG'!$Y$15:$Y$16)</f>
        <v>0</v>
      </c>
      <c r="L33" s="122">
        <f>DSUM('KHACH HANG'!$E$5:$R$2133,"7",'KHACH HANG'!$Y$15:$Y$16)</f>
        <v>0</v>
      </c>
      <c r="M33" s="122">
        <f>DSUM('KHACH HANG'!$E$5:$R$2133,"8",'KHACH HANG'!$Y$15:$Y$16)</f>
        <v>0</v>
      </c>
      <c r="N33" s="122">
        <f>DSUM('KHACH HANG'!$E$5:$R$2133,"9",'KHACH HANG'!$Y$15:$Y$16)</f>
        <v>0</v>
      </c>
      <c r="O33" s="122">
        <f>DSUM('KHACH HANG'!$E$5:$R$2133,"10",'KHACH HANG'!$Y$15:$Y$16)</f>
        <v>0</v>
      </c>
      <c r="P33" s="122">
        <f>DSUM('KHACH HANG'!$E$5:$R$2133,"11",'KHACH HANG'!$Y$15:$Y$16)</f>
        <v>0</v>
      </c>
      <c r="Q33" s="122">
        <f>DSUM('KHACH HANG'!$E$5:$R$2133,"12",'KHACH HANG'!$Y$15:$Y$16)</f>
        <v>0</v>
      </c>
      <c r="R33" s="123">
        <f t="shared" si="3"/>
        <v>0</v>
      </c>
      <c r="S33" s="6"/>
      <c r="T33" t="s">
        <v>41</v>
      </c>
      <c r="U33">
        <v>15</v>
      </c>
      <c r="V33">
        <v>16</v>
      </c>
      <c r="W33" t="s">
        <v>42</v>
      </c>
      <c r="X33" t="str">
        <f t="shared" si="8"/>
        <v>DSUM('NHAN VIEN'!$E$5:$Q$2133,"2"</v>
      </c>
      <c r="Y33" t="str">
        <f t="shared" si="9"/>
        <v>DSUM('NHAN VIEN'!$E$5:$Q$2133,"3"</v>
      </c>
      <c r="Z33" t="str">
        <f t="shared" si="10"/>
        <v>DSUM('NHAN VIEN'!$E$5:$Q$2133,"4"</v>
      </c>
      <c r="AA33" t="str">
        <f t="shared" si="11"/>
        <v>DSUM('NHAN VIEN'!$E$5:$Q$2133,"5"</v>
      </c>
      <c r="AB33" t="str">
        <f t="shared" si="12"/>
        <v>DSUM('NHAN VIEN'!$E$5:$Q$2133,"6"</v>
      </c>
      <c r="AC33" t="str">
        <f t="shared" si="13"/>
        <v>DSUM('NHAN VIEN'!$E$5:$Q$2133,"7"</v>
      </c>
      <c r="AD33" t="str">
        <f t="shared" si="14"/>
        <v>DSUM('NHAN VIEN'!$E$5:$Q$2133,"8"</v>
      </c>
      <c r="AE33" t="str">
        <f t="shared" si="15"/>
        <v>DSUM('NHAN VIEN'!$E$5:$Q$2133,"9"</v>
      </c>
      <c r="AF33" t="str">
        <f t="shared" si="16"/>
        <v>DSUM('NHAN VIEN'!$E$5:$Q$2133,"10"</v>
      </c>
      <c r="AG33" t="str">
        <f t="shared" si="17"/>
        <v>DSUM('NHAN VIEN'!$E$5:$Q$2133,"11"</v>
      </c>
      <c r="AH33" t="str">
        <f t="shared" si="18"/>
        <v>DSUM('NHAN VIEN'!$E$5:$Q$2133,"12"</v>
      </c>
      <c r="AI33" t="str">
        <f t="shared" si="33"/>
        <v>DSUM('NHAN VIEN'!$E$5:$Q$2133,"1",'NHAN VIEN'!$X$15:$X$16)</v>
      </c>
      <c r="AJ33" t="str">
        <f t="shared" si="20"/>
        <v>DSUM('NHAN VIEN'!$E$5:$Q$2133,"2",'NHAN VIEN'!$X$15:$X$16)</v>
      </c>
      <c r="AK33" t="str">
        <f t="shared" si="21"/>
        <v>DSUM('NHAN VIEN'!$E$5:$Q$2133,"3",'NHAN VIEN'!$X$15:$X$16)</v>
      </c>
      <c r="AL33" t="str">
        <f t="shared" si="22"/>
        <v>DSUM('NHAN VIEN'!$E$5:$Q$2133,"4",'NHAN VIEN'!$X$15:$X$16)</v>
      </c>
      <c r="AM33" t="str">
        <f t="shared" si="23"/>
        <v>DSUM('NHAN VIEN'!$E$5:$Q$2133,"5",'NHAN VIEN'!$X$15:$X$16)</v>
      </c>
      <c r="AN33" t="str">
        <f t="shared" si="24"/>
        <v>DSUM('NHAN VIEN'!$E$5:$Q$2133,"6",'NHAN VIEN'!$X$15:$X$16)</v>
      </c>
      <c r="AO33" t="str">
        <f t="shared" si="25"/>
        <v>DSUM('NHAN VIEN'!$E$5:$Q$2133,"7",'NHAN VIEN'!$X$15:$X$16)</v>
      </c>
      <c r="AP33" t="str">
        <f t="shared" si="26"/>
        <v>DSUM('NHAN VIEN'!$E$5:$Q$2133,"8",'NHAN VIEN'!$X$15:$X$16)</v>
      </c>
      <c r="AQ33" t="str">
        <f t="shared" si="27"/>
        <v>DSUM('NHAN VIEN'!$E$5:$Q$2133,"9",'NHAN VIEN'!$X$15:$X$16)</v>
      </c>
      <c r="AR33" t="str">
        <f t="shared" si="28"/>
        <v>DSUM('NHAN VIEN'!$E$5:$Q$2133,"10",'NHAN VIEN'!$X$15:$X$16)</v>
      </c>
      <c r="AS33" t="str">
        <f t="shared" si="29"/>
        <v>DSUM('NHAN VIEN'!$E$5:$Q$2133,"11",'NHAN VIEN'!$X$15:$X$16)</v>
      </c>
      <c r="AT33" t="str">
        <f t="shared" si="30"/>
        <v>DSUM('NHAN VIEN'!$E$5:$Q$2133,"12",'NHAN VIEN'!$X$15:$X$16)</v>
      </c>
      <c r="AU33"/>
      <c r="AV33" t="str">
        <f t="shared" si="31"/>
        <v>'NHAN VIEN'!$X$15:$X$16</v>
      </c>
      <c r="AY33" s="103" t="str">
        <f t="shared" si="32"/>
        <v>=DSUM('NHAN VIEN'!$E$5:$Q$2133,"1",'NHAN VIEN'!$X$15:$X$16)</v>
      </c>
      <c r="AZ33" s="103" t="str">
        <f t="shared" si="34"/>
        <v>=DSUM('NHAN VIEN'!$E$5:$Q$2133,"2",'NHAN VIEN'!$X$15:$X$16)</v>
      </c>
      <c r="BA33" s="103" t="str">
        <f t="shared" si="35"/>
        <v>=DSUM('NHAN VIEN'!$E$5:$Q$2133,"3",'NHAN VIEN'!$X$15:$X$16)</v>
      </c>
      <c r="BB33" s="103" t="str">
        <f t="shared" si="36"/>
        <v>=DSUM('NHAN VIEN'!$E$5:$Q$2133,"4",'NHAN VIEN'!$X$15:$X$16)</v>
      </c>
      <c r="BC33" s="103" t="str">
        <f t="shared" si="37"/>
        <v>=DSUM('NHAN VIEN'!$E$5:$Q$2133,"5",'NHAN VIEN'!$X$15:$X$16)</v>
      </c>
      <c r="BD33" s="103" t="str">
        <f t="shared" si="38"/>
        <v>=DSUM('NHAN VIEN'!$E$5:$Q$2133,"6",'NHAN VIEN'!$X$15:$X$16)</v>
      </c>
      <c r="BE33" s="103" t="str">
        <f t="shared" si="39"/>
        <v>=DSUM('NHAN VIEN'!$E$5:$Q$2133,"7",'NHAN VIEN'!$X$15:$X$16)</v>
      </c>
      <c r="BF33" s="103" t="str">
        <f t="shared" si="40"/>
        <v>=DSUM('NHAN VIEN'!$E$5:$Q$2133,"8",'NHAN VIEN'!$X$15:$X$16)</v>
      </c>
      <c r="BG33" s="103" t="str">
        <f t="shared" si="41"/>
        <v>=DSUM('NHAN VIEN'!$E$5:$Q$2133,"9",'NHAN VIEN'!$X$15:$X$16)</v>
      </c>
      <c r="BH33" s="103" t="str">
        <f t="shared" si="42"/>
        <v>=DSUM('NHAN VIEN'!$E$5:$Q$2133,"10",'NHAN VIEN'!$X$15:$X$16)</v>
      </c>
      <c r="BI33" s="103" t="str">
        <f t="shared" si="43"/>
        <v>=DSUM('NHAN VIEN'!$E$5:$Q$2133,"11",'NHAN VIEN'!$X$15:$X$16)</v>
      </c>
      <c r="BJ33" s="103" t="str">
        <f t="shared" si="44"/>
        <v>=DSUM('NHAN VIEN'!$E$5:$Q$2133,"12",'NHAN VIEN'!$X$15:$X$16)</v>
      </c>
      <c r="BR33" s="124">
        <f>R33-'KHACH HANG'!S36</f>
        <v>0</v>
      </c>
    </row>
    <row r="34" ht="18" spans="1:71">
      <c r="A34" s="125"/>
      <c r="B34" s="118">
        <f t="shared" si="45"/>
        <v>32</v>
      </c>
      <c r="C34" s="119" t="str">
        <f>VLOOKUP(B34,DMSP!$A$1:$C$39,2,0)</f>
        <v>7.KHÁC</v>
      </c>
      <c r="D34" s="120" t="str">
        <f>VLOOKUP(B34,DMSP!$A$1:$C$39,3,0)</f>
        <v>TB FRUIT</v>
      </c>
      <c r="E34" s="121">
        <f t="shared" si="7"/>
        <v>0</v>
      </c>
      <c r="F34" s="122">
        <f>DSUM('KHACH HANG'!$E$5:$R$2133,"1",'KHACH HANG'!$Z$15:$Z$16)</f>
        <v>0</v>
      </c>
      <c r="G34" s="122">
        <f>DSUM('KHACH HANG'!$E$5:$R$2133,"2",'KHACH HANG'!$Z$15:$Z$16)</f>
        <v>0</v>
      </c>
      <c r="H34" s="122">
        <f>DSUM('KHACH HANG'!$E$5:$R$2133,"3",'KHACH HANG'!$Z$15:$Z$16)</f>
        <v>0</v>
      </c>
      <c r="I34" s="122">
        <f>DSUM('KHACH HANG'!$E$5:$R$2133,"4",'KHACH HANG'!$Z$15:$Z$16)</f>
        <v>0</v>
      </c>
      <c r="J34" s="122">
        <f>DSUM('KHACH HANG'!$E$5:$R$2133,"5",'KHACH HANG'!$Z$15:$Z$16)</f>
        <v>0</v>
      </c>
      <c r="K34" s="122">
        <f>DSUM('KHACH HANG'!$E$5:$R$2133,"6",'KHACH HANG'!$Z$15:$Z$16)</f>
        <v>0</v>
      </c>
      <c r="L34" s="122">
        <f>DSUM('KHACH HANG'!$E$5:$R$2133,"7",'KHACH HANG'!$Z$15:$Z$16)</f>
        <v>0</v>
      </c>
      <c r="M34" s="122">
        <f>DSUM('KHACH HANG'!$E$5:$R$2133,"8",'KHACH HANG'!$Z$15:$Z$16)</f>
        <v>0</v>
      </c>
      <c r="N34" s="122">
        <f>DSUM('KHACH HANG'!$E$5:$R$2133,"9",'KHACH HANG'!$Z$15:$Z$16)</f>
        <v>0</v>
      </c>
      <c r="O34" s="122">
        <f>DSUM('KHACH HANG'!$E$5:$R$2133,"10",'KHACH HANG'!$Z$15:$Z$16)</f>
        <v>0</v>
      </c>
      <c r="P34" s="122">
        <f>DSUM('KHACH HANG'!$E$5:$R$2133,"11",'KHACH HANG'!$Z$15:$Z$16)</f>
        <v>0</v>
      </c>
      <c r="Q34" s="122">
        <f>DSUM('KHACH HANG'!$E$5:$R$2133,"12",'KHACH HANG'!$Z$15:$Z$16)</f>
        <v>0</v>
      </c>
      <c r="R34" s="123">
        <f t="shared" si="3"/>
        <v>0</v>
      </c>
      <c r="S34" s="6"/>
      <c r="T34" t="s">
        <v>43</v>
      </c>
      <c r="U34">
        <v>15</v>
      </c>
      <c r="V34">
        <v>16</v>
      </c>
      <c r="W34" t="s">
        <v>42</v>
      </c>
      <c r="X34" t="str">
        <f t="shared" si="8"/>
        <v>DSUM('NHAN VIEN'!$E$5:$Q$2133,"2"</v>
      </c>
      <c r="Y34" t="str">
        <f t="shared" si="9"/>
        <v>DSUM('NHAN VIEN'!$E$5:$Q$2133,"3"</v>
      </c>
      <c r="Z34" t="str">
        <f t="shared" si="10"/>
        <v>DSUM('NHAN VIEN'!$E$5:$Q$2133,"4"</v>
      </c>
      <c r="AA34" t="str">
        <f t="shared" si="11"/>
        <v>DSUM('NHAN VIEN'!$E$5:$Q$2133,"5"</v>
      </c>
      <c r="AB34" t="str">
        <f t="shared" si="12"/>
        <v>DSUM('NHAN VIEN'!$E$5:$Q$2133,"6"</v>
      </c>
      <c r="AC34" t="str">
        <f t="shared" si="13"/>
        <v>DSUM('NHAN VIEN'!$E$5:$Q$2133,"7"</v>
      </c>
      <c r="AD34" t="str">
        <f t="shared" si="14"/>
        <v>DSUM('NHAN VIEN'!$E$5:$Q$2133,"8"</v>
      </c>
      <c r="AE34" t="str">
        <f t="shared" si="15"/>
        <v>DSUM('NHAN VIEN'!$E$5:$Q$2133,"9"</v>
      </c>
      <c r="AF34" t="str">
        <f t="shared" si="16"/>
        <v>DSUM('NHAN VIEN'!$E$5:$Q$2133,"10"</v>
      </c>
      <c r="AG34" t="str">
        <f t="shared" si="17"/>
        <v>DSUM('NHAN VIEN'!$E$5:$Q$2133,"11"</v>
      </c>
      <c r="AH34" t="str">
        <f t="shared" si="18"/>
        <v>DSUM('NHAN VIEN'!$E$5:$Q$2133,"12"</v>
      </c>
      <c r="AI34" t="str">
        <f t="shared" si="33"/>
        <v>DSUM('NHAN VIEN'!$E$5:$Q$2133,"1",'NHAN VIEN'!$Y$15:$Y$16)</v>
      </c>
      <c r="AJ34" t="str">
        <f t="shared" si="20"/>
        <v>DSUM('NHAN VIEN'!$E$5:$Q$2133,"2",'NHAN VIEN'!$Y$15:$Y$16)</v>
      </c>
      <c r="AK34" t="str">
        <f t="shared" si="21"/>
        <v>DSUM('NHAN VIEN'!$E$5:$Q$2133,"3",'NHAN VIEN'!$Y$15:$Y$16)</v>
      </c>
      <c r="AL34" t="str">
        <f t="shared" si="22"/>
        <v>DSUM('NHAN VIEN'!$E$5:$Q$2133,"4",'NHAN VIEN'!$Y$15:$Y$16)</v>
      </c>
      <c r="AM34" t="str">
        <f t="shared" si="23"/>
        <v>DSUM('NHAN VIEN'!$E$5:$Q$2133,"5",'NHAN VIEN'!$Y$15:$Y$16)</v>
      </c>
      <c r="AN34" t="str">
        <f t="shared" si="24"/>
        <v>DSUM('NHAN VIEN'!$E$5:$Q$2133,"6",'NHAN VIEN'!$Y$15:$Y$16)</v>
      </c>
      <c r="AO34" t="str">
        <f t="shared" si="25"/>
        <v>DSUM('NHAN VIEN'!$E$5:$Q$2133,"7",'NHAN VIEN'!$Y$15:$Y$16)</v>
      </c>
      <c r="AP34" t="str">
        <f t="shared" si="26"/>
        <v>DSUM('NHAN VIEN'!$E$5:$Q$2133,"8",'NHAN VIEN'!$Y$15:$Y$16)</v>
      </c>
      <c r="AQ34" t="str">
        <f t="shared" si="27"/>
        <v>DSUM('NHAN VIEN'!$E$5:$Q$2133,"9",'NHAN VIEN'!$Y$15:$Y$16)</v>
      </c>
      <c r="AR34" t="str">
        <f t="shared" si="28"/>
        <v>DSUM('NHAN VIEN'!$E$5:$Q$2133,"10",'NHAN VIEN'!$Y$15:$Y$16)</v>
      </c>
      <c r="AS34" t="str">
        <f t="shared" si="29"/>
        <v>DSUM('NHAN VIEN'!$E$5:$Q$2133,"11",'NHAN VIEN'!$Y$15:$Y$16)</v>
      </c>
      <c r="AT34" t="str">
        <f t="shared" si="30"/>
        <v>DSUM('NHAN VIEN'!$E$5:$Q$2133,"12",'NHAN VIEN'!$Y$15:$Y$16)</v>
      </c>
      <c r="AU34"/>
      <c r="AV34" t="str">
        <f t="shared" si="31"/>
        <v>'NHAN VIEN'!$Y$15:$Y$16</v>
      </c>
      <c r="AY34" s="103" t="str">
        <f t="shared" si="32"/>
        <v>=DSUM('NHAN VIEN'!$E$5:$Q$2133,"1",'NHAN VIEN'!$Y$15:$Y$16)</v>
      </c>
      <c r="AZ34" s="103" t="str">
        <f t="shared" si="34"/>
        <v>=DSUM('NHAN VIEN'!$E$5:$Q$2133,"2",'NHAN VIEN'!$Y$15:$Y$16)</v>
      </c>
      <c r="BA34" s="103" t="str">
        <f t="shared" si="35"/>
        <v>=DSUM('NHAN VIEN'!$E$5:$Q$2133,"3",'NHAN VIEN'!$Y$15:$Y$16)</v>
      </c>
      <c r="BB34" s="103" t="str">
        <f t="shared" si="36"/>
        <v>=DSUM('NHAN VIEN'!$E$5:$Q$2133,"4",'NHAN VIEN'!$Y$15:$Y$16)</v>
      </c>
      <c r="BC34" s="103" t="str">
        <f t="shared" si="37"/>
        <v>=DSUM('NHAN VIEN'!$E$5:$Q$2133,"5",'NHAN VIEN'!$Y$15:$Y$16)</v>
      </c>
      <c r="BD34" s="103" t="str">
        <f t="shared" si="38"/>
        <v>=DSUM('NHAN VIEN'!$E$5:$Q$2133,"6",'NHAN VIEN'!$Y$15:$Y$16)</v>
      </c>
      <c r="BE34" s="103" t="str">
        <f t="shared" si="39"/>
        <v>=DSUM('NHAN VIEN'!$E$5:$Q$2133,"7",'NHAN VIEN'!$Y$15:$Y$16)</v>
      </c>
      <c r="BF34" s="103" t="str">
        <f t="shared" si="40"/>
        <v>=DSUM('NHAN VIEN'!$E$5:$Q$2133,"8",'NHAN VIEN'!$Y$15:$Y$16)</v>
      </c>
      <c r="BG34" s="103" t="str">
        <f t="shared" si="41"/>
        <v>=DSUM('NHAN VIEN'!$E$5:$Q$2133,"9",'NHAN VIEN'!$Y$15:$Y$16)</v>
      </c>
      <c r="BH34" s="103" t="str">
        <f t="shared" si="42"/>
        <v>=DSUM('NHAN VIEN'!$E$5:$Q$2133,"10",'NHAN VIEN'!$Y$15:$Y$16)</v>
      </c>
      <c r="BI34" s="103" t="str">
        <f t="shared" si="43"/>
        <v>=DSUM('NHAN VIEN'!$E$5:$Q$2133,"11",'NHAN VIEN'!$Y$15:$Y$16)</v>
      </c>
      <c r="BJ34" s="103" t="str">
        <f t="shared" si="44"/>
        <v>=DSUM('NHAN VIEN'!$E$5:$Q$2133,"12",'NHAN VIEN'!$Y$15:$Y$16)</v>
      </c>
      <c r="BR34" s="124">
        <f>R34-'KHACH HANG'!S37</f>
        <v>0</v>
      </c>
    </row>
    <row r="35" ht="18" spans="1:71">
      <c r="A35" s="125"/>
      <c r="B35" s="118">
        <f t="shared" si="45"/>
        <v>33</v>
      </c>
      <c r="C35" s="119" t="str">
        <f>VLOOKUP(B35,DMSP!$A$1:$C$39,2,0)</f>
        <v>7.KHÁC</v>
      </c>
      <c r="D35" s="120" t="str">
        <f>VLOOKUP(B35,DMSP!$A$1:$C$39,3,0)</f>
        <v>TB PHOS</v>
      </c>
      <c r="E35" s="121">
        <f t="shared" si="7"/>
        <v>0</v>
      </c>
      <c r="F35" s="122">
        <f>DSUM('KHACH HANG'!$E$5:$R$2133,"1",'KHACH HANG'!$AA$15:$AA$16)</f>
        <v>0</v>
      </c>
      <c r="G35" s="122">
        <f>DSUM('KHACH HANG'!$E$5:$R$2133,"2",'KHACH HANG'!$AA$15:$AA$16)</f>
        <v>0</v>
      </c>
      <c r="H35" s="122">
        <f>DSUM('KHACH HANG'!$E$5:$R$2133,"3",'KHACH HANG'!$AA$15:$AA$16)</f>
        <v>0</v>
      </c>
      <c r="I35" s="122">
        <f>DSUM('KHACH HANG'!$E$5:$R$2133,"4",'KHACH HANG'!$AA$15:$AA$16)</f>
        <v>0</v>
      </c>
      <c r="J35" s="122">
        <f>DSUM('KHACH HANG'!$E$5:$R$2133,"5",'KHACH HANG'!$AA$15:$AA$16)</f>
        <v>0</v>
      </c>
      <c r="K35" s="122">
        <f>DSUM('KHACH HANG'!$E$5:$R$2133,"6",'KHACH HANG'!$AA$15:$AA$16)</f>
        <v>0</v>
      </c>
      <c r="L35" s="122">
        <f>DSUM('KHACH HANG'!$E$5:$R$2133,"7",'KHACH HANG'!$AA$15:$AA$16)</f>
        <v>0</v>
      </c>
      <c r="M35" s="122">
        <f>DSUM('KHACH HANG'!$E$5:$R$2133,"8",'KHACH HANG'!$AA$15:$AA$16)</f>
        <v>0</v>
      </c>
      <c r="N35" s="122">
        <f>DSUM('KHACH HANG'!$E$5:$R$2133,"9",'KHACH HANG'!$AA$15:$AA$16)</f>
        <v>0</v>
      </c>
      <c r="O35" s="122">
        <f>DSUM('KHACH HANG'!$E$5:$R$2133,"10",'KHACH HANG'!$AA$15:$AA$16)</f>
        <v>0</v>
      </c>
      <c r="P35" s="122">
        <f>DSUM('KHACH HANG'!$E$5:$R$2133,"11",'KHACH HANG'!$AA$15:$AA$16)</f>
        <v>0</v>
      </c>
      <c r="Q35" s="122">
        <f>DSUM('KHACH HANG'!$E$5:$R$2133,"12",'KHACH HANG'!$AA$15:$AA$16)</f>
        <v>0</v>
      </c>
      <c r="R35" s="123">
        <f t="shared" si="3"/>
        <v>0</v>
      </c>
      <c r="S35" s="6"/>
      <c r="T35" t="s">
        <v>44</v>
      </c>
      <c r="U35">
        <v>15</v>
      </c>
      <c r="V35">
        <v>16</v>
      </c>
      <c r="W35" t="s">
        <v>42</v>
      </c>
      <c r="X35" t="str">
        <f t="shared" si="8"/>
        <v>DSUM('NHAN VIEN'!$E$5:$Q$2133,"2"</v>
      </c>
      <c r="Y35" t="str">
        <f t="shared" si="9"/>
        <v>DSUM('NHAN VIEN'!$E$5:$Q$2133,"3"</v>
      </c>
      <c r="Z35" t="str">
        <f t="shared" si="10"/>
        <v>DSUM('NHAN VIEN'!$E$5:$Q$2133,"4"</v>
      </c>
      <c r="AA35" t="str">
        <f t="shared" si="11"/>
        <v>DSUM('NHAN VIEN'!$E$5:$Q$2133,"5"</v>
      </c>
      <c r="AB35" t="str">
        <f t="shared" si="12"/>
        <v>DSUM('NHAN VIEN'!$E$5:$Q$2133,"6"</v>
      </c>
      <c r="AC35" t="str">
        <f t="shared" si="13"/>
        <v>DSUM('NHAN VIEN'!$E$5:$Q$2133,"7"</v>
      </c>
      <c r="AD35" t="str">
        <f t="shared" si="14"/>
        <v>DSUM('NHAN VIEN'!$E$5:$Q$2133,"8"</v>
      </c>
      <c r="AE35" t="str">
        <f t="shared" si="15"/>
        <v>DSUM('NHAN VIEN'!$E$5:$Q$2133,"9"</v>
      </c>
      <c r="AF35" t="str">
        <f t="shared" si="16"/>
        <v>DSUM('NHAN VIEN'!$E$5:$Q$2133,"10"</v>
      </c>
      <c r="AG35" t="str">
        <f t="shared" si="17"/>
        <v>DSUM('NHAN VIEN'!$E$5:$Q$2133,"11"</v>
      </c>
      <c r="AH35" t="str">
        <f t="shared" si="18"/>
        <v>DSUM('NHAN VIEN'!$E$5:$Q$2133,"12"</v>
      </c>
      <c r="AI35" t="str">
        <f t="shared" si="33"/>
        <v>DSUM('NHAN VIEN'!$E$5:$Q$2133,"1",'NHAN VIEN'!$Z$15:$Z$16)</v>
      </c>
      <c r="AJ35" t="str">
        <f t="shared" si="20"/>
        <v>DSUM('NHAN VIEN'!$E$5:$Q$2133,"2",'NHAN VIEN'!$Z$15:$Z$16)</v>
      </c>
      <c r="AK35" t="str">
        <f t="shared" si="21"/>
        <v>DSUM('NHAN VIEN'!$E$5:$Q$2133,"3",'NHAN VIEN'!$Z$15:$Z$16)</v>
      </c>
      <c r="AL35" t="str">
        <f t="shared" si="22"/>
        <v>DSUM('NHAN VIEN'!$E$5:$Q$2133,"4",'NHAN VIEN'!$Z$15:$Z$16)</v>
      </c>
      <c r="AM35" t="str">
        <f t="shared" si="23"/>
        <v>DSUM('NHAN VIEN'!$E$5:$Q$2133,"5",'NHAN VIEN'!$Z$15:$Z$16)</v>
      </c>
      <c r="AN35" t="str">
        <f t="shared" si="24"/>
        <v>DSUM('NHAN VIEN'!$E$5:$Q$2133,"6",'NHAN VIEN'!$Z$15:$Z$16)</v>
      </c>
      <c r="AO35" t="str">
        <f t="shared" si="25"/>
        <v>DSUM('NHAN VIEN'!$E$5:$Q$2133,"7",'NHAN VIEN'!$Z$15:$Z$16)</v>
      </c>
      <c r="AP35" t="str">
        <f t="shared" si="26"/>
        <v>DSUM('NHAN VIEN'!$E$5:$Q$2133,"8",'NHAN VIEN'!$Z$15:$Z$16)</v>
      </c>
      <c r="AQ35" t="str">
        <f t="shared" si="27"/>
        <v>DSUM('NHAN VIEN'!$E$5:$Q$2133,"9",'NHAN VIEN'!$Z$15:$Z$16)</v>
      </c>
      <c r="AR35" t="str">
        <f t="shared" si="28"/>
        <v>DSUM('NHAN VIEN'!$E$5:$Q$2133,"10",'NHAN VIEN'!$Z$15:$Z$16)</v>
      </c>
      <c r="AS35" t="str">
        <f t="shared" si="29"/>
        <v>DSUM('NHAN VIEN'!$E$5:$Q$2133,"11",'NHAN VIEN'!$Z$15:$Z$16)</v>
      </c>
      <c r="AT35" t="str">
        <f t="shared" si="30"/>
        <v>DSUM('NHAN VIEN'!$E$5:$Q$2133,"12",'NHAN VIEN'!$Z$15:$Z$16)</v>
      </c>
      <c r="AU35"/>
      <c r="AV35" t="str">
        <f t="shared" si="31"/>
        <v>'NHAN VIEN'!$Z$15:$Z$16</v>
      </c>
      <c r="AY35" s="103" t="str">
        <f t="shared" si="32"/>
        <v>=DSUM('NHAN VIEN'!$E$5:$Q$2133,"1",'NHAN VIEN'!$Z$15:$Z$16)</v>
      </c>
      <c r="AZ35" s="103" t="str">
        <f t="shared" si="34"/>
        <v>=DSUM('NHAN VIEN'!$E$5:$Q$2133,"2",'NHAN VIEN'!$Z$15:$Z$16)</v>
      </c>
      <c r="BA35" s="103" t="str">
        <f t="shared" si="35"/>
        <v>=DSUM('NHAN VIEN'!$E$5:$Q$2133,"3",'NHAN VIEN'!$Z$15:$Z$16)</v>
      </c>
      <c r="BB35" s="103" t="str">
        <f t="shared" si="36"/>
        <v>=DSUM('NHAN VIEN'!$E$5:$Q$2133,"4",'NHAN VIEN'!$Z$15:$Z$16)</v>
      </c>
      <c r="BC35" s="103" t="str">
        <f t="shared" si="37"/>
        <v>=DSUM('NHAN VIEN'!$E$5:$Q$2133,"5",'NHAN VIEN'!$Z$15:$Z$16)</v>
      </c>
      <c r="BD35" s="103" t="str">
        <f t="shared" si="38"/>
        <v>=DSUM('NHAN VIEN'!$E$5:$Q$2133,"6",'NHAN VIEN'!$Z$15:$Z$16)</v>
      </c>
      <c r="BE35" s="103" t="str">
        <f t="shared" si="39"/>
        <v>=DSUM('NHAN VIEN'!$E$5:$Q$2133,"7",'NHAN VIEN'!$Z$15:$Z$16)</v>
      </c>
      <c r="BF35" s="103" t="str">
        <f t="shared" si="40"/>
        <v>=DSUM('NHAN VIEN'!$E$5:$Q$2133,"8",'NHAN VIEN'!$Z$15:$Z$16)</v>
      </c>
      <c r="BG35" s="103" t="str">
        <f t="shared" si="41"/>
        <v>=DSUM('NHAN VIEN'!$E$5:$Q$2133,"9",'NHAN VIEN'!$Z$15:$Z$16)</v>
      </c>
      <c r="BH35" s="103" t="str">
        <f t="shared" si="42"/>
        <v>=DSUM('NHAN VIEN'!$E$5:$Q$2133,"10",'NHAN VIEN'!$Z$15:$Z$16)</v>
      </c>
      <c r="BI35" s="103" t="str">
        <f t="shared" si="43"/>
        <v>=DSUM('NHAN VIEN'!$E$5:$Q$2133,"11",'NHAN VIEN'!$Z$15:$Z$16)</v>
      </c>
      <c r="BJ35" s="103" t="str">
        <f t="shared" si="44"/>
        <v>=DSUM('NHAN VIEN'!$E$5:$Q$2133,"12",'NHAN VIEN'!$Z$15:$Z$16)</v>
      </c>
      <c r="BR35" s="124">
        <f>R35-'KHACH HANG'!S38</f>
        <v>0</v>
      </c>
    </row>
    <row r="36" ht="18" spans="1:71">
      <c r="A36" s="125"/>
      <c r="B36" s="118">
        <f t="shared" si="45"/>
        <v>34</v>
      </c>
      <c r="C36" s="119" t="str">
        <f>VLOOKUP(B36,DMSP!$A$1:$C$39,2,0)</f>
        <v>7.KHÁC</v>
      </c>
      <c r="D36" s="120" t="str">
        <f>VLOOKUP(B36,DMSP!$A$1:$C$39,3,0)</f>
        <v>TOBA BÁM DÍNH</v>
      </c>
      <c r="E36" s="121">
        <f t="shared" si="7"/>
        <v>160</v>
      </c>
      <c r="F36" s="122">
        <f>DSUM('KHACH HANG'!$E$5:$R$2133,"1",'KHACH HANG'!$AB$15:$AB$16)</f>
        <v>25</v>
      </c>
      <c r="G36" s="122">
        <f>DSUM('KHACH HANG'!$E$5:$R$2133,"2",'KHACH HANG'!$AB$15:$AB$16)</f>
        <v>4</v>
      </c>
      <c r="H36" s="122">
        <f>DSUM('KHACH HANG'!$E$5:$R$2133,"3",'KHACH HANG'!$AB$15:$AB$16)</f>
        <v>0</v>
      </c>
      <c r="I36" s="122">
        <f>DSUM('KHACH HANG'!$E$5:$R$2133,"4",'KHACH HANG'!$AB$15:$AB$16)</f>
        <v>0</v>
      </c>
      <c r="J36" s="122">
        <f>DSUM('KHACH HANG'!$E$5:$R$2133,"5",'KHACH HANG'!$AB$15:$AB$16)</f>
        <v>0</v>
      </c>
      <c r="K36" s="122">
        <f>DSUM('KHACH HANG'!$E$5:$R$2133,"6",'KHACH HANG'!$AB$15:$AB$16)</f>
        <v>25</v>
      </c>
      <c r="L36" s="122">
        <f>DSUM('KHACH HANG'!$E$5:$R$2133,"7",'KHACH HANG'!$AB$15:$AB$16)</f>
        <v>28</v>
      </c>
      <c r="M36" s="122">
        <f>DSUM('KHACH HANG'!$E$5:$R$2133,"8",'KHACH HANG'!$AB$15:$AB$16)</f>
        <v>28</v>
      </c>
      <c r="N36" s="122">
        <f>DSUM('KHACH HANG'!$E$5:$R$2133,"9",'KHACH HANG'!$AB$15:$AB$16)</f>
        <v>25</v>
      </c>
      <c r="O36" s="122">
        <f>DSUM('KHACH HANG'!$E$5:$R$2133,"10",'KHACH HANG'!$AB$15:$AB$16)</f>
        <v>0</v>
      </c>
      <c r="P36" s="122">
        <f>DSUM('KHACH HANG'!$E$5:$R$2133,"11",'KHACH HANG'!$AB$15:$AB$16)</f>
        <v>25</v>
      </c>
      <c r="Q36" s="122">
        <f>DSUM('KHACH HANG'!$E$5:$R$2133,"12",'KHACH HANG'!$AB$15:$AB$16)</f>
        <v>0</v>
      </c>
      <c r="R36" s="123">
        <f t="shared" si="3"/>
        <v>160</v>
      </c>
      <c r="S36" s="6"/>
      <c r="T36" t="s">
        <v>45</v>
      </c>
      <c r="U36">
        <v>15</v>
      </c>
      <c r="V36">
        <v>16</v>
      </c>
      <c r="W36" t="s">
        <v>42</v>
      </c>
      <c r="X36" t="str">
        <f t="shared" si="8"/>
        <v>DSUM('NHAN VIEN'!$E$5:$Q$2133,"2"</v>
      </c>
      <c r="Y36" t="str">
        <f t="shared" si="9"/>
        <v>DSUM('NHAN VIEN'!$E$5:$Q$2133,"3"</v>
      </c>
      <c r="Z36" t="str">
        <f t="shared" si="10"/>
        <v>DSUM('NHAN VIEN'!$E$5:$Q$2133,"4"</v>
      </c>
      <c r="AA36" t="str">
        <f t="shared" si="11"/>
        <v>DSUM('NHAN VIEN'!$E$5:$Q$2133,"5"</v>
      </c>
      <c r="AB36" t="str">
        <f t="shared" si="12"/>
        <v>DSUM('NHAN VIEN'!$E$5:$Q$2133,"6"</v>
      </c>
      <c r="AC36" t="str">
        <f t="shared" si="13"/>
        <v>DSUM('NHAN VIEN'!$E$5:$Q$2133,"7"</v>
      </c>
      <c r="AD36" t="str">
        <f t="shared" si="14"/>
        <v>DSUM('NHAN VIEN'!$E$5:$Q$2133,"8"</v>
      </c>
      <c r="AE36" t="str">
        <f t="shared" si="15"/>
        <v>DSUM('NHAN VIEN'!$E$5:$Q$2133,"9"</v>
      </c>
      <c r="AF36" t="str">
        <f t="shared" si="16"/>
        <v>DSUM('NHAN VIEN'!$E$5:$Q$2133,"10"</v>
      </c>
      <c r="AG36" t="str">
        <f t="shared" si="17"/>
        <v>DSUM('NHAN VIEN'!$E$5:$Q$2133,"11"</v>
      </c>
      <c r="AH36" t="str">
        <f t="shared" si="18"/>
        <v>DSUM('NHAN VIEN'!$E$5:$Q$2133,"12"</v>
      </c>
      <c r="AI36" t="str">
        <f t="shared" si="33"/>
        <v>DSUM('NHAN VIEN'!$E$5:$Q$2133,"1",'NHAN VIEN'!$AA$15:$AA$16)</v>
      </c>
      <c r="AJ36" t="str">
        <f t="shared" si="20"/>
        <v>DSUM('NHAN VIEN'!$E$5:$Q$2133,"2",'NHAN VIEN'!$AA$15:$AA$16)</v>
      </c>
      <c r="AK36" t="str">
        <f t="shared" si="21"/>
        <v>DSUM('NHAN VIEN'!$E$5:$Q$2133,"3",'NHAN VIEN'!$AA$15:$AA$16)</v>
      </c>
      <c r="AL36" t="str">
        <f t="shared" si="22"/>
        <v>DSUM('NHAN VIEN'!$E$5:$Q$2133,"4",'NHAN VIEN'!$AA$15:$AA$16)</v>
      </c>
      <c r="AM36" t="str">
        <f t="shared" si="23"/>
        <v>DSUM('NHAN VIEN'!$E$5:$Q$2133,"5",'NHAN VIEN'!$AA$15:$AA$16)</v>
      </c>
      <c r="AN36" t="str">
        <f t="shared" si="24"/>
        <v>DSUM('NHAN VIEN'!$E$5:$Q$2133,"6",'NHAN VIEN'!$AA$15:$AA$16)</v>
      </c>
      <c r="AO36" t="str">
        <f t="shared" si="25"/>
        <v>DSUM('NHAN VIEN'!$E$5:$Q$2133,"7",'NHAN VIEN'!$AA$15:$AA$16)</v>
      </c>
      <c r="AP36" t="str">
        <f t="shared" si="26"/>
        <v>DSUM('NHAN VIEN'!$E$5:$Q$2133,"8",'NHAN VIEN'!$AA$15:$AA$16)</v>
      </c>
      <c r="AQ36" t="str">
        <f t="shared" si="27"/>
        <v>DSUM('NHAN VIEN'!$E$5:$Q$2133,"9",'NHAN VIEN'!$AA$15:$AA$16)</v>
      </c>
      <c r="AR36" t="str">
        <f t="shared" si="28"/>
        <v>DSUM('NHAN VIEN'!$E$5:$Q$2133,"10",'NHAN VIEN'!$AA$15:$AA$16)</v>
      </c>
      <c r="AS36" t="str">
        <f t="shared" si="29"/>
        <v>DSUM('NHAN VIEN'!$E$5:$Q$2133,"11",'NHAN VIEN'!$AA$15:$AA$16)</v>
      </c>
      <c r="AT36" t="str">
        <f t="shared" si="30"/>
        <v>DSUM('NHAN VIEN'!$E$5:$Q$2133,"12",'NHAN VIEN'!$AA$15:$AA$16)</v>
      </c>
      <c r="AU36"/>
      <c r="AV36" t="str">
        <f t="shared" si="31"/>
        <v>'NHAN VIEN'!$AA$15:$AA$16</v>
      </c>
      <c r="AY36" s="103" t="str">
        <f t="shared" si="32"/>
        <v>=DSUM('NHAN VIEN'!$E$5:$Q$2133,"1",'NHAN VIEN'!$AA$15:$AA$16)</v>
      </c>
      <c r="AZ36" s="103" t="str">
        <f t="shared" si="34"/>
        <v>=DSUM('NHAN VIEN'!$E$5:$Q$2133,"2",'NHAN VIEN'!$AA$15:$AA$16)</v>
      </c>
      <c r="BA36" s="103" t="str">
        <f t="shared" si="35"/>
        <v>=DSUM('NHAN VIEN'!$E$5:$Q$2133,"3",'NHAN VIEN'!$AA$15:$AA$16)</v>
      </c>
      <c r="BB36" s="103" t="str">
        <f t="shared" si="36"/>
        <v>=DSUM('NHAN VIEN'!$E$5:$Q$2133,"4",'NHAN VIEN'!$AA$15:$AA$16)</v>
      </c>
      <c r="BC36" s="103" t="str">
        <f t="shared" si="37"/>
        <v>=DSUM('NHAN VIEN'!$E$5:$Q$2133,"5",'NHAN VIEN'!$AA$15:$AA$16)</v>
      </c>
      <c r="BD36" s="103" t="str">
        <f t="shared" si="38"/>
        <v>=DSUM('NHAN VIEN'!$E$5:$Q$2133,"6",'NHAN VIEN'!$AA$15:$AA$16)</v>
      </c>
      <c r="BE36" s="103" t="str">
        <f t="shared" si="39"/>
        <v>=DSUM('NHAN VIEN'!$E$5:$Q$2133,"7",'NHAN VIEN'!$AA$15:$AA$16)</v>
      </c>
      <c r="BF36" s="103" t="str">
        <f t="shared" si="40"/>
        <v>=DSUM('NHAN VIEN'!$E$5:$Q$2133,"8",'NHAN VIEN'!$AA$15:$AA$16)</v>
      </c>
      <c r="BG36" s="103" t="str">
        <f t="shared" si="41"/>
        <v>=DSUM('NHAN VIEN'!$E$5:$Q$2133,"9",'NHAN VIEN'!$AA$15:$AA$16)</v>
      </c>
      <c r="BH36" s="103" t="str">
        <f t="shared" si="42"/>
        <v>=DSUM('NHAN VIEN'!$E$5:$Q$2133,"10",'NHAN VIEN'!$AA$15:$AA$16)</v>
      </c>
      <c r="BI36" s="103" t="str">
        <f t="shared" si="43"/>
        <v>=DSUM('NHAN VIEN'!$E$5:$Q$2133,"11",'NHAN VIEN'!$AA$15:$AA$16)</v>
      </c>
      <c r="BJ36" s="103" t="str">
        <f t="shared" si="44"/>
        <v>=DSUM('NHAN VIEN'!$E$5:$Q$2133,"12",'NHAN VIEN'!$AA$15:$AA$16)</v>
      </c>
      <c r="BR36" s="124">
        <f>R36-'KHACH HANG'!S39</f>
        <v>156</v>
      </c>
    </row>
    <row r="37" ht="18" spans="1:71">
      <c r="A37" s="125"/>
      <c r="B37" s="118">
        <f t="shared" si="45"/>
        <v>35</v>
      </c>
      <c r="C37" s="119" t="str">
        <f>VLOOKUP(B37,DMSP!$A$1:$C$39,2,0)</f>
        <v>7.KHÁC</v>
      </c>
      <c r="D37" s="120" t="str">
        <f>VLOOKUP(B37,DMSP!$A$1:$C$39,3,0)</f>
        <v>VỌT HOA NHÃN</v>
      </c>
      <c r="E37" s="121">
        <f t="shared" si="7"/>
        <v>0</v>
      </c>
      <c r="F37" s="122">
        <f>DSUM('KHACH HANG'!$E$5:$R$2133,"1",'KHACH HANG'!$AC$15:$AC$16)</f>
        <v>0</v>
      </c>
      <c r="G37" s="122">
        <f>DSUM('KHACH HANG'!$E$5:$R$2133,"2",'KHACH HANG'!$AC$15:$AC$16)</f>
        <v>0</v>
      </c>
      <c r="H37" s="122">
        <f>DSUM('KHACH HANG'!$E$5:$R$2133,"3",'KHACH HANG'!$AC$15:$AC$16)</f>
        <v>0</v>
      </c>
      <c r="I37" s="122">
        <f>DSUM('KHACH HANG'!$E$5:$R$2133,"4",'KHACH HANG'!$AC$15:$AC$16)</f>
        <v>0</v>
      </c>
      <c r="J37" s="122">
        <f>DSUM('KHACH HANG'!$E$5:$R$2133,"5",'KHACH HANG'!$AC$15:$AC$16)</f>
        <v>0</v>
      </c>
      <c r="K37" s="122">
        <f>DSUM('KHACH HANG'!$E$5:$R$2133,"6",'KHACH HANG'!$AC$15:$AC$16)</f>
        <v>0</v>
      </c>
      <c r="L37" s="122">
        <f>DSUM('KHACH HANG'!$E$5:$R$2133,"7",'KHACH HANG'!$AC$15:$AC$16)</f>
        <v>0</v>
      </c>
      <c r="M37" s="122">
        <f>DSUM('KHACH HANG'!$E$5:$R$2133,"8",'KHACH HANG'!$AC$15:$AC$16)</f>
        <v>0</v>
      </c>
      <c r="N37" s="122">
        <f>DSUM('KHACH HANG'!$E$5:$R$2133,"9",'KHACH HANG'!$AC$15:$AC$16)</f>
        <v>0</v>
      </c>
      <c r="O37" s="122">
        <f>DSUM('KHACH HANG'!$E$5:$R$2133,"10",'KHACH HANG'!$AC$15:$AC$16)</f>
        <v>0</v>
      </c>
      <c r="P37" s="122">
        <f>DSUM('KHACH HANG'!$E$5:$R$2133,"11",'KHACH HANG'!$AC$15:$AC$16)</f>
        <v>0</v>
      </c>
      <c r="Q37" s="122">
        <f>DSUM('KHACH HANG'!$E$5:$R$2133,"12",'KHACH HANG'!$AC$15:$AC$16)</f>
        <v>0</v>
      </c>
      <c r="R37" s="123">
        <f t="shared" si="3"/>
        <v>0</v>
      </c>
      <c r="S37" s="6"/>
      <c r="T37" t="s">
        <v>46</v>
      </c>
      <c r="U37">
        <v>15</v>
      </c>
      <c r="V37">
        <v>16</v>
      </c>
      <c r="W37" t="s">
        <v>42</v>
      </c>
      <c r="X37" t="str">
        <f t="shared" si="8"/>
        <v>DSUM('NHAN VIEN'!$E$5:$Q$2133,"2"</v>
      </c>
      <c r="Y37" t="str">
        <f t="shared" si="9"/>
        <v>DSUM('NHAN VIEN'!$E$5:$Q$2133,"3"</v>
      </c>
      <c r="Z37" t="str">
        <f t="shared" si="10"/>
        <v>DSUM('NHAN VIEN'!$E$5:$Q$2133,"4"</v>
      </c>
      <c r="AA37" t="str">
        <f t="shared" si="11"/>
        <v>DSUM('NHAN VIEN'!$E$5:$Q$2133,"5"</v>
      </c>
      <c r="AB37" t="str">
        <f t="shared" si="12"/>
        <v>DSUM('NHAN VIEN'!$E$5:$Q$2133,"6"</v>
      </c>
      <c r="AC37" t="str">
        <f t="shared" si="13"/>
        <v>DSUM('NHAN VIEN'!$E$5:$Q$2133,"7"</v>
      </c>
      <c r="AD37" t="str">
        <f t="shared" si="14"/>
        <v>DSUM('NHAN VIEN'!$E$5:$Q$2133,"8"</v>
      </c>
      <c r="AE37" t="str">
        <f t="shared" si="15"/>
        <v>DSUM('NHAN VIEN'!$E$5:$Q$2133,"9"</v>
      </c>
      <c r="AF37" t="str">
        <f t="shared" si="16"/>
        <v>DSUM('NHAN VIEN'!$E$5:$Q$2133,"10"</v>
      </c>
      <c r="AG37" t="str">
        <f t="shared" si="17"/>
        <v>DSUM('NHAN VIEN'!$E$5:$Q$2133,"11"</v>
      </c>
      <c r="AH37" t="str">
        <f t="shared" si="18"/>
        <v>DSUM('NHAN VIEN'!$E$5:$Q$2133,"12"</v>
      </c>
      <c r="AI37" t="str">
        <f t="shared" si="33"/>
        <v>DSUM('NHAN VIEN'!$E$5:$Q$2133,"1",'NHAN VIEN'!$AB$15:$AB$16)</v>
      </c>
      <c r="AJ37" t="str">
        <f t="shared" si="20"/>
        <v>DSUM('NHAN VIEN'!$E$5:$Q$2133,"2",'NHAN VIEN'!$AB$15:$AB$16)</v>
      </c>
      <c r="AK37" t="str">
        <f t="shared" si="21"/>
        <v>DSUM('NHAN VIEN'!$E$5:$Q$2133,"3",'NHAN VIEN'!$AB$15:$AB$16)</v>
      </c>
      <c r="AL37" t="str">
        <f t="shared" si="22"/>
        <v>DSUM('NHAN VIEN'!$E$5:$Q$2133,"4",'NHAN VIEN'!$AB$15:$AB$16)</v>
      </c>
      <c r="AM37" t="str">
        <f t="shared" si="23"/>
        <v>DSUM('NHAN VIEN'!$E$5:$Q$2133,"5",'NHAN VIEN'!$AB$15:$AB$16)</v>
      </c>
      <c r="AN37" t="str">
        <f t="shared" si="24"/>
        <v>DSUM('NHAN VIEN'!$E$5:$Q$2133,"6",'NHAN VIEN'!$AB$15:$AB$16)</v>
      </c>
      <c r="AO37" t="str">
        <f t="shared" si="25"/>
        <v>DSUM('NHAN VIEN'!$E$5:$Q$2133,"7",'NHAN VIEN'!$AB$15:$AB$16)</v>
      </c>
      <c r="AP37" t="str">
        <f t="shared" si="26"/>
        <v>DSUM('NHAN VIEN'!$E$5:$Q$2133,"8",'NHAN VIEN'!$AB$15:$AB$16)</v>
      </c>
      <c r="AQ37" t="str">
        <f t="shared" si="27"/>
        <v>DSUM('NHAN VIEN'!$E$5:$Q$2133,"9",'NHAN VIEN'!$AB$15:$AB$16)</v>
      </c>
      <c r="AR37" t="str">
        <f t="shared" si="28"/>
        <v>DSUM('NHAN VIEN'!$E$5:$Q$2133,"10",'NHAN VIEN'!$AB$15:$AB$16)</v>
      </c>
      <c r="AS37" t="str">
        <f t="shared" si="29"/>
        <v>DSUM('NHAN VIEN'!$E$5:$Q$2133,"11",'NHAN VIEN'!$AB$15:$AB$16)</v>
      </c>
      <c r="AT37" t="str">
        <f t="shared" si="30"/>
        <v>DSUM('NHAN VIEN'!$E$5:$Q$2133,"12",'NHAN VIEN'!$AB$15:$AB$16)</v>
      </c>
      <c r="AU37"/>
      <c r="AV37" t="str">
        <f t="shared" si="31"/>
        <v>'NHAN VIEN'!$AB$15:$AB$16</v>
      </c>
      <c r="AY37" s="103" t="str">
        <f t="shared" si="32"/>
        <v>=DSUM('NHAN VIEN'!$E$5:$Q$2133,"1",'NHAN VIEN'!$AB$15:$AB$16)</v>
      </c>
      <c r="AZ37" s="103" t="str">
        <f t="shared" si="34"/>
        <v>=DSUM('NHAN VIEN'!$E$5:$Q$2133,"2",'NHAN VIEN'!$AB$15:$AB$16)</v>
      </c>
      <c r="BA37" s="103" t="str">
        <f t="shared" si="35"/>
        <v>=DSUM('NHAN VIEN'!$E$5:$Q$2133,"3",'NHAN VIEN'!$AB$15:$AB$16)</v>
      </c>
      <c r="BB37" s="103" t="str">
        <f t="shared" si="36"/>
        <v>=DSUM('NHAN VIEN'!$E$5:$Q$2133,"4",'NHAN VIEN'!$AB$15:$AB$16)</v>
      </c>
      <c r="BC37" s="103" t="str">
        <f t="shared" si="37"/>
        <v>=DSUM('NHAN VIEN'!$E$5:$Q$2133,"5",'NHAN VIEN'!$AB$15:$AB$16)</v>
      </c>
      <c r="BD37" s="103" t="str">
        <f t="shared" si="38"/>
        <v>=DSUM('NHAN VIEN'!$E$5:$Q$2133,"6",'NHAN VIEN'!$AB$15:$AB$16)</v>
      </c>
      <c r="BE37" s="103" t="str">
        <f t="shared" si="39"/>
        <v>=DSUM('NHAN VIEN'!$E$5:$Q$2133,"7",'NHAN VIEN'!$AB$15:$AB$16)</v>
      </c>
      <c r="BF37" s="103" t="str">
        <f t="shared" si="40"/>
        <v>=DSUM('NHAN VIEN'!$E$5:$Q$2133,"8",'NHAN VIEN'!$AB$15:$AB$16)</v>
      </c>
      <c r="BG37" s="103" t="str">
        <f t="shared" si="41"/>
        <v>=DSUM('NHAN VIEN'!$E$5:$Q$2133,"9",'NHAN VIEN'!$AB$15:$AB$16)</v>
      </c>
      <c r="BH37" s="103" t="str">
        <f t="shared" si="42"/>
        <v>=DSUM('NHAN VIEN'!$E$5:$Q$2133,"10",'NHAN VIEN'!$AB$15:$AB$16)</v>
      </c>
      <c r="BI37" s="103" t="str">
        <f t="shared" si="43"/>
        <v>=DSUM('NHAN VIEN'!$E$5:$Q$2133,"11",'NHAN VIEN'!$AB$15:$AB$16)</v>
      </c>
      <c r="BJ37" s="103" t="str">
        <f t="shared" si="44"/>
        <v>=DSUM('NHAN VIEN'!$E$5:$Q$2133,"12",'NHAN VIEN'!$AB$15:$AB$16)</v>
      </c>
      <c r="BR37" s="124">
        <f>R37-'KHACH HANG'!S40</f>
        <v>0</v>
      </c>
    </row>
    <row r="38" ht="18" spans="1:71">
      <c r="A38" s="125"/>
      <c r="B38" s="118">
        <f t="shared" si="45"/>
        <v>36</v>
      </c>
      <c r="C38" s="119" t="str">
        <f>VLOOKUP(B38,DMSP!$A$1:$C$39,2,0)</f>
        <v>7.KHÁC</v>
      </c>
      <c r="D38" s="120" t="str">
        <f>VLOOKUP(B38,DMSP!$A$1:$C$39,3,0)</f>
        <v>VỌT HOA XOÀI</v>
      </c>
      <c r="E38" s="121">
        <f t="shared" si="7"/>
        <v>21</v>
      </c>
      <c r="F38" s="122">
        <f>DSUM('KHACH HANG'!$E$5:$R$2133,"1",'KHACH HANG'!$AD$15:$AD$16)</f>
        <v>0</v>
      </c>
      <c r="G38" s="122">
        <f>DSUM('KHACH HANG'!$E$5:$R$2133,"2",'KHACH HANG'!$AD$15:$AD$16)</f>
        <v>0</v>
      </c>
      <c r="H38" s="122">
        <f>DSUM('KHACH HANG'!$E$5:$R$2133,"3",'KHACH HANG'!$AD$15:$AD$16)</f>
        <v>0</v>
      </c>
      <c r="I38" s="122">
        <f>DSUM('KHACH HANG'!$E$5:$R$2133,"4",'KHACH HANG'!$AD$15:$AD$16)</f>
        <v>0</v>
      </c>
      <c r="J38" s="122">
        <f>DSUM('KHACH HANG'!$E$5:$R$2133,"5",'KHACH HANG'!$AD$15:$AD$16)</f>
        <v>0</v>
      </c>
      <c r="K38" s="122">
        <f>DSUM('KHACH HANG'!$E$5:$R$2133,"6",'KHACH HANG'!$AD$15:$AD$16)</f>
        <v>21</v>
      </c>
      <c r="L38" s="122">
        <f>DSUM('KHACH HANG'!$E$5:$R$2133,"7",'KHACH HANG'!$AD$15:$AD$16)</f>
        <v>0</v>
      </c>
      <c r="M38" s="122">
        <f>DSUM('KHACH HANG'!$E$5:$R$2133,"8",'KHACH HANG'!$AD$15:$AD$16)</f>
        <v>0</v>
      </c>
      <c r="N38" s="122">
        <f>DSUM('KHACH HANG'!$E$5:$R$2133,"9",'KHACH HANG'!$AD$15:$AD$16)</f>
        <v>0</v>
      </c>
      <c r="O38" s="122">
        <f>DSUM('KHACH HANG'!$E$5:$R$2133,"10",'KHACH HANG'!$AD$15:$AD$16)</f>
        <v>0</v>
      </c>
      <c r="P38" s="122">
        <f>DSUM('KHACH HANG'!$E$5:$R$2133,"11",'KHACH HANG'!$AD$15:$AD$16)</f>
        <v>0</v>
      </c>
      <c r="Q38" s="122">
        <f>DSUM('KHACH HANG'!$E$5:$R$2133,"12",'KHACH HANG'!$AD$15:$AD$16)</f>
        <v>0</v>
      </c>
      <c r="R38" s="123">
        <f t="shared" si="3"/>
        <v>21</v>
      </c>
      <c r="S38" s="6"/>
      <c r="T38" t="s">
        <v>47</v>
      </c>
      <c r="U38">
        <v>15</v>
      </c>
      <c r="V38">
        <v>16</v>
      </c>
      <c r="W38" t="s">
        <v>42</v>
      </c>
      <c r="X38" t="str">
        <f t="shared" si="8"/>
        <v>DSUM('NHAN VIEN'!$E$5:$Q$2133,"2"</v>
      </c>
      <c r="Y38" t="str">
        <f t="shared" si="9"/>
        <v>DSUM('NHAN VIEN'!$E$5:$Q$2133,"3"</v>
      </c>
      <c r="Z38" t="str">
        <f t="shared" si="10"/>
        <v>DSUM('NHAN VIEN'!$E$5:$Q$2133,"4"</v>
      </c>
      <c r="AA38" t="str">
        <f t="shared" si="11"/>
        <v>DSUM('NHAN VIEN'!$E$5:$Q$2133,"5"</v>
      </c>
      <c r="AB38" t="str">
        <f t="shared" si="12"/>
        <v>DSUM('NHAN VIEN'!$E$5:$Q$2133,"6"</v>
      </c>
      <c r="AC38" t="str">
        <f t="shared" si="13"/>
        <v>DSUM('NHAN VIEN'!$E$5:$Q$2133,"7"</v>
      </c>
      <c r="AD38" t="str">
        <f t="shared" si="14"/>
        <v>DSUM('NHAN VIEN'!$E$5:$Q$2133,"8"</v>
      </c>
      <c r="AE38" t="str">
        <f t="shared" si="15"/>
        <v>DSUM('NHAN VIEN'!$E$5:$Q$2133,"9"</v>
      </c>
      <c r="AF38" t="str">
        <f t="shared" si="16"/>
        <v>DSUM('NHAN VIEN'!$E$5:$Q$2133,"10"</v>
      </c>
      <c r="AG38" t="str">
        <f t="shared" si="17"/>
        <v>DSUM('NHAN VIEN'!$E$5:$Q$2133,"11"</v>
      </c>
      <c r="AH38" t="str">
        <f t="shared" si="18"/>
        <v>DSUM('NHAN VIEN'!$E$5:$Q$2133,"12"</v>
      </c>
      <c r="AI38" t="str">
        <f t="shared" si="33"/>
        <v>DSUM('NHAN VIEN'!$E$5:$Q$2133,"1",'NHAN VIEN'!$AC$15:$AC$16)</v>
      </c>
      <c r="AJ38" t="str">
        <f t="shared" si="20"/>
        <v>DSUM('NHAN VIEN'!$E$5:$Q$2133,"2",'NHAN VIEN'!$AC$15:$AC$16)</v>
      </c>
      <c r="AK38" t="str">
        <f t="shared" si="21"/>
        <v>DSUM('NHAN VIEN'!$E$5:$Q$2133,"3",'NHAN VIEN'!$AC$15:$AC$16)</v>
      </c>
      <c r="AL38" t="str">
        <f t="shared" si="22"/>
        <v>DSUM('NHAN VIEN'!$E$5:$Q$2133,"4",'NHAN VIEN'!$AC$15:$AC$16)</v>
      </c>
      <c r="AM38" t="str">
        <f t="shared" si="23"/>
        <v>DSUM('NHAN VIEN'!$E$5:$Q$2133,"5",'NHAN VIEN'!$AC$15:$AC$16)</v>
      </c>
      <c r="AN38" t="str">
        <f t="shared" si="24"/>
        <v>DSUM('NHAN VIEN'!$E$5:$Q$2133,"6",'NHAN VIEN'!$AC$15:$AC$16)</v>
      </c>
      <c r="AO38" t="str">
        <f t="shared" si="25"/>
        <v>DSUM('NHAN VIEN'!$E$5:$Q$2133,"7",'NHAN VIEN'!$AC$15:$AC$16)</v>
      </c>
      <c r="AP38" t="str">
        <f t="shared" si="26"/>
        <v>DSUM('NHAN VIEN'!$E$5:$Q$2133,"8",'NHAN VIEN'!$AC$15:$AC$16)</v>
      </c>
      <c r="AQ38" t="str">
        <f t="shared" si="27"/>
        <v>DSUM('NHAN VIEN'!$E$5:$Q$2133,"9",'NHAN VIEN'!$AC$15:$AC$16)</v>
      </c>
      <c r="AR38" t="str">
        <f t="shared" si="28"/>
        <v>DSUM('NHAN VIEN'!$E$5:$Q$2133,"10",'NHAN VIEN'!$AC$15:$AC$16)</v>
      </c>
      <c r="AS38" t="str">
        <f t="shared" si="29"/>
        <v>DSUM('NHAN VIEN'!$E$5:$Q$2133,"11",'NHAN VIEN'!$AC$15:$AC$16)</v>
      </c>
      <c r="AT38" t="str">
        <f t="shared" si="30"/>
        <v>DSUM('NHAN VIEN'!$E$5:$Q$2133,"12",'NHAN VIEN'!$AC$15:$AC$16)</v>
      </c>
      <c r="AU38"/>
      <c r="AV38" t="str">
        <f t="shared" si="31"/>
        <v>'NHAN VIEN'!$AC$15:$AC$16</v>
      </c>
      <c r="AY38" s="103" t="str">
        <f t="shared" si="32"/>
        <v>=DSUM('NHAN VIEN'!$E$5:$Q$2133,"1",'NHAN VIEN'!$AC$15:$AC$16)</v>
      </c>
      <c r="AZ38" s="103" t="str">
        <f t="shared" si="34"/>
        <v>=DSUM('NHAN VIEN'!$E$5:$Q$2133,"2",'NHAN VIEN'!$AC$15:$AC$16)</v>
      </c>
      <c r="BA38" s="103" t="str">
        <f t="shared" si="35"/>
        <v>=DSUM('NHAN VIEN'!$E$5:$Q$2133,"3",'NHAN VIEN'!$AC$15:$AC$16)</v>
      </c>
      <c r="BB38" s="103" t="str">
        <f t="shared" si="36"/>
        <v>=DSUM('NHAN VIEN'!$E$5:$Q$2133,"4",'NHAN VIEN'!$AC$15:$AC$16)</v>
      </c>
      <c r="BC38" s="103" t="str">
        <f t="shared" si="37"/>
        <v>=DSUM('NHAN VIEN'!$E$5:$Q$2133,"5",'NHAN VIEN'!$AC$15:$AC$16)</v>
      </c>
      <c r="BD38" s="103" t="str">
        <f t="shared" si="38"/>
        <v>=DSUM('NHAN VIEN'!$E$5:$Q$2133,"6",'NHAN VIEN'!$AC$15:$AC$16)</v>
      </c>
      <c r="BE38" s="103" t="str">
        <f t="shared" si="39"/>
        <v>=DSUM('NHAN VIEN'!$E$5:$Q$2133,"7",'NHAN VIEN'!$AC$15:$AC$16)</v>
      </c>
      <c r="BF38" s="103" t="str">
        <f t="shared" si="40"/>
        <v>=DSUM('NHAN VIEN'!$E$5:$Q$2133,"8",'NHAN VIEN'!$AC$15:$AC$16)</v>
      </c>
      <c r="BG38" s="103" t="str">
        <f t="shared" si="41"/>
        <v>=DSUM('NHAN VIEN'!$E$5:$Q$2133,"9",'NHAN VIEN'!$AC$15:$AC$16)</v>
      </c>
      <c r="BH38" s="103" t="str">
        <f t="shared" si="42"/>
        <v>=DSUM('NHAN VIEN'!$E$5:$Q$2133,"10",'NHAN VIEN'!$AC$15:$AC$16)</v>
      </c>
      <c r="BI38" s="103" t="str">
        <f t="shared" si="43"/>
        <v>=DSUM('NHAN VIEN'!$E$5:$Q$2133,"11",'NHAN VIEN'!$AC$15:$AC$16)</v>
      </c>
      <c r="BJ38" s="103" t="str">
        <f t="shared" si="44"/>
        <v>=DSUM('NHAN VIEN'!$E$5:$Q$2133,"12",'NHAN VIEN'!$AC$15:$AC$16)</v>
      </c>
      <c r="BR38" s="124">
        <f>R38-'KHACH HANG'!S41</f>
        <v>21</v>
      </c>
    </row>
    <row r="39" ht="18" spans="1:71">
      <c r="A39" s="125"/>
      <c r="B39" s="118">
        <f t="shared" si="45"/>
        <v>37</v>
      </c>
      <c r="C39" s="119" t="str">
        <f>VLOOKUP(B39,DMSP!$A$1:$C$39,2,0)</f>
        <v>7.KHÁC</v>
      </c>
      <c r="D39" s="120" t="str">
        <f>VLOOKUP(B39,DMSP!$A$1:$C$39,3,0)</f>
        <v>VỌT HOA XOÀI</v>
      </c>
      <c r="E39" s="121">
        <f t="shared" si="7"/>
        <v>21</v>
      </c>
      <c r="F39" s="122">
        <f>DSUM('KHACH HANG'!$E$5:$R$2133,"1",'KHACH HANG'!$Y$17:$Y$18)</f>
        <v>0</v>
      </c>
      <c r="G39" s="122">
        <f>DSUM('KHACH HANG'!$E$5:$R$2133,"2",'KHACH HANG'!$Y$17:$Y$18)</f>
        <v>0</v>
      </c>
      <c r="H39" s="122">
        <f>DSUM('KHACH HANG'!$E$5:$R$2133,"3",'KHACH HANG'!$Y$17:$Y$18)</f>
        <v>0</v>
      </c>
      <c r="I39" s="122">
        <f>DSUM('KHACH HANG'!$E$5:$R$2133,"4",'KHACH HANG'!$Y$17:$Y$18)</f>
        <v>0</v>
      </c>
      <c r="J39" s="122">
        <f>DSUM('KHACH HANG'!$E$5:$R$2133,"5",'KHACH HANG'!$Y$17:$Y$18)</f>
        <v>0</v>
      </c>
      <c r="K39" s="122">
        <f>DSUM('KHACH HANG'!$E$5:$R$2133,"6",'KHACH HANG'!$Y$17:$Y$18)</f>
        <v>21</v>
      </c>
      <c r="L39" s="122">
        <f>DSUM('KHACH HANG'!$E$5:$R$2133,"7",'KHACH HANG'!$Y$17:$Y$18)</f>
        <v>0</v>
      </c>
      <c r="M39" s="122">
        <f>DSUM('KHACH HANG'!$E$5:$R$2133,"8",'KHACH HANG'!$Y$17:$Y$18)</f>
        <v>0</v>
      </c>
      <c r="N39" s="122">
        <f>DSUM('KHACH HANG'!$E$5:$R$2133,"9",'KHACH HANG'!$Y$17:$Y$18)</f>
        <v>0</v>
      </c>
      <c r="O39" s="122">
        <f>DSUM('KHACH HANG'!$E$5:$R$2133,"10",'KHACH HANG'!$Y$17:$Y$18)</f>
        <v>0</v>
      </c>
      <c r="P39" s="122">
        <f>DSUM('KHACH HANG'!$E$5:$R$2133,"11",'KHACH HANG'!$Y$17:$Y$18)</f>
        <v>0</v>
      </c>
      <c r="Q39" s="122">
        <f>DSUM('KHACH HANG'!$E$5:$R$2133,"12",'KHACH HANG'!$Y$17:$Y$18)</f>
        <v>0</v>
      </c>
      <c r="R39" s="123">
        <f t="shared" si="3"/>
        <v>21</v>
      </c>
      <c r="S39" s="6"/>
      <c r="T39" t="s">
        <v>41</v>
      </c>
      <c r="U39">
        <v>17</v>
      </c>
      <c r="V39">
        <v>18</v>
      </c>
      <c r="W39" t="s">
        <v>42</v>
      </c>
      <c r="X39" t="str">
        <f t="shared" si="8"/>
        <v>DSUM('NHAN VIEN'!$E$5:$Q$2133,"2"</v>
      </c>
      <c r="Y39" t="str">
        <f t="shared" si="9"/>
        <v>DSUM('NHAN VIEN'!$E$5:$Q$2133,"3"</v>
      </c>
      <c r="Z39" t="str">
        <f t="shared" si="10"/>
        <v>DSUM('NHAN VIEN'!$E$5:$Q$2133,"4"</v>
      </c>
      <c r="AA39" t="str">
        <f t="shared" si="11"/>
        <v>DSUM('NHAN VIEN'!$E$5:$Q$2133,"5"</v>
      </c>
      <c r="AB39" t="str">
        <f t="shared" si="12"/>
        <v>DSUM('NHAN VIEN'!$E$5:$Q$2133,"6"</v>
      </c>
      <c r="AC39" t="str">
        <f t="shared" si="13"/>
        <v>DSUM('NHAN VIEN'!$E$5:$Q$2133,"7"</v>
      </c>
      <c r="AD39" t="str">
        <f t="shared" si="14"/>
        <v>DSUM('NHAN VIEN'!$E$5:$Q$2133,"8"</v>
      </c>
      <c r="AE39" t="str">
        <f t="shared" si="15"/>
        <v>DSUM('NHAN VIEN'!$E$5:$Q$2133,"9"</v>
      </c>
      <c r="AF39" t="str">
        <f t="shared" si="16"/>
        <v>DSUM('NHAN VIEN'!$E$5:$Q$2133,"10"</v>
      </c>
      <c r="AG39" t="str">
        <f t="shared" si="17"/>
        <v>DSUM('NHAN VIEN'!$E$5:$Q$2133,"11"</v>
      </c>
      <c r="AH39" t="str">
        <f t="shared" si="18"/>
        <v>DSUM('NHAN VIEN'!$E$5:$Q$2133,"12"</v>
      </c>
      <c r="AI39" t="str">
        <f t="shared" si="33"/>
        <v>DSUM('NHAN VIEN'!$E$5:$Q$2133,"1",'NHAN VIEN'!$X$17:$X$18)</v>
      </c>
      <c r="AJ39" t="str">
        <f t="shared" si="20"/>
        <v>DSUM('NHAN VIEN'!$E$5:$Q$2133,"2",'NHAN VIEN'!$X$17:$X$18)</v>
      </c>
      <c r="AK39" t="str">
        <f t="shared" si="21"/>
        <v>DSUM('NHAN VIEN'!$E$5:$Q$2133,"3",'NHAN VIEN'!$X$17:$X$18)</v>
      </c>
      <c r="AL39" t="str">
        <f t="shared" si="22"/>
        <v>DSUM('NHAN VIEN'!$E$5:$Q$2133,"4",'NHAN VIEN'!$X$17:$X$18)</v>
      </c>
      <c r="AM39" t="str">
        <f t="shared" si="23"/>
        <v>DSUM('NHAN VIEN'!$E$5:$Q$2133,"5",'NHAN VIEN'!$X$17:$X$18)</v>
      </c>
      <c r="AN39" t="str">
        <f t="shared" si="24"/>
        <v>DSUM('NHAN VIEN'!$E$5:$Q$2133,"6",'NHAN VIEN'!$X$17:$X$18)</v>
      </c>
      <c r="AO39" t="str">
        <f t="shared" si="25"/>
        <v>DSUM('NHAN VIEN'!$E$5:$Q$2133,"7",'NHAN VIEN'!$X$17:$X$18)</v>
      </c>
      <c r="AP39" t="str">
        <f t="shared" si="26"/>
        <v>DSUM('NHAN VIEN'!$E$5:$Q$2133,"8",'NHAN VIEN'!$X$17:$X$18)</v>
      </c>
      <c r="AQ39" t="str">
        <f t="shared" si="27"/>
        <v>DSUM('NHAN VIEN'!$E$5:$Q$2133,"9",'NHAN VIEN'!$X$17:$X$18)</v>
      </c>
      <c r="AR39" t="str">
        <f t="shared" si="28"/>
        <v>DSUM('NHAN VIEN'!$E$5:$Q$2133,"10",'NHAN VIEN'!$X$17:$X$18)</v>
      </c>
      <c r="AS39" t="str">
        <f t="shared" si="29"/>
        <v>DSUM('NHAN VIEN'!$E$5:$Q$2133,"11",'NHAN VIEN'!$X$17:$X$18)</v>
      </c>
      <c r="AT39" t="str">
        <f t="shared" si="30"/>
        <v>DSUM('NHAN VIEN'!$E$5:$Q$2133,"12",'NHAN VIEN'!$X$17:$X$18)</v>
      </c>
      <c r="AU39"/>
      <c r="AV39" t="str">
        <f t="shared" si="31"/>
        <v>'NHAN VIEN'!$X$17:$X$18</v>
      </c>
      <c r="AY39" s="103" t="str">
        <f t="shared" si="32"/>
        <v>=DSUM('NHAN VIEN'!$E$5:$Q$2133,"1",'NHAN VIEN'!$X$17:$X$18)</v>
      </c>
      <c r="AZ39" s="103" t="str">
        <f t="shared" si="34"/>
        <v>=DSUM('NHAN VIEN'!$E$5:$Q$2133,"2",'NHAN VIEN'!$X$17:$X$18)</v>
      </c>
      <c r="BA39" s="103" t="str">
        <f t="shared" si="35"/>
        <v>=DSUM('NHAN VIEN'!$E$5:$Q$2133,"3",'NHAN VIEN'!$X$17:$X$18)</v>
      </c>
      <c r="BB39" s="103" t="str">
        <f t="shared" si="36"/>
        <v>=DSUM('NHAN VIEN'!$E$5:$Q$2133,"4",'NHAN VIEN'!$X$17:$X$18)</v>
      </c>
      <c r="BC39" s="103" t="str">
        <f t="shared" si="37"/>
        <v>=DSUM('NHAN VIEN'!$E$5:$Q$2133,"5",'NHAN VIEN'!$X$17:$X$18)</v>
      </c>
      <c r="BD39" s="103" t="str">
        <f t="shared" si="38"/>
        <v>=DSUM('NHAN VIEN'!$E$5:$Q$2133,"6",'NHAN VIEN'!$X$17:$X$18)</v>
      </c>
      <c r="BE39" s="103" t="str">
        <f t="shared" si="39"/>
        <v>=DSUM('NHAN VIEN'!$E$5:$Q$2133,"7",'NHAN VIEN'!$X$17:$X$18)</v>
      </c>
      <c r="BF39" s="103" t="str">
        <f t="shared" si="40"/>
        <v>=DSUM('NHAN VIEN'!$E$5:$Q$2133,"8",'NHAN VIEN'!$X$17:$X$18)</v>
      </c>
      <c r="BG39" s="103" t="str">
        <f t="shared" si="41"/>
        <v>=DSUM('NHAN VIEN'!$E$5:$Q$2133,"9",'NHAN VIEN'!$X$17:$X$18)</v>
      </c>
      <c r="BH39" s="103" t="str">
        <f t="shared" si="42"/>
        <v>=DSUM('NHAN VIEN'!$E$5:$Q$2133,"10",'NHAN VIEN'!$X$17:$X$18)</v>
      </c>
      <c r="BI39" s="103" t="str">
        <f t="shared" si="43"/>
        <v>=DSUM('NHAN VIEN'!$E$5:$Q$2133,"11",'NHAN VIEN'!$X$17:$X$18)</v>
      </c>
      <c r="BJ39" s="103" t="str">
        <f t="shared" si="44"/>
        <v>=DSUM('NHAN VIEN'!$E$5:$Q$2133,"12",'NHAN VIEN'!$X$17:$X$18)</v>
      </c>
      <c r="BR39" s="124">
        <f>R39-'KHACH HANG'!S42</f>
        <v>21</v>
      </c>
    </row>
    <row r="40" ht="21" spans="1:71">
      <c r="A40" s="127"/>
      <c r="B40" s="128" t="str">
        <f>A3</f>
        <v>ĐL 1234</v>
      </c>
      <c r="C40" s="129"/>
      <c r="D40" s="130" t="s">
        <v>48</v>
      </c>
      <c r="E40" s="131">
        <f>SUM(E3:E39)</f>
        <v>90431</v>
      </c>
      <c r="F40" s="132">
        <f>SUM(F3:F39)</f>
        <v>2739</v>
      </c>
      <c r="G40" s="132">
        <f t="shared" ref="G40:R40" si="46">SUM(G3:G39)</f>
        <v>7512</v>
      </c>
      <c r="H40" s="132">
        <f t="shared" si="46"/>
        <v>16733</v>
      </c>
      <c r="I40" s="132">
        <f t="shared" si="46"/>
        <v>12250</v>
      </c>
      <c r="J40" s="132">
        <f t="shared" si="46"/>
        <v>15721</v>
      </c>
      <c r="K40" s="132">
        <f t="shared" si="46"/>
        <v>5405</v>
      </c>
      <c r="L40" s="132">
        <f t="shared" si="46"/>
        <v>5313</v>
      </c>
      <c r="M40" s="132">
        <f t="shared" si="46"/>
        <v>8573</v>
      </c>
      <c r="N40" s="132">
        <f t="shared" si="46"/>
        <v>5434</v>
      </c>
      <c r="O40" s="132">
        <f t="shared" si="46"/>
        <v>4464</v>
      </c>
      <c r="P40" s="132">
        <f t="shared" si="46"/>
        <v>5487</v>
      </c>
      <c r="Q40" s="132">
        <f t="shared" si="46"/>
        <v>800</v>
      </c>
      <c r="R40" s="133">
        <f t="shared" si="46"/>
        <v>90431</v>
      </c>
      <c r="S40" s="134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BS40" s="124"/>
    </row>
    <row r="43" spans="1:71">
      <c r="O43" s="124"/>
    </row>
    <row r="44" spans="1:71"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</row>
  </sheetData>
  <sheetProtection algorithmName="SHA-512" hashValue="jhcAbGcA7yTI3biN/yAEaPC79mp45lxT/fQrvDLnqg/IxPEJt7Jie280GOil4eQm7HhbfArAEzsBWa2j9ggDXQ==" saltValue="EQ0FUDX5UASN1SN5BRnx9A==" spinCount="100000" sheet="1" objects="1" scenarios="1"/>
  <sortState ref="C3:D39">
    <sortCondition ref="C3:C39"/>
    <sortCondition ref="D3:D39"/>
  </sortState>
  <mergeCells count="3">
    <mergeCell ref="A1:D1"/>
    <mergeCell ref="F1:S1"/>
    <mergeCell ref="A3:A40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"/>
  <sheetViews>
    <sheetView tabSelected="1" zoomScale="115" zoomScaleNormal="115" topLeftCell="A3" workbookViewId="0">
      <pane xSplit="5" ySplit="3" topLeftCell="F12" activePane="bottomRight" state="frozen"/>
      <selection/>
      <selection pane="topRight"/>
      <selection pane="bottomLeft"/>
      <selection pane="bottomRight" activeCell="D21" sqref="D21"/>
    </sheetView>
  </sheetViews>
  <sheetFormatPr defaultColWidth="13.6" defaultRowHeight="16.5" customHeight="1"/>
  <cols>
    <col min="1" max="1" width="10.1" style="71" hidden="1" customWidth="1"/>
    <col min="2" max="2" width="9" style="71" hidden="1" customWidth="1"/>
    <col min="3" max="3" width="9" style="71" customWidth="1"/>
    <col min="4" max="4" width="26.1" style="71" customWidth="1"/>
    <col min="5" max="5" width="13.6" style="72"/>
    <col min="6" max="6" width="9.5" style="73" customWidth="1"/>
    <col min="7" max="17" width="7.2" style="73" customWidth="1"/>
    <col min="18" max="18" width="12.5" style="73" customWidth="1"/>
    <col min="19" max="19" width="22" style="71" customWidth="1"/>
    <col min="20" max="20" width="16.1" style="71" hidden="1" customWidth="1"/>
    <col min="21" max="22" width="13.6" style="71" hidden="1" customWidth="1"/>
    <col min="23" max="33" width="18" style="71" hidden="1" customWidth="1"/>
    <col min="34" max="34" width="16.7" style="71" hidden="1" customWidth="1"/>
    <col min="35" max="35" width="13.6" style="71" hidden="1" customWidth="1"/>
    <col min="36" max="16384" width="13.6" style="71"/>
  </cols>
  <sheetData>
    <row r="1" ht="36" customHeight="1" spans="1:3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customHeight="1" spans="1:34">
      <c r="F2" s="75"/>
      <c r="G2" s="76" t="s">
        <v>1</v>
      </c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</row>
    <row r="3" ht="43.5" customHeight="1" spans="1:34">
      <c r="A3" s="78">
        <f>R4</f>
        <v>90410</v>
      </c>
      <c r="B3" s="78"/>
      <c r="C3" s="78"/>
      <c r="D3" s="78"/>
      <c r="E3" s="79"/>
      <c r="F3" s="80" t="s">
        <v>49</v>
      </c>
      <c r="G3" s="81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3">
        <f>R62-E62</f>
        <v>65546</v>
      </c>
    </row>
    <row r="4" ht="34.5" customHeight="1" spans="1:34">
      <c r="A4" s="84" t="s">
        <v>50</v>
      </c>
      <c r="B4" s="84"/>
      <c r="C4" s="84"/>
      <c r="D4" s="84"/>
      <c r="E4" s="85"/>
      <c r="F4" s="86">
        <f>F62</f>
        <v>2739</v>
      </c>
      <c r="G4" s="86">
        <f t="shared" ref="G4:R4" si="0">G62</f>
        <v>7512</v>
      </c>
      <c r="H4" s="86">
        <f t="shared" si="0"/>
        <v>16733</v>
      </c>
      <c r="I4" s="86">
        <f t="shared" si="0"/>
        <v>12250</v>
      </c>
      <c r="J4" s="86">
        <f t="shared" si="0"/>
        <v>15721</v>
      </c>
      <c r="K4" s="86">
        <f t="shared" si="0"/>
        <v>5384</v>
      </c>
      <c r="L4" s="86">
        <f t="shared" si="0"/>
        <v>5313</v>
      </c>
      <c r="M4" s="86">
        <f t="shared" si="0"/>
        <v>8573</v>
      </c>
      <c r="N4" s="86">
        <f t="shared" si="0"/>
        <v>5434</v>
      </c>
      <c r="O4" s="86">
        <f t="shared" si="0"/>
        <v>4464</v>
      </c>
      <c r="P4" s="86">
        <f t="shared" si="0"/>
        <v>5487</v>
      </c>
      <c r="Q4" s="86">
        <f t="shared" si="0"/>
        <v>800</v>
      </c>
      <c r="R4" s="86">
        <f t="shared" si="0"/>
        <v>90410</v>
      </c>
      <c r="S4" s="10"/>
      <c r="W4" s="71">
        <v>1</v>
      </c>
      <c r="X4" s="31">
        <f>W4+1</f>
        <v>2</v>
      </c>
      <c r="Y4" s="31">
        <f t="shared" ref="Y4:AG4" si="1">X4+1</f>
        <v>3</v>
      </c>
      <c r="Z4" s="31">
        <f t="shared" si="1"/>
        <v>4</v>
      </c>
      <c r="AA4" s="31">
        <f t="shared" si="1"/>
        <v>5</v>
      </c>
      <c r="AB4" s="31">
        <f t="shared" si="1"/>
        <v>6</v>
      </c>
      <c r="AC4" s="31">
        <f t="shared" si="1"/>
        <v>7</v>
      </c>
      <c r="AD4" s="31">
        <f t="shared" si="1"/>
        <v>8</v>
      </c>
      <c r="AE4" s="31">
        <f t="shared" si="1"/>
        <v>9</v>
      </c>
      <c r="AF4" s="31">
        <f t="shared" si="1"/>
        <v>10</v>
      </c>
      <c r="AG4" s="31">
        <f t="shared" si="1"/>
        <v>11</v>
      </c>
    </row>
    <row r="5" s="70" customFormat="1" ht="31.5" customHeight="1" spans="1:34">
      <c r="A5" s="87" t="s">
        <v>3</v>
      </c>
      <c r="B5" s="87" t="s">
        <v>4</v>
      </c>
      <c r="C5" s="20" t="s">
        <v>51</v>
      </c>
      <c r="D5" s="20" t="s">
        <v>52</v>
      </c>
      <c r="E5" s="88" t="s">
        <v>53</v>
      </c>
      <c r="F5" s="89">
        <v>1</v>
      </c>
      <c r="G5" s="89">
        <v>2</v>
      </c>
      <c r="H5" s="89">
        <v>3</v>
      </c>
      <c r="I5" s="89">
        <v>4</v>
      </c>
      <c r="J5" s="89">
        <v>5</v>
      </c>
      <c r="K5" s="89">
        <v>6</v>
      </c>
      <c r="L5" s="89">
        <v>7</v>
      </c>
      <c r="M5" s="89">
        <v>8</v>
      </c>
      <c r="N5" s="89">
        <v>9</v>
      </c>
      <c r="O5" s="89">
        <v>10</v>
      </c>
      <c r="P5" s="89">
        <v>11</v>
      </c>
      <c r="Q5" s="89">
        <v>12</v>
      </c>
      <c r="R5" s="89" t="s">
        <v>9</v>
      </c>
      <c r="S5" s="90" t="s">
        <v>10</v>
      </c>
      <c r="T5" s="70">
        <v>5</v>
      </c>
      <c r="U5" s="70">
        <v>5</v>
      </c>
      <c r="W5" s="70" t="s">
        <v>54</v>
      </c>
      <c r="X5" s="70" t="s">
        <v>55</v>
      </c>
      <c r="Y5" s="70" t="s">
        <v>56</v>
      </c>
      <c r="Z5" s="70" t="s">
        <v>57</v>
      </c>
      <c r="AA5" s="70" t="s">
        <v>58</v>
      </c>
      <c r="AB5" s="70" t="s">
        <v>59</v>
      </c>
      <c r="AC5" s="70" t="s">
        <v>60</v>
      </c>
      <c r="AD5" s="70" t="s">
        <v>61</v>
      </c>
      <c r="AE5" s="70" t="s">
        <v>62</v>
      </c>
      <c r="AF5" s="70" t="s">
        <v>63</v>
      </c>
      <c r="AG5" s="70" t="s">
        <v>64</v>
      </c>
      <c r="AH5" s="70" t="s">
        <v>65</v>
      </c>
    </row>
    <row r="6" customHeight="1" spans="1:34">
      <c r="A6" s="91"/>
      <c r="B6" s="92"/>
      <c r="C6" s="93">
        <v>1</v>
      </c>
      <c r="D6" s="2" t="str">
        <f>'KHACH HANG'!C43</f>
        <v>GIÁO CÔNG </v>
      </c>
      <c r="E6" s="3">
        <f>R6</f>
        <v>414</v>
      </c>
      <c r="F6" s="94">
        <f>'KHACH HANG'!G43</f>
        <v>127</v>
      </c>
      <c r="G6" s="94">
        <f>'KHACH HANG'!H43</f>
        <v>38</v>
      </c>
      <c r="H6" s="94">
        <f>'KHACH HANG'!I43</f>
        <v>13</v>
      </c>
      <c r="I6" s="94">
        <f>'KHACH HANG'!J43</f>
        <v>79</v>
      </c>
      <c r="J6" s="94">
        <f>'KHACH HANG'!K43</f>
        <v>25</v>
      </c>
      <c r="K6" s="94">
        <f>'KHACH HANG'!L43</f>
        <v>82</v>
      </c>
      <c r="L6" s="94">
        <f>'KHACH HANG'!M43</f>
        <v>0</v>
      </c>
      <c r="M6" s="94">
        <f>'KHACH HANG'!N43</f>
        <v>0</v>
      </c>
      <c r="N6" s="94">
        <f>'KHACH HANG'!O43</f>
        <v>0</v>
      </c>
      <c r="O6" s="94">
        <f>'KHACH HANG'!P43</f>
        <v>0</v>
      </c>
      <c r="P6" s="94">
        <f>'KHACH HANG'!Q43</f>
        <v>50</v>
      </c>
      <c r="Q6" s="94">
        <f>'KHACH HANG'!R43</f>
        <v>0</v>
      </c>
      <c r="R6" s="6">
        <f t="shared" ref="R6:R49" si="2">SUM(F6:Q6)</f>
        <v>414</v>
      </c>
      <c r="S6" s="95"/>
      <c r="T6" s="31" t="str">
        <f>"'NHAN VIEN'!C"&amp;U5+38</f>
        <v>'NHAN VIEN'!C43</v>
      </c>
      <c r="U6" s="31">
        <f>U5+38</f>
        <v>43</v>
      </c>
      <c r="V6" s="31" t="str">
        <f>"="&amp;T6</f>
        <v>='NHAN VIEN'!C43</v>
      </c>
      <c r="W6" s="31" t="str">
        <f>"="&amp;("'NHAN VIEN'!"&amp;$W$5&amp;U5+38)</f>
        <v>='NHAN VIEN'!f43</v>
      </c>
      <c r="X6" s="31" t="str">
        <f>"="&amp;("'NHAN VIEN'!"&amp;$X$5&amp;U5+38)</f>
        <v>='NHAN VIEN'!g43</v>
      </c>
      <c r="Y6" s="31" t="str">
        <f>"="&amp;("'NHAN VIEN'!"&amp;$Y$5&amp;U5+38)</f>
        <v>='NHAN VIEN'!h43</v>
      </c>
      <c r="Z6" s="31" t="str">
        <f>"="&amp;("'NHAN VIEN'!"&amp;$Z$5&amp;U5+38)</f>
        <v>='NHAN VIEN'!i43</v>
      </c>
      <c r="AA6" s="31" t="str">
        <f>"="&amp;("'NHAN VIEN'!"&amp;$AA$5&amp;U5+38)</f>
        <v>='NHAN VIEN'!j43</v>
      </c>
      <c r="AB6" s="31" t="str">
        <f>"="&amp;("'NHAN VIEN'!"&amp;$AB$5&amp;U5+38)</f>
        <v>='NHAN VIEN'!k43</v>
      </c>
      <c r="AC6" s="31" t="str">
        <f>"="&amp;("'NHAN VIEN'!"&amp;$AC$5&amp;U5+38)</f>
        <v>='NHAN VIEN'!l43</v>
      </c>
      <c r="AD6" s="31" t="str">
        <f>"="&amp;("'NHAN VIEN'!"&amp;$AD$5&amp;U5+38)</f>
        <v>='NHAN VIEN'!m43</v>
      </c>
      <c r="AE6" s="31" t="str">
        <f>"="&amp;("'NHAN VIEN'!"&amp;$AE$5&amp;U5+38)</f>
        <v>='NHAN VIEN'!n43</v>
      </c>
      <c r="AF6" s="31" t="str">
        <f>"="&amp;("'NHAN VIEN'!"&amp;$AF$5&amp;U5+38)</f>
        <v>='NHAN VIEN'!o43</v>
      </c>
      <c r="AG6" s="31" t="str">
        <f>"="&amp;("'NHAN VIEN'!"&amp;$AG$5&amp;U5+38)</f>
        <v>='NHAN VIEN'!p43</v>
      </c>
      <c r="AH6" s="31" t="str">
        <f>"="&amp;("'NHAN VIEN'!"&amp;$AH$5&amp;U5+38)</f>
        <v>='NHAN VIEN'!q43</v>
      </c>
    </row>
    <row r="7" customHeight="1" spans="1:34">
      <c r="A7" s="91"/>
      <c r="B7" s="92"/>
      <c r="C7" s="93">
        <f>C6+1</f>
        <v>2</v>
      </c>
      <c r="D7" s="2" t="str">
        <f>'KHACH HANG'!C81</f>
        <v>TRUNG DŨNG </v>
      </c>
      <c r="E7" s="3">
        <f t="shared" ref="E7:E61" si="3">R7</f>
        <v>190</v>
      </c>
      <c r="F7" s="94">
        <f>'KHACH HANG'!G81</f>
        <v>0</v>
      </c>
      <c r="G7" s="94">
        <f>'KHACH HANG'!H81</f>
        <v>30</v>
      </c>
      <c r="H7" s="94">
        <f>'KHACH HANG'!I81</f>
        <v>0</v>
      </c>
      <c r="I7" s="94">
        <f>'KHACH HANG'!J81</f>
        <v>46</v>
      </c>
      <c r="J7" s="94">
        <f>'KHACH HANG'!K81</f>
        <v>0</v>
      </c>
      <c r="K7" s="94">
        <f>'KHACH HANG'!L81</f>
        <v>0</v>
      </c>
      <c r="L7" s="94">
        <f>'KHACH HANG'!M81</f>
        <v>38</v>
      </c>
      <c r="M7" s="94">
        <f>'KHACH HANG'!N81</f>
        <v>0</v>
      </c>
      <c r="N7" s="94">
        <f>'KHACH HANG'!O81</f>
        <v>0</v>
      </c>
      <c r="O7" s="94">
        <f>'KHACH HANG'!P81</f>
        <v>0</v>
      </c>
      <c r="P7" s="94">
        <f>'KHACH HANG'!Q81</f>
        <v>38</v>
      </c>
      <c r="Q7" s="94">
        <f>'KHACH HANG'!R81</f>
        <v>38</v>
      </c>
      <c r="R7" s="6">
        <f t="shared" si="2"/>
        <v>190</v>
      </c>
      <c r="S7" s="95"/>
      <c r="T7" s="31" t="str">
        <f t="shared" ref="T7:T61" si="4">"'NHAN VIEN'!C"&amp;U6+38</f>
        <v>'NHAN VIEN'!C81</v>
      </c>
      <c r="U7" s="31">
        <f>U6+38</f>
        <v>81</v>
      </c>
      <c r="V7" s="31" t="str">
        <f t="shared" ref="V7:V59" si="5">"="&amp;T7</f>
        <v>='NHAN VIEN'!C81</v>
      </c>
      <c r="W7" s="31" t="str">
        <f t="shared" ref="W7:W59" si="6">"="&amp;("'NHAN VIEN'!"&amp;$W$5&amp;U6+38)</f>
        <v>='NHAN VIEN'!f81</v>
      </c>
      <c r="X7" s="31" t="str">
        <f t="shared" ref="X7:X59" si="7">"="&amp;("'NHAN VIEN'!"&amp;$X$5&amp;U6+38)</f>
        <v>='NHAN VIEN'!g81</v>
      </c>
      <c r="Y7" s="31" t="str">
        <f t="shared" ref="Y7:Y59" si="8">"="&amp;("'NHAN VIEN'!"&amp;$Y$5&amp;U6+38)</f>
        <v>='NHAN VIEN'!h81</v>
      </c>
      <c r="Z7" s="31" t="str">
        <f t="shared" ref="Z7:Z59" si="9">"="&amp;("'NHAN VIEN'!"&amp;$Z$5&amp;U6+38)</f>
        <v>='NHAN VIEN'!i81</v>
      </c>
      <c r="AA7" s="31" t="str">
        <f t="shared" ref="AA7:AA59" si="10">"="&amp;("'NHAN VIEN'!"&amp;$AA$5&amp;U6+38)</f>
        <v>='NHAN VIEN'!j81</v>
      </c>
      <c r="AB7" s="31" t="str">
        <f t="shared" ref="AB7:AB59" si="11">"="&amp;("'NHAN VIEN'!"&amp;$AB$5&amp;U6+38)</f>
        <v>='NHAN VIEN'!k81</v>
      </c>
      <c r="AC7" s="31" t="str">
        <f t="shared" ref="AC7:AC59" si="12">"="&amp;("'NHAN VIEN'!"&amp;$AC$5&amp;U6+38)</f>
        <v>='NHAN VIEN'!l81</v>
      </c>
      <c r="AD7" s="31" t="str">
        <f t="shared" ref="AD7:AD59" si="13">"="&amp;("'NHAN VIEN'!"&amp;$AD$5&amp;U6+38)</f>
        <v>='NHAN VIEN'!m81</v>
      </c>
      <c r="AE7" s="31" t="str">
        <f t="shared" ref="AE7:AE59" si="14">"="&amp;("'NHAN VIEN'!"&amp;$AE$5&amp;U6+38)</f>
        <v>='NHAN VIEN'!n81</v>
      </c>
      <c r="AF7" s="31" t="str">
        <f t="shared" ref="AF7:AF59" si="15">"="&amp;("'NHAN VIEN'!"&amp;$AF$5&amp;U6+38)</f>
        <v>='NHAN VIEN'!o81</v>
      </c>
      <c r="AG7" s="31" t="str">
        <f t="shared" ref="AG7:AG59" si="16">"="&amp;("'NHAN VIEN'!"&amp;$AG$5&amp;U6+38)</f>
        <v>='NHAN VIEN'!p81</v>
      </c>
      <c r="AH7" s="31" t="str">
        <f t="shared" ref="AH7:AH61" si="17">"="&amp;("'NHAN VIEN'!"&amp;$AH$5&amp;U6+38)</f>
        <v>='NHAN VIEN'!q81</v>
      </c>
    </row>
    <row r="8" customHeight="1" spans="1:34">
      <c r="A8" s="91"/>
      <c r="B8" s="92"/>
      <c r="C8" s="93">
        <f t="shared" ref="C8:C61" si="18">C7+1</f>
        <v>3</v>
      </c>
      <c r="D8" s="2" t="str">
        <f>'KHACH HANG'!C119</f>
        <v>TRẦN VĂN KIỀN </v>
      </c>
      <c r="E8" s="3">
        <f t="shared" si="3"/>
        <v>97</v>
      </c>
      <c r="F8" s="94">
        <f>'KHACH HANG'!G119</f>
        <v>0</v>
      </c>
      <c r="G8" s="94">
        <f>'KHACH HANG'!H119</f>
        <v>28</v>
      </c>
      <c r="H8" s="94">
        <f>'KHACH HANG'!I119</f>
        <v>0</v>
      </c>
      <c r="I8" s="94">
        <f>'KHACH HANG'!J119</f>
        <v>9</v>
      </c>
      <c r="J8" s="94">
        <f>'KHACH HANG'!K119</f>
        <v>22</v>
      </c>
      <c r="K8" s="94">
        <f>'KHACH HANG'!L119</f>
        <v>11</v>
      </c>
      <c r="L8" s="94">
        <f>'KHACH HANG'!M119</f>
        <v>0</v>
      </c>
      <c r="M8" s="94">
        <f>'KHACH HANG'!N119</f>
        <v>0</v>
      </c>
      <c r="N8" s="94">
        <f>'KHACH HANG'!O119</f>
        <v>0</v>
      </c>
      <c r="O8" s="94">
        <f>'KHACH HANG'!P119</f>
        <v>0</v>
      </c>
      <c r="P8" s="94">
        <f>'KHACH HANG'!Q119</f>
        <v>27</v>
      </c>
      <c r="Q8" s="94">
        <f>'KHACH HANG'!R119</f>
        <v>0</v>
      </c>
      <c r="R8" s="6">
        <f t="shared" si="2"/>
        <v>97</v>
      </c>
      <c r="S8" s="95"/>
      <c r="T8" s="31" t="str">
        <f t="shared" si="4"/>
        <v>'NHAN VIEN'!C119</v>
      </c>
      <c r="U8" s="31">
        <f t="shared" ref="U8:U61" si="19">U7+38</f>
        <v>119</v>
      </c>
      <c r="V8" s="31" t="str">
        <f t="shared" si="5"/>
        <v>='NHAN VIEN'!C119</v>
      </c>
      <c r="W8" s="31" t="str">
        <f t="shared" si="6"/>
        <v>='NHAN VIEN'!f119</v>
      </c>
      <c r="X8" s="31" t="str">
        <f t="shared" si="7"/>
        <v>='NHAN VIEN'!g119</v>
      </c>
      <c r="Y8" s="31" t="str">
        <f t="shared" si="8"/>
        <v>='NHAN VIEN'!h119</v>
      </c>
      <c r="Z8" s="31" t="str">
        <f t="shared" si="9"/>
        <v>='NHAN VIEN'!i119</v>
      </c>
      <c r="AA8" s="31" t="str">
        <f t="shared" si="10"/>
        <v>='NHAN VIEN'!j119</v>
      </c>
      <c r="AB8" s="31" t="str">
        <f t="shared" si="11"/>
        <v>='NHAN VIEN'!k119</v>
      </c>
      <c r="AC8" s="31" t="str">
        <f t="shared" si="12"/>
        <v>='NHAN VIEN'!l119</v>
      </c>
      <c r="AD8" s="31" t="str">
        <f t="shared" si="13"/>
        <v>='NHAN VIEN'!m119</v>
      </c>
      <c r="AE8" s="31" t="str">
        <f t="shared" si="14"/>
        <v>='NHAN VIEN'!n119</v>
      </c>
      <c r="AF8" s="31" t="str">
        <f t="shared" si="15"/>
        <v>='NHAN VIEN'!o119</v>
      </c>
      <c r="AG8" s="31" t="str">
        <f t="shared" si="16"/>
        <v>='NHAN VIEN'!p119</v>
      </c>
      <c r="AH8" s="31" t="str">
        <f t="shared" si="17"/>
        <v>='NHAN VIEN'!q119</v>
      </c>
    </row>
    <row r="9" customHeight="1" spans="1:34">
      <c r="A9" s="91"/>
      <c r="B9" s="92"/>
      <c r="C9" s="93">
        <f t="shared" si="18"/>
        <v>4</v>
      </c>
      <c r="D9" s="2" t="str">
        <f>'KHACH HANG'!C157</f>
        <v>MỸ DUNG </v>
      </c>
      <c r="E9" s="3">
        <f t="shared" si="3"/>
        <v>19</v>
      </c>
      <c r="F9" s="94">
        <f>'KHACH HANG'!G157</f>
        <v>0</v>
      </c>
      <c r="G9" s="94">
        <f>'KHACH HANG'!H157</f>
        <v>7</v>
      </c>
      <c r="H9" s="94">
        <f>'KHACH HANG'!I157</f>
        <v>0</v>
      </c>
      <c r="I9" s="94">
        <f>'KHACH HANG'!J157</f>
        <v>5</v>
      </c>
      <c r="J9" s="94">
        <f>'KHACH HANG'!K157</f>
        <v>4</v>
      </c>
      <c r="K9" s="94">
        <f>'KHACH HANG'!L157</f>
        <v>0</v>
      </c>
      <c r="L9" s="94">
        <f>'KHACH HANG'!M157</f>
        <v>3</v>
      </c>
      <c r="M9" s="94">
        <f>'KHACH HANG'!N157</f>
        <v>0</v>
      </c>
      <c r="N9" s="94">
        <f>'KHACH HANG'!O157</f>
        <v>0</v>
      </c>
      <c r="O9" s="94">
        <f>'KHACH HANG'!P157</f>
        <v>0</v>
      </c>
      <c r="P9" s="94">
        <f>'KHACH HANG'!Q157</f>
        <v>0</v>
      </c>
      <c r="Q9" s="94">
        <f>'KHACH HANG'!R157</f>
        <v>0</v>
      </c>
      <c r="R9" s="6">
        <f t="shared" si="2"/>
        <v>19</v>
      </c>
      <c r="S9" s="95"/>
      <c r="T9" s="31" t="str">
        <f t="shared" si="4"/>
        <v>'NHAN VIEN'!C157</v>
      </c>
      <c r="U9" s="31">
        <f t="shared" si="19"/>
        <v>157</v>
      </c>
      <c r="V9" s="31" t="str">
        <f t="shared" si="5"/>
        <v>='NHAN VIEN'!C157</v>
      </c>
      <c r="W9" s="31" t="str">
        <f t="shared" si="6"/>
        <v>='NHAN VIEN'!f157</v>
      </c>
      <c r="X9" s="31" t="str">
        <f t="shared" si="7"/>
        <v>='NHAN VIEN'!g157</v>
      </c>
      <c r="Y9" s="31" t="str">
        <f t="shared" si="8"/>
        <v>='NHAN VIEN'!h157</v>
      </c>
      <c r="Z9" s="31" t="str">
        <f t="shared" si="9"/>
        <v>='NHAN VIEN'!i157</v>
      </c>
      <c r="AA9" s="31" t="str">
        <f t="shared" si="10"/>
        <v>='NHAN VIEN'!j157</v>
      </c>
      <c r="AB9" s="31" t="str">
        <f t="shared" si="11"/>
        <v>='NHAN VIEN'!k157</v>
      </c>
      <c r="AC9" s="31" t="str">
        <f t="shared" si="12"/>
        <v>='NHAN VIEN'!l157</v>
      </c>
      <c r="AD9" s="31" t="str">
        <f t="shared" si="13"/>
        <v>='NHAN VIEN'!m157</v>
      </c>
      <c r="AE9" s="31" t="str">
        <f t="shared" si="14"/>
        <v>='NHAN VIEN'!n157</v>
      </c>
      <c r="AF9" s="31" t="str">
        <f t="shared" si="15"/>
        <v>='NHAN VIEN'!o157</v>
      </c>
      <c r="AG9" s="31" t="str">
        <f t="shared" si="16"/>
        <v>='NHAN VIEN'!p157</v>
      </c>
      <c r="AH9" s="31" t="str">
        <f t="shared" si="17"/>
        <v>='NHAN VIEN'!q157</v>
      </c>
    </row>
    <row r="10" customHeight="1" spans="1:34">
      <c r="A10" s="91"/>
      <c r="B10" s="92"/>
      <c r="C10" s="93">
        <f t="shared" si="18"/>
        <v>5</v>
      </c>
      <c r="D10" s="2" t="str">
        <f>'KHACH HANG'!C195</f>
        <v>HÙNG BẾ </v>
      </c>
      <c r="E10" s="3">
        <f t="shared" si="3"/>
        <v>45978</v>
      </c>
      <c r="F10" s="94">
        <f>'KHACH HANG'!G195</f>
        <v>2168</v>
      </c>
      <c r="G10" s="94">
        <f>'KHACH HANG'!H195</f>
        <v>3538</v>
      </c>
      <c r="H10" s="94">
        <f>'KHACH HANG'!I195</f>
        <v>7673</v>
      </c>
      <c r="I10" s="94">
        <f>'KHACH HANG'!J195</f>
        <v>5705</v>
      </c>
      <c r="J10" s="94">
        <f>'KHACH HANG'!K195</f>
        <v>7436</v>
      </c>
      <c r="K10" s="94">
        <f>'KHACH HANG'!L195</f>
        <v>2302</v>
      </c>
      <c r="L10" s="94">
        <f>'KHACH HANG'!M195</f>
        <v>3225</v>
      </c>
      <c r="M10" s="94">
        <f>'KHACH HANG'!N195</f>
        <v>5386</v>
      </c>
      <c r="N10" s="94">
        <f>'KHACH HANG'!O195</f>
        <v>3419</v>
      </c>
      <c r="O10" s="94">
        <f>'KHACH HANG'!P195</f>
        <v>2265</v>
      </c>
      <c r="P10" s="94">
        <f>'KHACH HANG'!Q195</f>
        <v>2337</v>
      </c>
      <c r="Q10" s="94">
        <f>'KHACH HANG'!R195</f>
        <v>524</v>
      </c>
      <c r="R10" s="6">
        <f t="shared" si="2"/>
        <v>45978</v>
      </c>
      <c r="S10" s="95"/>
      <c r="T10" s="31" t="str">
        <f t="shared" si="4"/>
        <v>'NHAN VIEN'!C195</v>
      </c>
      <c r="U10" s="31">
        <f t="shared" si="19"/>
        <v>195</v>
      </c>
      <c r="V10" s="31" t="str">
        <f t="shared" si="5"/>
        <v>='NHAN VIEN'!C195</v>
      </c>
      <c r="W10" s="31" t="str">
        <f t="shared" si="6"/>
        <v>='NHAN VIEN'!f195</v>
      </c>
      <c r="X10" s="31" t="str">
        <f t="shared" si="7"/>
        <v>='NHAN VIEN'!g195</v>
      </c>
      <c r="Y10" s="31" t="str">
        <f t="shared" si="8"/>
        <v>='NHAN VIEN'!h195</v>
      </c>
      <c r="Z10" s="31" t="str">
        <f t="shared" si="9"/>
        <v>='NHAN VIEN'!i195</v>
      </c>
      <c r="AA10" s="31" t="str">
        <f t="shared" si="10"/>
        <v>='NHAN VIEN'!j195</v>
      </c>
      <c r="AB10" s="31" t="str">
        <f t="shared" si="11"/>
        <v>='NHAN VIEN'!k195</v>
      </c>
      <c r="AC10" s="31" t="str">
        <f t="shared" si="12"/>
        <v>='NHAN VIEN'!l195</v>
      </c>
      <c r="AD10" s="31" t="str">
        <f t="shared" si="13"/>
        <v>='NHAN VIEN'!m195</v>
      </c>
      <c r="AE10" s="31" t="str">
        <f t="shared" si="14"/>
        <v>='NHAN VIEN'!n195</v>
      </c>
      <c r="AF10" s="31" t="str">
        <f t="shared" si="15"/>
        <v>='NHAN VIEN'!o195</v>
      </c>
      <c r="AG10" s="31" t="str">
        <f t="shared" si="16"/>
        <v>='NHAN VIEN'!p195</v>
      </c>
      <c r="AH10" s="31" t="str">
        <f t="shared" si="17"/>
        <v>='NHAN VIEN'!q195</v>
      </c>
    </row>
    <row r="11" customHeight="1" spans="1:34">
      <c r="A11" s="91"/>
      <c r="B11" s="92"/>
      <c r="C11" s="93">
        <f t="shared" si="18"/>
        <v>6</v>
      </c>
      <c r="D11" s="2" t="str">
        <f>'KHACH HANG'!C233</f>
        <v>TƯ NHIỀU </v>
      </c>
      <c r="E11" s="3">
        <f t="shared" si="3"/>
        <v>481</v>
      </c>
      <c r="F11" s="94">
        <f>'KHACH HANG'!G233</f>
        <v>80</v>
      </c>
      <c r="G11" s="94">
        <f>'KHACH HANG'!H233</f>
        <v>75</v>
      </c>
      <c r="H11" s="94">
        <f>'KHACH HANG'!I233</f>
        <v>17</v>
      </c>
      <c r="I11" s="94">
        <f>'KHACH HANG'!J233</f>
        <v>98</v>
      </c>
      <c r="J11" s="94">
        <f>'KHACH HANG'!K233</f>
        <v>46</v>
      </c>
      <c r="K11" s="94">
        <f>'KHACH HANG'!L233</f>
        <v>25</v>
      </c>
      <c r="L11" s="94">
        <f>'KHACH HANG'!M233</f>
        <v>25</v>
      </c>
      <c r="M11" s="94">
        <f>'KHACH HANG'!N233</f>
        <v>25</v>
      </c>
      <c r="N11" s="94">
        <f>'KHACH HANG'!O233</f>
        <v>25</v>
      </c>
      <c r="O11" s="94">
        <f>'KHACH HANG'!P233</f>
        <v>40</v>
      </c>
      <c r="P11" s="94">
        <f>'KHACH HANG'!Q233</f>
        <v>25</v>
      </c>
      <c r="Q11" s="94">
        <f>'KHACH HANG'!R233</f>
        <v>0</v>
      </c>
      <c r="R11" s="6">
        <f t="shared" si="2"/>
        <v>481</v>
      </c>
      <c r="S11" s="95"/>
      <c r="T11" s="31" t="str">
        <f t="shared" si="4"/>
        <v>'NHAN VIEN'!C233</v>
      </c>
      <c r="U11" s="31">
        <f t="shared" si="19"/>
        <v>233</v>
      </c>
      <c r="V11" s="31" t="str">
        <f t="shared" si="5"/>
        <v>='NHAN VIEN'!C233</v>
      </c>
      <c r="W11" s="31" t="str">
        <f t="shared" si="6"/>
        <v>='NHAN VIEN'!f233</v>
      </c>
      <c r="X11" s="31" t="str">
        <f t="shared" si="7"/>
        <v>='NHAN VIEN'!g233</v>
      </c>
      <c r="Y11" s="31" t="str">
        <f t="shared" si="8"/>
        <v>='NHAN VIEN'!h233</v>
      </c>
      <c r="Z11" s="31" t="str">
        <f t="shared" si="9"/>
        <v>='NHAN VIEN'!i233</v>
      </c>
      <c r="AA11" s="31" t="str">
        <f t="shared" si="10"/>
        <v>='NHAN VIEN'!j233</v>
      </c>
      <c r="AB11" s="31" t="str">
        <f t="shared" si="11"/>
        <v>='NHAN VIEN'!k233</v>
      </c>
      <c r="AC11" s="31" t="str">
        <f t="shared" si="12"/>
        <v>='NHAN VIEN'!l233</v>
      </c>
      <c r="AD11" s="31" t="str">
        <f t="shared" si="13"/>
        <v>='NHAN VIEN'!m233</v>
      </c>
      <c r="AE11" s="31" t="str">
        <f t="shared" si="14"/>
        <v>='NHAN VIEN'!n233</v>
      </c>
      <c r="AF11" s="31" t="str">
        <f t="shared" si="15"/>
        <v>='NHAN VIEN'!o233</v>
      </c>
      <c r="AG11" s="31" t="str">
        <f t="shared" si="16"/>
        <v>='NHAN VIEN'!p233</v>
      </c>
      <c r="AH11" s="31" t="str">
        <f t="shared" si="17"/>
        <v>='NHAN VIEN'!q233</v>
      </c>
    </row>
    <row r="12" customHeight="1" spans="1:34">
      <c r="A12" s="91"/>
      <c r="B12" s="92"/>
      <c r="C12" s="93">
        <f t="shared" si="18"/>
        <v>7</v>
      </c>
      <c r="D12" s="2" t="str">
        <f>'KHACH HANG'!C271</f>
        <v>VHD</v>
      </c>
      <c r="E12" s="3">
        <f t="shared" si="3"/>
        <v>42476</v>
      </c>
      <c r="F12" s="94">
        <f>'KHACH HANG'!G271</f>
        <v>289</v>
      </c>
      <c r="G12" s="94">
        <f>'KHACH HANG'!H271</f>
        <v>3782</v>
      </c>
      <c r="H12" s="94">
        <f>'KHACH HANG'!I271</f>
        <v>9000</v>
      </c>
      <c r="I12" s="94">
        <f>'KHACH HANG'!J271</f>
        <v>6165</v>
      </c>
      <c r="J12" s="94">
        <f>'KHACH HANG'!K271</f>
        <v>8144</v>
      </c>
      <c r="K12" s="94">
        <f>'KHACH HANG'!L271</f>
        <v>2929</v>
      </c>
      <c r="L12" s="94">
        <f>'KHACH HANG'!M271</f>
        <v>1963</v>
      </c>
      <c r="M12" s="94">
        <f>'KHACH HANG'!N271</f>
        <v>3070</v>
      </c>
      <c r="N12" s="94">
        <f>'KHACH HANG'!O271</f>
        <v>1990</v>
      </c>
      <c r="O12" s="94">
        <f>'KHACH HANG'!P271</f>
        <v>2135</v>
      </c>
      <c r="P12" s="94">
        <f>'KHACH HANG'!Q271</f>
        <v>2961</v>
      </c>
      <c r="Q12" s="94">
        <f>'KHACH HANG'!R271</f>
        <v>48</v>
      </c>
      <c r="R12" s="6">
        <f t="shared" si="2"/>
        <v>42476</v>
      </c>
      <c r="S12" s="95"/>
      <c r="T12" s="31" t="str">
        <f t="shared" si="4"/>
        <v>'NHAN VIEN'!C271</v>
      </c>
      <c r="U12" s="31">
        <f t="shared" si="19"/>
        <v>271</v>
      </c>
      <c r="V12" s="31" t="str">
        <f t="shared" si="5"/>
        <v>='NHAN VIEN'!C271</v>
      </c>
      <c r="W12" s="31" t="str">
        <f t="shared" si="6"/>
        <v>='NHAN VIEN'!f271</v>
      </c>
      <c r="X12" s="31" t="str">
        <f t="shared" si="7"/>
        <v>='NHAN VIEN'!g271</v>
      </c>
      <c r="Y12" s="31" t="str">
        <f t="shared" si="8"/>
        <v>='NHAN VIEN'!h271</v>
      </c>
      <c r="Z12" s="31" t="str">
        <f t="shared" si="9"/>
        <v>='NHAN VIEN'!i271</v>
      </c>
      <c r="AA12" s="31" t="str">
        <f t="shared" si="10"/>
        <v>='NHAN VIEN'!j271</v>
      </c>
      <c r="AB12" s="31" t="str">
        <f t="shared" si="11"/>
        <v>='NHAN VIEN'!k271</v>
      </c>
      <c r="AC12" s="31" t="str">
        <f t="shared" si="12"/>
        <v>='NHAN VIEN'!l271</v>
      </c>
      <c r="AD12" s="31" t="str">
        <f t="shared" si="13"/>
        <v>='NHAN VIEN'!m271</v>
      </c>
      <c r="AE12" s="31" t="str">
        <f t="shared" si="14"/>
        <v>='NHAN VIEN'!n271</v>
      </c>
      <c r="AF12" s="31" t="str">
        <f t="shared" si="15"/>
        <v>='NHAN VIEN'!o271</v>
      </c>
      <c r="AG12" s="31" t="str">
        <f t="shared" si="16"/>
        <v>='NHAN VIEN'!p271</v>
      </c>
      <c r="AH12" s="31" t="str">
        <f t="shared" si="17"/>
        <v>='NHAN VIEN'!q271</v>
      </c>
    </row>
    <row r="13" customHeight="1" spans="1:34">
      <c r="A13" s="91"/>
      <c r="B13" s="92"/>
      <c r="C13" s="93">
        <f t="shared" si="18"/>
        <v>8</v>
      </c>
      <c r="D13" s="2" t="str">
        <f>'KHACH HANG'!C309</f>
        <v>MINH TRIỀU </v>
      </c>
      <c r="E13" s="3">
        <f t="shared" si="3"/>
        <v>32</v>
      </c>
      <c r="F13" s="94">
        <f>'KHACH HANG'!G309</f>
        <v>0</v>
      </c>
      <c r="G13" s="94">
        <f>'KHACH HANG'!H309</f>
        <v>14</v>
      </c>
      <c r="H13" s="94">
        <f>'KHACH HANG'!I309</f>
        <v>0</v>
      </c>
      <c r="I13" s="94">
        <f>'KHACH HANG'!J309</f>
        <v>0</v>
      </c>
      <c r="J13" s="94">
        <f>'KHACH HANG'!K309</f>
        <v>0</v>
      </c>
      <c r="K13" s="94">
        <f>'KHACH HANG'!L309</f>
        <v>18</v>
      </c>
      <c r="L13" s="94">
        <f>'KHACH HANG'!M309</f>
        <v>0</v>
      </c>
      <c r="M13" s="94">
        <f>'KHACH HANG'!N309</f>
        <v>0</v>
      </c>
      <c r="N13" s="94">
        <f>'KHACH HANG'!O309</f>
        <v>0</v>
      </c>
      <c r="O13" s="94">
        <f>'KHACH HANG'!P309</f>
        <v>0</v>
      </c>
      <c r="P13" s="94">
        <f>'KHACH HANG'!Q309</f>
        <v>0</v>
      </c>
      <c r="Q13" s="94">
        <f>'KHACH HANG'!R309</f>
        <v>0</v>
      </c>
      <c r="R13" s="6">
        <f t="shared" si="2"/>
        <v>32</v>
      </c>
      <c r="S13" s="95"/>
      <c r="T13" s="31" t="str">
        <f t="shared" si="4"/>
        <v>'NHAN VIEN'!C309</v>
      </c>
      <c r="U13" s="31">
        <f t="shared" si="19"/>
        <v>309</v>
      </c>
      <c r="V13" s="31" t="str">
        <f t="shared" si="5"/>
        <v>='NHAN VIEN'!C309</v>
      </c>
      <c r="W13" s="31" t="str">
        <f t="shared" si="6"/>
        <v>='NHAN VIEN'!f309</v>
      </c>
      <c r="X13" s="31" t="str">
        <f t="shared" si="7"/>
        <v>='NHAN VIEN'!g309</v>
      </c>
      <c r="Y13" s="31" t="str">
        <f t="shared" si="8"/>
        <v>='NHAN VIEN'!h309</v>
      </c>
      <c r="Z13" s="31" t="str">
        <f t="shared" si="9"/>
        <v>='NHAN VIEN'!i309</v>
      </c>
      <c r="AA13" s="31" t="str">
        <f t="shared" si="10"/>
        <v>='NHAN VIEN'!j309</v>
      </c>
      <c r="AB13" s="31" t="str">
        <f t="shared" si="11"/>
        <v>='NHAN VIEN'!k309</v>
      </c>
      <c r="AC13" s="31" t="str">
        <f t="shared" si="12"/>
        <v>='NHAN VIEN'!l309</v>
      </c>
      <c r="AD13" s="31" t="str">
        <f t="shared" si="13"/>
        <v>='NHAN VIEN'!m309</v>
      </c>
      <c r="AE13" s="31" t="str">
        <f t="shared" si="14"/>
        <v>='NHAN VIEN'!n309</v>
      </c>
      <c r="AF13" s="31" t="str">
        <f t="shared" si="15"/>
        <v>='NHAN VIEN'!o309</v>
      </c>
      <c r="AG13" s="31" t="str">
        <f t="shared" si="16"/>
        <v>='NHAN VIEN'!p309</v>
      </c>
      <c r="AH13" s="31" t="str">
        <f t="shared" si="17"/>
        <v>='NHAN VIEN'!q309</v>
      </c>
    </row>
    <row r="14" customHeight="1" spans="1:34">
      <c r="A14" s="91"/>
      <c r="B14" s="92"/>
      <c r="C14" s="93">
        <f t="shared" si="18"/>
        <v>9</v>
      </c>
      <c r="D14" s="2" t="str">
        <f>'KHACH HANG'!C347</f>
        <v>THÀNH ĐẠT </v>
      </c>
      <c r="E14" s="3">
        <f t="shared" si="3"/>
        <v>20</v>
      </c>
      <c r="F14" s="94">
        <f>'KHACH HANG'!G347</f>
        <v>10</v>
      </c>
      <c r="G14" s="94">
        <f>'KHACH HANG'!H347</f>
        <v>0</v>
      </c>
      <c r="H14" s="94">
        <f>'KHACH HANG'!I347</f>
        <v>0</v>
      </c>
      <c r="I14" s="94">
        <f>'KHACH HANG'!J347</f>
        <v>0</v>
      </c>
      <c r="J14" s="94">
        <f>'KHACH HANG'!K347</f>
        <v>10</v>
      </c>
      <c r="K14" s="94">
        <f>'KHACH HANG'!L347</f>
        <v>0</v>
      </c>
      <c r="L14" s="94">
        <f>'KHACH HANG'!M347</f>
        <v>0</v>
      </c>
      <c r="M14" s="94">
        <f>'KHACH HANG'!N347</f>
        <v>0</v>
      </c>
      <c r="N14" s="94">
        <f>'KHACH HANG'!O347</f>
        <v>0</v>
      </c>
      <c r="O14" s="94">
        <f>'KHACH HANG'!P347</f>
        <v>0</v>
      </c>
      <c r="P14" s="94">
        <f>'KHACH HANG'!Q347</f>
        <v>0</v>
      </c>
      <c r="Q14" s="94">
        <f>'KHACH HANG'!R347</f>
        <v>0</v>
      </c>
      <c r="R14" s="6">
        <f t="shared" si="2"/>
        <v>20</v>
      </c>
      <c r="S14" s="95"/>
      <c r="T14" s="31" t="str">
        <f t="shared" si="4"/>
        <v>'NHAN VIEN'!C347</v>
      </c>
      <c r="U14" s="31">
        <f t="shared" si="19"/>
        <v>347</v>
      </c>
      <c r="V14" s="31" t="str">
        <f t="shared" si="5"/>
        <v>='NHAN VIEN'!C347</v>
      </c>
      <c r="W14" s="31" t="str">
        <f t="shared" si="6"/>
        <v>='NHAN VIEN'!f347</v>
      </c>
      <c r="X14" s="31" t="str">
        <f t="shared" si="7"/>
        <v>='NHAN VIEN'!g347</v>
      </c>
      <c r="Y14" s="31" t="str">
        <f t="shared" si="8"/>
        <v>='NHAN VIEN'!h347</v>
      </c>
      <c r="Z14" s="31" t="str">
        <f t="shared" si="9"/>
        <v>='NHAN VIEN'!i347</v>
      </c>
      <c r="AA14" s="31" t="str">
        <f t="shared" si="10"/>
        <v>='NHAN VIEN'!j347</v>
      </c>
      <c r="AB14" s="31" t="str">
        <f t="shared" si="11"/>
        <v>='NHAN VIEN'!k347</v>
      </c>
      <c r="AC14" s="31" t="str">
        <f t="shared" si="12"/>
        <v>='NHAN VIEN'!l347</v>
      </c>
      <c r="AD14" s="31" t="str">
        <f t="shared" si="13"/>
        <v>='NHAN VIEN'!m347</v>
      </c>
      <c r="AE14" s="31" t="str">
        <f t="shared" si="14"/>
        <v>='NHAN VIEN'!n347</v>
      </c>
      <c r="AF14" s="31" t="str">
        <f t="shared" si="15"/>
        <v>='NHAN VIEN'!o347</v>
      </c>
      <c r="AG14" s="31" t="str">
        <f t="shared" si="16"/>
        <v>='NHAN VIEN'!p347</v>
      </c>
      <c r="AH14" s="31" t="str">
        <f t="shared" si="17"/>
        <v>='NHAN VIEN'!q347</v>
      </c>
    </row>
    <row r="15" customHeight="1" spans="1:34">
      <c r="A15" s="91"/>
      <c r="B15" s="92"/>
      <c r="C15" s="93">
        <f t="shared" si="18"/>
        <v>10</v>
      </c>
      <c r="D15" s="2" t="str">
        <f>'KHACH HANG'!C385</f>
        <v>THANH TÂM </v>
      </c>
      <c r="E15" s="3">
        <f t="shared" si="3"/>
        <v>80</v>
      </c>
      <c r="F15" s="94">
        <f>'KHACH HANG'!G385</f>
        <v>14</v>
      </c>
      <c r="G15" s="94">
        <f>'KHACH HANG'!H385</f>
        <v>0</v>
      </c>
      <c r="H15" s="94">
        <f>'KHACH HANG'!I385</f>
        <v>0</v>
      </c>
      <c r="I15" s="94">
        <f>'KHACH HANG'!J385</f>
        <v>0</v>
      </c>
      <c r="J15" s="94">
        <f>'KHACH HANG'!K385</f>
        <v>14</v>
      </c>
      <c r="K15" s="94">
        <f>'KHACH HANG'!L385</f>
        <v>0</v>
      </c>
      <c r="L15" s="94">
        <f>'KHACH HANG'!M385</f>
        <v>14</v>
      </c>
      <c r="M15" s="94">
        <f>'KHACH HANG'!N385</f>
        <v>0</v>
      </c>
      <c r="N15" s="94">
        <f>'KHACH HANG'!O385</f>
        <v>0</v>
      </c>
      <c r="O15" s="94">
        <f>'KHACH HANG'!P385</f>
        <v>19</v>
      </c>
      <c r="P15" s="94">
        <f>'KHACH HANG'!Q385</f>
        <v>19</v>
      </c>
      <c r="Q15" s="94">
        <f>'KHACH HANG'!R385</f>
        <v>0</v>
      </c>
      <c r="R15" s="6">
        <f t="shared" si="2"/>
        <v>80</v>
      </c>
      <c r="S15" s="95"/>
      <c r="T15" s="31" t="str">
        <f t="shared" si="4"/>
        <v>'NHAN VIEN'!C385</v>
      </c>
      <c r="U15" s="31">
        <f t="shared" si="19"/>
        <v>385</v>
      </c>
      <c r="V15" s="31" t="str">
        <f t="shared" si="5"/>
        <v>='NHAN VIEN'!C385</v>
      </c>
      <c r="W15" s="31" t="str">
        <f t="shared" si="6"/>
        <v>='NHAN VIEN'!f385</v>
      </c>
      <c r="X15" s="31" t="str">
        <f t="shared" si="7"/>
        <v>='NHAN VIEN'!g385</v>
      </c>
      <c r="Y15" s="31" t="str">
        <f t="shared" si="8"/>
        <v>='NHAN VIEN'!h385</v>
      </c>
      <c r="Z15" s="31" t="str">
        <f t="shared" si="9"/>
        <v>='NHAN VIEN'!i385</v>
      </c>
      <c r="AA15" s="31" t="str">
        <f t="shared" si="10"/>
        <v>='NHAN VIEN'!j385</v>
      </c>
      <c r="AB15" s="31" t="str">
        <f t="shared" si="11"/>
        <v>='NHAN VIEN'!k385</v>
      </c>
      <c r="AC15" s="31" t="str">
        <f t="shared" si="12"/>
        <v>='NHAN VIEN'!l385</v>
      </c>
      <c r="AD15" s="31" t="str">
        <f t="shared" si="13"/>
        <v>='NHAN VIEN'!m385</v>
      </c>
      <c r="AE15" s="31" t="str">
        <f t="shared" si="14"/>
        <v>='NHAN VIEN'!n385</v>
      </c>
      <c r="AF15" s="31" t="str">
        <f t="shared" si="15"/>
        <v>='NHAN VIEN'!o385</v>
      </c>
      <c r="AG15" s="31" t="str">
        <f t="shared" si="16"/>
        <v>='NHAN VIEN'!p385</v>
      </c>
      <c r="AH15" s="31" t="str">
        <f t="shared" si="17"/>
        <v>='NHAN VIEN'!q385</v>
      </c>
    </row>
    <row r="16" customHeight="1" spans="1:34">
      <c r="A16" s="91"/>
      <c r="B16" s="92"/>
      <c r="C16" s="93">
        <f t="shared" si="18"/>
        <v>11</v>
      </c>
      <c r="D16" s="2" t="str">
        <f>'KHACH HANG'!C423</f>
        <v>THANH LIÊM </v>
      </c>
      <c r="E16" s="3">
        <f t="shared" si="3"/>
        <v>204</v>
      </c>
      <c r="F16" s="94">
        <f>'KHACH HANG'!G423</f>
        <v>19</v>
      </c>
      <c r="G16" s="94">
        <f>'KHACH HANG'!H423</f>
        <v>0</v>
      </c>
      <c r="H16" s="94">
        <f>'KHACH HANG'!I423</f>
        <v>0</v>
      </c>
      <c r="I16" s="94">
        <f>'KHACH HANG'!J423</f>
        <v>123</v>
      </c>
      <c r="J16" s="94">
        <f>'KHACH HANG'!K423</f>
        <v>18</v>
      </c>
      <c r="K16" s="94">
        <f>'KHACH HANG'!L423</f>
        <v>0</v>
      </c>
      <c r="L16" s="94">
        <f>'KHACH HANG'!M423</f>
        <v>0</v>
      </c>
      <c r="M16" s="94">
        <f>'KHACH HANG'!N423</f>
        <v>0</v>
      </c>
      <c r="N16" s="94">
        <f>'KHACH HANG'!O423</f>
        <v>0</v>
      </c>
      <c r="O16" s="94">
        <f>'KHACH HANG'!P423</f>
        <v>0</v>
      </c>
      <c r="P16" s="94">
        <f>'KHACH HANG'!Q423</f>
        <v>0</v>
      </c>
      <c r="Q16" s="94">
        <f>'KHACH HANG'!R423</f>
        <v>44</v>
      </c>
      <c r="R16" s="6">
        <f t="shared" si="2"/>
        <v>204</v>
      </c>
      <c r="S16" s="95"/>
      <c r="T16" s="31" t="str">
        <f t="shared" si="4"/>
        <v>'NHAN VIEN'!C423</v>
      </c>
      <c r="U16" s="31">
        <f t="shared" si="19"/>
        <v>423</v>
      </c>
      <c r="V16" s="31" t="str">
        <f t="shared" si="5"/>
        <v>='NHAN VIEN'!C423</v>
      </c>
      <c r="W16" s="31" t="str">
        <f t="shared" si="6"/>
        <v>='NHAN VIEN'!f423</v>
      </c>
      <c r="X16" s="31" t="str">
        <f t="shared" si="7"/>
        <v>='NHAN VIEN'!g423</v>
      </c>
      <c r="Y16" s="31" t="str">
        <f t="shared" si="8"/>
        <v>='NHAN VIEN'!h423</v>
      </c>
      <c r="Z16" s="31" t="str">
        <f t="shared" si="9"/>
        <v>='NHAN VIEN'!i423</v>
      </c>
      <c r="AA16" s="31" t="str">
        <f t="shared" si="10"/>
        <v>='NHAN VIEN'!j423</v>
      </c>
      <c r="AB16" s="31" t="str">
        <f t="shared" si="11"/>
        <v>='NHAN VIEN'!k423</v>
      </c>
      <c r="AC16" s="31" t="str">
        <f t="shared" si="12"/>
        <v>='NHAN VIEN'!l423</v>
      </c>
      <c r="AD16" s="31" t="str">
        <f t="shared" si="13"/>
        <v>='NHAN VIEN'!m423</v>
      </c>
      <c r="AE16" s="31" t="str">
        <f t="shared" si="14"/>
        <v>='NHAN VIEN'!n423</v>
      </c>
      <c r="AF16" s="31" t="str">
        <f t="shared" si="15"/>
        <v>='NHAN VIEN'!o423</v>
      </c>
      <c r="AG16" s="31" t="str">
        <f t="shared" si="16"/>
        <v>='NHAN VIEN'!p423</v>
      </c>
      <c r="AH16" s="31" t="str">
        <f t="shared" si="17"/>
        <v>='NHAN VIEN'!q423</v>
      </c>
    </row>
    <row r="17" customHeight="1" spans="1:34">
      <c r="A17" s="91"/>
      <c r="B17" s="92"/>
      <c r="C17" s="93">
        <f>SUM(C5:C16)</f>
        <v>66</v>
      </c>
      <c r="D17" s="2" t="str">
        <f>'KHACH HANG'!C461</f>
        <v>KIM DUNG </v>
      </c>
      <c r="E17" s="3">
        <f t="shared" si="3"/>
        <v>51</v>
      </c>
      <c r="F17" s="94">
        <f>'KHACH HANG'!G461</f>
        <v>32</v>
      </c>
      <c r="G17" s="94">
        <f>'KHACH HANG'!H461</f>
        <v>0</v>
      </c>
      <c r="H17" s="94">
        <f>'KHACH HANG'!I461</f>
        <v>12</v>
      </c>
      <c r="I17" s="94">
        <f>'KHACH HANG'!J461</f>
        <v>0</v>
      </c>
      <c r="J17" s="94">
        <f>'KHACH HANG'!K461</f>
        <v>2</v>
      </c>
      <c r="K17" s="94">
        <f>'KHACH HANG'!L461</f>
        <v>0</v>
      </c>
      <c r="L17" s="94">
        <f>'KHACH HANG'!M461</f>
        <v>0</v>
      </c>
      <c r="M17" s="94">
        <f>'KHACH HANG'!N461</f>
        <v>0</v>
      </c>
      <c r="N17" s="94">
        <f>'KHACH HANG'!O461</f>
        <v>0</v>
      </c>
      <c r="O17" s="94">
        <f>'KHACH HANG'!P461</f>
        <v>0</v>
      </c>
      <c r="P17" s="94">
        <f>'KHACH HANG'!Q461</f>
        <v>0</v>
      </c>
      <c r="Q17" s="94">
        <f>'KHACH HANG'!R461</f>
        <v>5</v>
      </c>
      <c r="R17" s="6">
        <f t="shared" si="2"/>
        <v>51</v>
      </c>
      <c r="S17" s="95"/>
      <c r="T17" s="31" t="str">
        <f t="shared" si="4"/>
        <v>'NHAN VIEN'!C461</v>
      </c>
      <c r="U17" s="31">
        <f t="shared" si="19"/>
        <v>461</v>
      </c>
      <c r="V17" s="31" t="str">
        <f t="shared" si="5"/>
        <v>='NHAN VIEN'!C461</v>
      </c>
      <c r="W17" s="31" t="str">
        <f t="shared" si="6"/>
        <v>='NHAN VIEN'!f461</v>
      </c>
      <c r="X17" s="31" t="str">
        <f t="shared" si="7"/>
        <v>='NHAN VIEN'!g461</v>
      </c>
      <c r="Y17" s="31" t="str">
        <f t="shared" si="8"/>
        <v>='NHAN VIEN'!h461</v>
      </c>
      <c r="Z17" s="31" t="str">
        <f t="shared" si="9"/>
        <v>='NHAN VIEN'!i461</v>
      </c>
      <c r="AA17" s="31" t="str">
        <f t="shared" si="10"/>
        <v>='NHAN VIEN'!j461</v>
      </c>
      <c r="AB17" s="31" t="str">
        <f t="shared" si="11"/>
        <v>='NHAN VIEN'!k461</v>
      </c>
      <c r="AC17" s="31" t="str">
        <f t="shared" si="12"/>
        <v>='NHAN VIEN'!l461</v>
      </c>
      <c r="AD17" s="31" t="str">
        <f t="shared" si="13"/>
        <v>='NHAN VIEN'!m461</v>
      </c>
      <c r="AE17" s="31" t="str">
        <f t="shared" si="14"/>
        <v>='NHAN VIEN'!n461</v>
      </c>
      <c r="AF17" s="31" t="str">
        <f t="shared" si="15"/>
        <v>='NHAN VIEN'!o461</v>
      </c>
      <c r="AG17" s="31" t="str">
        <f t="shared" si="16"/>
        <v>='NHAN VIEN'!p461</v>
      </c>
      <c r="AH17" s="31" t="str">
        <f t="shared" si="17"/>
        <v>='NHAN VIEN'!q461</v>
      </c>
    </row>
    <row r="18" customHeight="1" spans="1:34">
      <c r="A18" s="91"/>
      <c r="B18" s="92"/>
      <c r="C18" s="93">
        <f t="shared" si="18"/>
        <v>67</v>
      </c>
      <c r="D18" s="2" t="str">
        <f>'KHACH HANG'!C499</f>
        <v>BA THƠ </v>
      </c>
      <c r="E18" s="3">
        <f t="shared" si="3"/>
        <v>18</v>
      </c>
      <c r="F18" s="94">
        <f>'KHACH HANG'!G499</f>
        <v>0</v>
      </c>
      <c r="G18" s="94">
        <f>'KHACH HANG'!H499</f>
        <v>0</v>
      </c>
      <c r="H18" s="94">
        <f>'KHACH HANG'!I499</f>
        <v>18</v>
      </c>
      <c r="I18" s="94">
        <f>'KHACH HANG'!J499</f>
        <v>0</v>
      </c>
      <c r="J18" s="94">
        <f>'KHACH HANG'!K499</f>
        <v>0</v>
      </c>
      <c r="K18" s="94">
        <f>'KHACH HANG'!L499</f>
        <v>0</v>
      </c>
      <c r="L18" s="94">
        <f>'KHACH HANG'!M499</f>
        <v>0</v>
      </c>
      <c r="M18" s="94">
        <f>'KHACH HANG'!N499</f>
        <v>0</v>
      </c>
      <c r="N18" s="94">
        <f>'KHACH HANG'!O499</f>
        <v>0</v>
      </c>
      <c r="O18" s="94">
        <f>'KHACH HANG'!P499</f>
        <v>0</v>
      </c>
      <c r="P18" s="94">
        <f>'KHACH HANG'!Q499</f>
        <v>0</v>
      </c>
      <c r="Q18" s="94">
        <f>'KHACH HANG'!R499</f>
        <v>0</v>
      </c>
      <c r="R18" s="6">
        <f t="shared" si="2"/>
        <v>18</v>
      </c>
      <c r="S18" s="95"/>
      <c r="T18" s="31" t="str">
        <f t="shared" si="4"/>
        <v>'NHAN VIEN'!C499</v>
      </c>
      <c r="U18" s="31">
        <f t="shared" si="19"/>
        <v>499</v>
      </c>
      <c r="V18" s="31" t="str">
        <f t="shared" si="5"/>
        <v>='NHAN VIEN'!C499</v>
      </c>
      <c r="W18" s="31" t="str">
        <f t="shared" si="6"/>
        <v>='NHAN VIEN'!f499</v>
      </c>
      <c r="X18" s="31" t="str">
        <f t="shared" si="7"/>
        <v>='NHAN VIEN'!g499</v>
      </c>
      <c r="Y18" s="31" t="str">
        <f t="shared" si="8"/>
        <v>='NHAN VIEN'!h499</v>
      </c>
      <c r="Z18" s="31" t="str">
        <f t="shared" si="9"/>
        <v>='NHAN VIEN'!i499</v>
      </c>
      <c r="AA18" s="31" t="str">
        <f t="shared" si="10"/>
        <v>='NHAN VIEN'!j499</v>
      </c>
      <c r="AB18" s="31" t="str">
        <f t="shared" si="11"/>
        <v>='NHAN VIEN'!k499</v>
      </c>
      <c r="AC18" s="31" t="str">
        <f t="shared" si="12"/>
        <v>='NHAN VIEN'!l499</v>
      </c>
      <c r="AD18" s="31" t="str">
        <f t="shared" si="13"/>
        <v>='NHAN VIEN'!m499</v>
      </c>
      <c r="AE18" s="31" t="str">
        <f t="shared" si="14"/>
        <v>='NHAN VIEN'!n499</v>
      </c>
      <c r="AF18" s="31" t="str">
        <f t="shared" si="15"/>
        <v>='NHAN VIEN'!o499</v>
      </c>
      <c r="AG18" s="31" t="str">
        <f t="shared" si="16"/>
        <v>='NHAN VIEN'!p499</v>
      </c>
      <c r="AH18" s="31" t="str">
        <f t="shared" si="17"/>
        <v>='NHAN VIEN'!q499</v>
      </c>
    </row>
    <row r="19" customHeight="1" spans="1:34">
      <c r="A19" s="91"/>
      <c r="B19" s="92"/>
      <c r="C19" s="93">
        <f t="shared" si="18"/>
        <v>68</v>
      </c>
      <c r="D19" s="2" t="str">
        <f>'KHACH HANG'!C537</f>
        <v>GIÁO DẨN </v>
      </c>
      <c r="E19" s="3">
        <f t="shared" si="3"/>
        <v>11</v>
      </c>
      <c r="F19" s="94">
        <f>'KHACH HANG'!G537</f>
        <v>0</v>
      </c>
      <c r="G19" s="94">
        <f>'KHACH HANG'!H537</f>
        <v>0</v>
      </c>
      <c r="H19" s="94">
        <f>'KHACH HANG'!I537</f>
        <v>0</v>
      </c>
      <c r="I19" s="94">
        <f>'KHACH HANG'!J537</f>
        <v>3</v>
      </c>
      <c r="J19" s="94">
        <f>'KHACH HANG'!K537</f>
        <v>0</v>
      </c>
      <c r="K19" s="94">
        <f>'KHACH HANG'!L537</f>
        <v>0</v>
      </c>
      <c r="L19" s="94">
        <f>'KHACH HANG'!M537</f>
        <v>0</v>
      </c>
      <c r="M19" s="94">
        <f>'KHACH HANG'!N537</f>
        <v>8</v>
      </c>
      <c r="N19" s="94">
        <f>'KHACH HANG'!O537</f>
        <v>0</v>
      </c>
      <c r="O19" s="94">
        <f>'KHACH HANG'!P537</f>
        <v>0</v>
      </c>
      <c r="P19" s="94">
        <f>'KHACH HANG'!Q537</f>
        <v>0</v>
      </c>
      <c r="Q19" s="94">
        <f>'KHACH HANG'!R537</f>
        <v>0</v>
      </c>
      <c r="R19" s="6">
        <f t="shared" si="2"/>
        <v>11</v>
      </c>
      <c r="S19" s="95"/>
      <c r="T19" s="31" t="str">
        <f t="shared" si="4"/>
        <v>'NHAN VIEN'!C537</v>
      </c>
      <c r="U19" s="31">
        <f t="shared" si="19"/>
        <v>537</v>
      </c>
      <c r="V19" s="31" t="str">
        <f t="shared" si="5"/>
        <v>='NHAN VIEN'!C537</v>
      </c>
      <c r="W19" s="31" t="str">
        <f t="shared" si="6"/>
        <v>='NHAN VIEN'!f537</v>
      </c>
      <c r="X19" s="31" t="str">
        <f t="shared" si="7"/>
        <v>='NHAN VIEN'!g537</v>
      </c>
      <c r="Y19" s="31" t="str">
        <f t="shared" si="8"/>
        <v>='NHAN VIEN'!h537</v>
      </c>
      <c r="Z19" s="31" t="str">
        <f t="shared" si="9"/>
        <v>='NHAN VIEN'!i537</v>
      </c>
      <c r="AA19" s="31" t="str">
        <f t="shared" si="10"/>
        <v>='NHAN VIEN'!j537</v>
      </c>
      <c r="AB19" s="31" t="str">
        <f t="shared" si="11"/>
        <v>='NHAN VIEN'!k537</v>
      </c>
      <c r="AC19" s="31" t="str">
        <f t="shared" si="12"/>
        <v>='NHAN VIEN'!l537</v>
      </c>
      <c r="AD19" s="31" t="str">
        <f t="shared" si="13"/>
        <v>='NHAN VIEN'!m537</v>
      </c>
      <c r="AE19" s="31" t="str">
        <f t="shared" si="14"/>
        <v>='NHAN VIEN'!n537</v>
      </c>
      <c r="AF19" s="31" t="str">
        <f t="shared" si="15"/>
        <v>='NHAN VIEN'!o537</v>
      </c>
      <c r="AG19" s="31" t="str">
        <f t="shared" si="16"/>
        <v>='NHAN VIEN'!p537</v>
      </c>
      <c r="AH19" s="31" t="str">
        <f t="shared" si="17"/>
        <v>='NHAN VIEN'!q537</v>
      </c>
    </row>
    <row r="20" customHeight="1" spans="1:34">
      <c r="A20" s="91"/>
      <c r="B20" s="92"/>
      <c r="C20" s="93">
        <f t="shared" si="18"/>
        <v>69</v>
      </c>
      <c r="D20" s="2" t="str">
        <f>'KHACH HANG'!C575</f>
        <v>TƯ HỪNG </v>
      </c>
      <c r="E20" s="3">
        <f t="shared" si="3"/>
        <v>34</v>
      </c>
      <c r="F20" s="94">
        <f>'KHACH HANG'!G575</f>
        <v>0</v>
      </c>
      <c r="G20" s="94">
        <f>'KHACH HANG'!H575</f>
        <v>0</v>
      </c>
      <c r="H20" s="94">
        <f>'KHACH HANG'!I575</f>
        <v>0</v>
      </c>
      <c r="I20" s="94">
        <f>'KHACH HANG'!J575</f>
        <v>17</v>
      </c>
      <c r="J20" s="94">
        <f>'KHACH HANG'!K575</f>
        <v>0</v>
      </c>
      <c r="K20" s="94">
        <f>'KHACH HANG'!L575</f>
        <v>17</v>
      </c>
      <c r="L20" s="94">
        <f>'KHACH HANG'!M575</f>
        <v>0</v>
      </c>
      <c r="M20" s="94">
        <f>'KHACH HANG'!N575</f>
        <v>0</v>
      </c>
      <c r="N20" s="94">
        <f>'KHACH HANG'!O575</f>
        <v>0</v>
      </c>
      <c r="O20" s="94">
        <f>'KHACH HANG'!P575</f>
        <v>0</v>
      </c>
      <c r="P20" s="94">
        <f>'KHACH HANG'!Q575</f>
        <v>0</v>
      </c>
      <c r="Q20" s="94">
        <f>'KHACH HANG'!R575</f>
        <v>0</v>
      </c>
      <c r="R20" s="6">
        <f t="shared" si="2"/>
        <v>34</v>
      </c>
      <c r="S20" s="95"/>
      <c r="T20" s="31" t="str">
        <f t="shared" si="4"/>
        <v>'NHAN VIEN'!C575</v>
      </c>
      <c r="U20" s="31">
        <f t="shared" si="19"/>
        <v>575</v>
      </c>
      <c r="V20" s="31" t="str">
        <f t="shared" si="5"/>
        <v>='NHAN VIEN'!C575</v>
      </c>
      <c r="W20" s="31" t="str">
        <f t="shared" si="6"/>
        <v>='NHAN VIEN'!f575</v>
      </c>
      <c r="X20" s="31" t="str">
        <f t="shared" si="7"/>
        <v>='NHAN VIEN'!g575</v>
      </c>
      <c r="Y20" s="31" t="str">
        <f t="shared" si="8"/>
        <v>='NHAN VIEN'!h575</v>
      </c>
      <c r="Z20" s="31" t="str">
        <f t="shared" si="9"/>
        <v>='NHAN VIEN'!i575</v>
      </c>
      <c r="AA20" s="31" t="str">
        <f t="shared" si="10"/>
        <v>='NHAN VIEN'!j575</v>
      </c>
      <c r="AB20" s="31" t="str">
        <f t="shared" si="11"/>
        <v>='NHAN VIEN'!k575</v>
      </c>
      <c r="AC20" s="31" t="str">
        <f t="shared" si="12"/>
        <v>='NHAN VIEN'!l575</v>
      </c>
      <c r="AD20" s="31" t="str">
        <f t="shared" si="13"/>
        <v>='NHAN VIEN'!m575</v>
      </c>
      <c r="AE20" s="31" t="str">
        <f t="shared" si="14"/>
        <v>='NHAN VIEN'!n575</v>
      </c>
      <c r="AF20" s="31" t="str">
        <f t="shared" si="15"/>
        <v>='NHAN VIEN'!o575</v>
      </c>
      <c r="AG20" s="31" t="str">
        <f t="shared" si="16"/>
        <v>='NHAN VIEN'!p575</v>
      </c>
      <c r="AH20" s="31" t="str">
        <f t="shared" si="17"/>
        <v>='NHAN VIEN'!q575</v>
      </c>
    </row>
    <row r="21" customHeight="1" spans="1:34">
      <c r="A21" s="91"/>
      <c r="B21" s="92"/>
      <c r="C21" s="93">
        <f t="shared" si="18"/>
        <v>70</v>
      </c>
      <c r="D21" s="2" t="str">
        <f>'KHACH HANG'!C613</f>
        <v>HOÀNG PHÁT </v>
      </c>
      <c r="E21" s="3">
        <f t="shared" si="3"/>
        <v>24</v>
      </c>
      <c r="F21" s="94">
        <f>'KHACH HANG'!G613</f>
        <v>0</v>
      </c>
      <c r="G21" s="94">
        <f>'KHACH HANG'!H613</f>
        <v>0</v>
      </c>
      <c r="H21" s="94">
        <f>'KHACH HANG'!I613</f>
        <v>0</v>
      </c>
      <c r="I21" s="94">
        <f>'KHACH HANG'!J613</f>
        <v>0</v>
      </c>
      <c r="J21" s="94">
        <f>'KHACH HANG'!K613</f>
        <v>0</v>
      </c>
      <c r="K21" s="94">
        <f>'KHACH HANG'!L613</f>
        <v>0</v>
      </c>
      <c r="L21" s="94">
        <f>'KHACH HANG'!M613</f>
        <v>24</v>
      </c>
      <c r="M21" s="94">
        <f>'KHACH HANG'!N613</f>
        <v>0</v>
      </c>
      <c r="N21" s="94">
        <f>'KHACH HANG'!O613</f>
        <v>0</v>
      </c>
      <c r="O21" s="94">
        <f>'KHACH HANG'!P613</f>
        <v>0</v>
      </c>
      <c r="P21" s="94">
        <f>'KHACH HANG'!Q613</f>
        <v>0</v>
      </c>
      <c r="Q21" s="94">
        <f>'KHACH HANG'!R613</f>
        <v>0</v>
      </c>
      <c r="R21" s="6">
        <f t="shared" si="2"/>
        <v>24</v>
      </c>
      <c r="S21" s="95"/>
      <c r="T21" s="31" t="str">
        <f t="shared" si="4"/>
        <v>'NHAN VIEN'!C613</v>
      </c>
      <c r="U21" s="31">
        <f t="shared" si="19"/>
        <v>613</v>
      </c>
      <c r="V21" s="31" t="str">
        <f t="shared" si="5"/>
        <v>='NHAN VIEN'!C613</v>
      </c>
      <c r="W21" s="31" t="str">
        <f t="shared" si="6"/>
        <v>='NHAN VIEN'!f613</v>
      </c>
      <c r="X21" s="31" t="str">
        <f t="shared" si="7"/>
        <v>='NHAN VIEN'!g613</v>
      </c>
      <c r="Y21" s="31" t="str">
        <f t="shared" si="8"/>
        <v>='NHAN VIEN'!h613</v>
      </c>
      <c r="Z21" s="31" t="str">
        <f t="shared" si="9"/>
        <v>='NHAN VIEN'!i613</v>
      </c>
      <c r="AA21" s="31" t="str">
        <f t="shared" si="10"/>
        <v>='NHAN VIEN'!j613</v>
      </c>
      <c r="AB21" s="31" t="str">
        <f t="shared" si="11"/>
        <v>='NHAN VIEN'!k613</v>
      </c>
      <c r="AC21" s="31" t="str">
        <f t="shared" si="12"/>
        <v>='NHAN VIEN'!l613</v>
      </c>
      <c r="AD21" s="31" t="str">
        <f t="shared" si="13"/>
        <v>='NHAN VIEN'!m613</v>
      </c>
      <c r="AE21" s="31" t="str">
        <f t="shared" si="14"/>
        <v>='NHAN VIEN'!n613</v>
      </c>
      <c r="AF21" s="31" t="str">
        <f t="shared" si="15"/>
        <v>='NHAN VIEN'!o613</v>
      </c>
      <c r="AG21" s="31" t="str">
        <f t="shared" si="16"/>
        <v>='NHAN VIEN'!p613</v>
      </c>
      <c r="AH21" s="31" t="str">
        <f t="shared" si="17"/>
        <v>='NHAN VIEN'!q613</v>
      </c>
    </row>
    <row r="22" customHeight="1" spans="1:34">
      <c r="A22" s="91"/>
      <c r="B22" s="92"/>
      <c r="C22" s="93">
        <f t="shared" si="18"/>
        <v>71</v>
      </c>
      <c r="D22" s="2" t="str">
        <f>'KHACH HANG'!C651</f>
        <v>PHƯỚC LỢI </v>
      </c>
      <c r="E22" s="3">
        <f t="shared" si="3"/>
        <v>51</v>
      </c>
      <c r="F22" s="94">
        <f>'KHACH HANG'!G651</f>
        <v>0</v>
      </c>
      <c r="G22" s="94">
        <f>'KHACH HANG'!H651</f>
        <v>0</v>
      </c>
      <c r="H22" s="94">
        <f>'KHACH HANG'!I651</f>
        <v>0</v>
      </c>
      <c r="I22" s="94">
        <f>'KHACH HANG'!J651</f>
        <v>0</v>
      </c>
      <c r="J22" s="94">
        <f>'KHACH HANG'!K651</f>
        <v>0</v>
      </c>
      <c r="K22" s="94">
        <f>'KHACH HANG'!L651</f>
        <v>0</v>
      </c>
      <c r="L22" s="94">
        <f>'KHACH HANG'!M651</f>
        <v>21</v>
      </c>
      <c r="M22" s="94">
        <f>'KHACH HANG'!N651</f>
        <v>0</v>
      </c>
      <c r="N22" s="94">
        <f>'KHACH HANG'!O651</f>
        <v>0</v>
      </c>
      <c r="O22" s="94">
        <f>'KHACH HANG'!P651</f>
        <v>0</v>
      </c>
      <c r="P22" s="94">
        <f>'KHACH HANG'!Q651</f>
        <v>30</v>
      </c>
      <c r="Q22" s="94">
        <f>'KHACH HANG'!R651</f>
        <v>0</v>
      </c>
      <c r="R22" s="6">
        <f t="shared" si="2"/>
        <v>51</v>
      </c>
      <c r="S22" s="95"/>
      <c r="T22" s="31" t="str">
        <f t="shared" si="4"/>
        <v>'NHAN VIEN'!C651</v>
      </c>
      <c r="U22" s="31">
        <f t="shared" si="19"/>
        <v>651</v>
      </c>
      <c r="V22" s="31" t="str">
        <f t="shared" si="5"/>
        <v>='NHAN VIEN'!C651</v>
      </c>
      <c r="W22" s="31" t="str">
        <f t="shared" si="6"/>
        <v>='NHAN VIEN'!f651</v>
      </c>
      <c r="X22" s="31" t="str">
        <f t="shared" si="7"/>
        <v>='NHAN VIEN'!g651</v>
      </c>
      <c r="Y22" s="31" t="str">
        <f t="shared" si="8"/>
        <v>='NHAN VIEN'!h651</v>
      </c>
      <c r="Z22" s="31" t="str">
        <f t="shared" si="9"/>
        <v>='NHAN VIEN'!i651</v>
      </c>
      <c r="AA22" s="31" t="str">
        <f t="shared" si="10"/>
        <v>='NHAN VIEN'!j651</v>
      </c>
      <c r="AB22" s="31" t="str">
        <f t="shared" si="11"/>
        <v>='NHAN VIEN'!k651</v>
      </c>
      <c r="AC22" s="31" t="str">
        <f t="shared" si="12"/>
        <v>='NHAN VIEN'!l651</v>
      </c>
      <c r="AD22" s="31" t="str">
        <f t="shared" si="13"/>
        <v>='NHAN VIEN'!m651</v>
      </c>
      <c r="AE22" s="31" t="str">
        <f t="shared" si="14"/>
        <v>='NHAN VIEN'!n651</v>
      </c>
      <c r="AF22" s="31" t="str">
        <f t="shared" si="15"/>
        <v>='NHAN VIEN'!o651</v>
      </c>
      <c r="AG22" s="31" t="str">
        <f t="shared" si="16"/>
        <v>='NHAN VIEN'!p651</v>
      </c>
      <c r="AH22" s="31" t="str">
        <f t="shared" si="17"/>
        <v>='NHAN VIEN'!q651</v>
      </c>
    </row>
    <row r="23" customHeight="1" spans="1:34">
      <c r="A23" s="91"/>
      <c r="B23" s="92"/>
      <c r="C23" s="93">
        <f t="shared" si="18"/>
        <v>72</v>
      </c>
      <c r="D23" s="2" t="str">
        <f>'KHACH HANG'!C689</f>
        <v>NGHĨA THẮM </v>
      </c>
      <c r="E23" s="3">
        <f t="shared" si="3"/>
        <v>168</v>
      </c>
      <c r="F23" s="94">
        <f>'KHACH HANG'!G689</f>
        <v>0</v>
      </c>
      <c r="G23" s="94">
        <f>'KHACH HANG'!H689</f>
        <v>0</v>
      </c>
      <c r="H23" s="94">
        <f>'KHACH HANG'!I689</f>
        <v>0</v>
      </c>
      <c r="I23" s="94">
        <f>'KHACH HANG'!J689</f>
        <v>0</v>
      </c>
      <c r="J23" s="94">
        <f>'KHACH HANG'!K689</f>
        <v>0</v>
      </c>
      <c r="K23" s="94">
        <f>'KHACH HANG'!L689</f>
        <v>0</v>
      </c>
      <c r="L23" s="94">
        <f>'KHACH HANG'!M689</f>
        <v>0</v>
      </c>
      <c r="M23" s="94">
        <f>'KHACH HANG'!N689</f>
        <v>84</v>
      </c>
      <c r="N23" s="94">
        <f>'KHACH HANG'!O689</f>
        <v>0</v>
      </c>
      <c r="O23" s="94">
        <f>'KHACH HANG'!P689</f>
        <v>0</v>
      </c>
      <c r="P23" s="94">
        <f>'KHACH HANG'!Q689</f>
        <v>0</v>
      </c>
      <c r="Q23" s="94">
        <f>'KHACH HANG'!R689</f>
        <v>84</v>
      </c>
      <c r="R23" s="6">
        <f t="shared" si="2"/>
        <v>168</v>
      </c>
      <c r="S23" s="95"/>
      <c r="T23" s="31" t="str">
        <f t="shared" si="4"/>
        <v>'NHAN VIEN'!C689</v>
      </c>
      <c r="U23" s="31">
        <f t="shared" si="19"/>
        <v>689</v>
      </c>
      <c r="V23" s="31" t="str">
        <f t="shared" si="5"/>
        <v>='NHAN VIEN'!C689</v>
      </c>
      <c r="W23" s="31" t="str">
        <f t="shared" si="6"/>
        <v>='NHAN VIEN'!f689</v>
      </c>
      <c r="X23" s="31" t="str">
        <f t="shared" si="7"/>
        <v>='NHAN VIEN'!g689</v>
      </c>
      <c r="Y23" s="31" t="str">
        <f t="shared" si="8"/>
        <v>='NHAN VIEN'!h689</v>
      </c>
      <c r="Z23" s="31" t="str">
        <f t="shared" si="9"/>
        <v>='NHAN VIEN'!i689</v>
      </c>
      <c r="AA23" s="31" t="str">
        <f t="shared" si="10"/>
        <v>='NHAN VIEN'!j689</v>
      </c>
      <c r="AB23" s="31" t="str">
        <f t="shared" si="11"/>
        <v>='NHAN VIEN'!k689</v>
      </c>
      <c r="AC23" s="31" t="str">
        <f t="shared" si="12"/>
        <v>='NHAN VIEN'!l689</v>
      </c>
      <c r="AD23" s="31" t="str">
        <f t="shared" si="13"/>
        <v>='NHAN VIEN'!m689</v>
      </c>
      <c r="AE23" s="31" t="str">
        <f t="shared" si="14"/>
        <v>='NHAN VIEN'!n689</v>
      </c>
      <c r="AF23" s="31" t="str">
        <f t="shared" si="15"/>
        <v>='NHAN VIEN'!o689</v>
      </c>
      <c r="AG23" s="31" t="str">
        <f t="shared" si="16"/>
        <v>='NHAN VIEN'!p689</v>
      </c>
      <c r="AH23" s="31" t="str">
        <f t="shared" si="17"/>
        <v>='NHAN VIEN'!q689</v>
      </c>
    </row>
    <row r="24" customHeight="1" spans="1:34">
      <c r="A24" s="91"/>
      <c r="B24" s="92"/>
      <c r="C24" s="93">
        <f t="shared" si="18"/>
        <v>73</v>
      </c>
      <c r="D24" s="2" t="str">
        <f>'KHACH HANG'!C727</f>
        <v>THANH TUẤN </v>
      </c>
      <c r="E24" s="3">
        <f t="shared" si="3"/>
        <v>5</v>
      </c>
      <c r="F24" s="94">
        <f>'KHACH HANG'!G727</f>
        <v>0</v>
      </c>
      <c r="G24" s="94">
        <f>'KHACH HANG'!H727</f>
        <v>0</v>
      </c>
      <c r="H24" s="94">
        <f>'KHACH HANG'!I727</f>
        <v>0</v>
      </c>
      <c r="I24" s="94">
        <f>'KHACH HANG'!J727</f>
        <v>0</v>
      </c>
      <c r="J24" s="94">
        <f>'KHACH HANG'!K727</f>
        <v>0</v>
      </c>
      <c r="K24" s="94">
        <f>'KHACH HANG'!L727</f>
        <v>0</v>
      </c>
      <c r="L24" s="94">
        <f>'KHACH HANG'!M727</f>
        <v>0</v>
      </c>
      <c r="M24" s="94">
        <f>'KHACH HANG'!N727</f>
        <v>0</v>
      </c>
      <c r="N24" s="94">
        <f>'KHACH HANG'!O727</f>
        <v>0</v>
      </c>
      <c r="O24" s="94">
        <f>'KHACH HANG'!P727</f>
        <v>5</v>
      </c>
      <c r="P24" s="94">
        <f>'KHACH HANG'!Q727</f>
        <v>0</v>
      </c>
      <c r="Q24" s="94">
        <f>'KHACH HANG'!R727</f>
        <v>0</v>
      </c>
      <c r="R24" s="6">
        <f t="shared" si="2"/>
        <v>5</v>
      </c>
      <c r="S24" s="95"/>
      <c r="T24" s="31" t="str">
        <f t="shared" si="4"/>
        <v>'NHAN VIEN'!C727</v>
      </c>
      <c r="U24" s="31">
        <f t="shared" si="19"/>
        <v>727</v>
      </c>
      <c r="V24" s="31" t="str">
        <f t="shared" si="5"/>
        <v>='NHAN VIEN'!C727</v>
      </c>
      <c r="W24" s="31" t="str">
        <f t="shared" si="6"/>
        <v>='NHAN VIEN'!f727</v>
      </c>
      <c r="X24" s="31" t="str">
        <f t="shared" si="7"/>
        <v>='NHAN VIEN'!g727</v>
      </c>
      <c r="Y24" s="31" t="str">
        <f t="shared" si="8"/>
        <v>='NHAN VIEN'!h727</v>
      </c>
      <c r="Z24" s="31" t="str">
        <f t="shared" si="9"/>
        <v>='NHAN VIEN'!i727</v>
      </c>
      <c r="AA24" s="31" t="str">
        <f t="shared" si="10"/>
        <v>='NHAN VIEN'!j727</v>
      </c>
      <c r="AB24" s="31" t="str">
        <f t="shared" si="11"/>
        <v>='NHAN VIEN'!k727</v>
      </c>
      <c r="AC24" s="31" t="str">
        <f t="shared" si="12"/>
        <v>='NHAN VIEN'!l727</v>
      </c>
      <c r="AD24" s="31" t="str">
        <f t="shared" si="13"/>
        <v>='NHAN VIEN'!m727</v>
      </c>
      <c r="AE24" s="31" t="str">
        <f t="shared" si="14"/>
        <v>='NHAN VIEN'!n727</v>
      </c>
      <c r="AF24" s="31" t="str">
        <f t="shared" si="15"/>
        <v>='NHAN VIEN'!o727</v>
      </c>
      <c r="AG24" s="31" t="str">
        <f t="shared" si="16"/>
        <v>='NHAN VIEN'!p727</v>
      </c>
      <c r="AH24" s="31" t="str">
        <f t="shared" si="17"/>
        <v>='NHAN VIEN'!q727</v>
      </c>
    </row>
    <row r="25" customHeight="1" spans="1:34">
      <c r="A25" s="91"/>
      <c r="B25" s="92"/>
      <c r="C25" s="93">
        <f t="shared" si="18"/>
        <v>74</v>
      </c>
      <c r="D25" s="2" t="str">
        <f>'KHACH HANG'!C765</f>
        <v>KHUYA</v>
      </c>
      <c r="E25" s="3">
        <f t="shared" si="3"/>
        <v>57</v>
      </c>
      <c r="F25" s="94">
        <f>'KHACH HANG'!G765</f>
        <v>0</v>
      </c>
      <c r="G25" s="94">
        <f>'KHACH HANG'!H765</f>
        <v>0</v>
      </c>
      <c r="H25" s="94">
        <f>'KHACH HANG'!I765</f>
        <v>0</v>
      </c>
      <c r="I25" s="94">
        <f>'KHACH HANG'!J765</f>
        <v>0</v>
      </c>
      <c r="J25" s="94">
        <f>'KHACH HANG'!K765</f>
        <v>0</v>
      </c>
      <c r="K25" s="94">
        <f>'KHACH HANG'!L765</f>
        <v>0</v>
      </c>
      <c r="L25" s="94">
        <f>'KHACH HANG'!M765</f>
        <v>0</v>
      </c>
      <c r="M25" s="94">
        <f>'KHACH HANG'!N765</f>
        <v>0</v>
      </c>
      <c r="N25" s="94">
        <f>'KHACH HANG'!O765</f>
        <v>0</v>
      </c>
      <c r="O25" s="94">
        <f>'KHACH HANG'!P765</f>
        <v>0</v>
      </c>
      <c r="P25" s="94">
        <f>'KHACH HANG'!Q765</f>
        <v>0</v>
      </c>
      <c r="Q25" s="94">
        <f>'KHACH HANG'!R765</f>
        <v>57</v>
      </c>
      <c r="R25" s="6">
        <f t="shared" si="2"/>
        <v>57</v>
      </c>
      <c r="S25" s="95"/>
      <c r="T25" s="31" t="str">
        <f t="shared" si="4"/>
        <v>'NHAN VIEN'!C765</v>
      </c>
      <c r="U25" s="31">
        <f t="shared" si="19"/>
        <v>765</v>
      </c>
      <c r="V25" s="31" t="str">
        <f t="shared" si="5"/>
        <v>='NHAN VIEN'!C765</v>
      </c>
      <c r="W25" s="31" t="str">
        <f t="shared" si="6"/>
        <v>='NHAN VIEN'!f765</v>
      </c>
      <c r="X25" s="31" t="str">
        <f t="shared" si="7"/>
        <v>='NHAN VIEN'!g765</v>
      </c>
      <c r="Y25" s="31" t="str">
        <f t="shared" si="8"/>
        <v>='NHAN VIEN'!h765</v>
      </c>
      <c r="Z25" s="31" t="str">
        <f t="shared" si="9"/>
        <v>='NHAN VIEN'!i765</v>
      </c>
      <c r="AA25" s="31" t="str">
        <f t="shared" si="10"/>
        <v>='NHAN VIEN'!j765</v>
      </c>
      <c r="AB25" s="31" t="str">
        <f t="shared" si="11"/>
        <v>='NHAN VIEN'!k765</v>
      </c>
      <c r="AC25" s="31" t="str">
        <f t="shared" si="12"/>
        <v>='NHAN VIEN'!l765</v>
      </c>
      <c r="AD25" s="31" t="str">
        <f t="shared" si="13"/>
        <v>='NHAN VIEN'!m765</v>
      </c>
      <c r="AE25" s="31" t="str">
        <f t="shared" si="14"/>
        <v>='NHAN VIEN'!n765</v>
      </c>
      <c r="AF25" s="31" t="str">
        <f t="shared" si="15"/>
        <v>='NHAN VIEN'!o765</v>
      </c>
      <c r="AG25" s="31" t="str">
        <f t="shared" si="16"/>
        <v>='NHAN VIEN'!p765</v>
      </c>
      <c r="AH25" s="31" t="str">
        <f t="shared" si="17"/>
        <v>='NHAN VIEN'!q765</v>
      </c>
    </row>
    <row r="26" customHeight="1" spans="1:34">
      <c r="A26" s="91"/>
      <c r="B26" s="92"/>
      <c r="C26" s="93">
        <f t="shared" si="18"/>
        <v>75</v>
      </c>
      <c r="D26" s="2">
        <f>'KHACH HANG'!C803</f>
        <v>0</v>
      </c>
      <c r="E26" s="3">
        <f t="shared" si="3"/>
        <v>0</v>
      </c>
      <c r="F26" s="94">
        <f>'KHACH HANG'!G803</f>
        <v>0</v>
      </c>
      <c r="G26" s="94">
        <f>'KHACH HANG'!H803</f>
        <v>0</v>
      </c>
      <c r="H26" s="94">
        <f>'KHACH HANG'!I803</f>
        <v>0</v>
      </c>
      <c r="I26" s="94">
        <f>'KHACH HANG'!J803</f>
        <v>0</v>
      </c>
      <c r="J26" s="94">
        <f>'KHACH HANG'!K803</f>
        <v>0</v>
      </c>
      <c r="K26" s="94">
        <f>'KHACH HANG'!L803</f>
        <v>0</v>
      </c>
      <c r="L26" s="94">
        <f>'KHACH HANG'!M803</f>
        <v>0</v>
      </c>
      <c r="M26" s="94">
        <f>'KHACH HANG'!N803</f>
        <v>0</v>
      </c>
      <c r="N26" s="94">
        <f>'KHACH HANG'!O803</f>
        <v>0</v>
      </c>
      <c r="O26" s="94">
        <f>'KHACH HANG'!P803</f>
        <v>0</v>
      </c>
      <c r="P26" s="94">
        <f>'KHACH HANG'!Q803</f>
        <v>0</v>
      </c>
      <c r="Q26" s="94">
        <f>'KHACH HANG'!R803</f>
        <v>0</v>
      </c>
      <c r="R26" s="6">
        <f t="shared" si="2"/>
        <v>0</v>
      </c>
      <c r="S26" s="95"/>
      <c r="T26" s="31" t="str">
        <f t="shared" si="4"/>
        <v>'NHAN VIEN'!C803</v>
      </c>
      <c r="U26" s="31">
        <f t="shared" si="19"/>
        <v>803</v>
      </c>
      <c r="V26" s="31" t="str">
        <f t="shared" si="5"/>
        <v>='NHAN VIEN'!C803</v>
      </c>
      <c r="W26" s="31" t="str">
        <f t="shared" si="6"/>
        <v>='NHAN VIEN'!f803</v>
      </c>
      <c r="X26" s="31" t="str">
        <f t="shared" si="7"/>
        <v>='NHAN VIEN'!g803</v>
      </c>
      <c r="Y26" s="31" t="str">
        <f t="shared" si="8"/>
        <v>='NHAN VIEN'!h803</v>
      </c>
      <c r="Z26" s="31" t="str">
        <f t="shared" si="9"/>
        <v>='NHAN VIEN'!i803</v>
      </c>
      <c r="AA26" s="31" t="str">
        <f t="shared" si="10"/>
        <v>='NHAN VIEN'!j803</v>
      </c>
      <c r="AB26" s="31" t="str">
        <f t="shared" si="11"/>
        <v>='NHAN VIEN'!k803</v>
      </c>
      <c r="AC26" s="31" t="str">
        <f t="shared" si="12"/>
        <v>='NHAN VIEN'!l803</v>
      </c>
      <c r="AD26" s="31" t="str">
        <f t="shared" si="13"/>
        <v>='NHAN VIEN'!m803</v>
      </c>
      <c r="AE26" s="31" t="str">
        <f t="shared" si="14"/>
        <v>='NHAN VIEN'!n803</v>
      </c>
      <c r="AF26" s="31" t="str">
        <f t="shared" si="15"/>
        <v>='NHAN VIEN'!o803</v>
      </c>
      <c r="AG26" s="31" t="str">
        <f t="shared" si="16"/>
        <v>='NHAN VIEN'!p803</v>
      </c>
      <c r="AH26" s="31" t="str">
        <f t="shared" si="17"/>
        <v>='NHAN VIEN'!q803</v>
      </c>
    </row>
    <row r="27" customHeight="1" spans="1:34">
      <c r="A27" s="91"/>
      <c r="B27" s="92"/>
      <c r="C27" s="93">
        <f t="shared" si="18"/>
        <v>76</v>
      </c>
      <c r="D27" s="2">
        <f>'KHACH HANG'!C841</f>
        <v>0</v>
      </c>
      <c r="E27" s="3">
        <f t="shared" si="3"/>
        <v>0</v>
      </c>
      <c r="F27" s="94">
        <f>'KHACH HANG'!G841</f>
        <v>0</v>
      </c>
      <c r="G27" s="94">
        <f>'KHACH HANG'!H841</f>
        <v>0</v>
      </c>
      <c r="H27" s="94">
        <f>'KHACH HANG'!I841</f>
        <v>0</v>
      </c>
      <c r="I27" s="94">
        <f>'KHACH HANG'!J841</f>
        <v>0</v>
      </c>
      <c r="J27" s="94">
        <f>'KHACH HANG'!K841</f>
        <v>0</v>
      </c>
      <c r="K27" s="94">
        <f>'KHACH HANG'!L841</f>
        <v>0</v>
      </c>
      <c r="L27" s="94">
        <f>'KHACH HANG'!M841</f>
        <v>0</v>
      </c>
      <c r="M27" s="94">
        <f>'KHACH HANG'!N841</f>
        <v>0</v>
      </c>
      <c r="N27" s="94">
        <f>'KHACH HANG'!O841</f>
        <v>0</v>
      </c>
      <c r="O27" s="94">
        <f>'KHACH HANG'!P841</f>
        <v>0</v>
      </c>
      <c r="P27" s="94">
        <f>'KHACH HANG'!Q841</f>
        <v>0</v>
      </c>
      <c r="Q27" s="94">
        <f>'KHACH HANG'!R841</f>
        <v>0</v>
      </c>
      <c r="R27" s="6">
        <f t="shared" si="2"/>
        <v>0</v>
      </c>
      <c r="S27" s="95"/>
      <c r="T27" s="31" t="str">
        <f t="shared" si="4"/>
        <v>'NHAN VIEN'!C841</v>
      </c>
      <c r="U27" s="31">
        <f t="shared" si="19"/>
        <v>841</v>
      </c>
      <c r="V27" s="31" t="str">
        <f t="shared" si="5"/>
        <v>='NHAN VIEN'!C841</v>
      </c>
      <c r="W27" s="31" t="str">
        <f t="shared" si="6"/>
        <v>='NHAN VIEN'!f841</v>
      </c>
      <c r="X27" s="31" t="str">
        <f t="shared" si="7"/>
        <v>='NHAN VIEN'!g841</v>
      </c>
      <c r="Y27" s="31" t="str">
        <f t="shared" si="8"/>
        <v>='NHAN VIEN'!h841</v>
      </c>
      <c r="Z27" s="31" t="str">
        <f t="shared" si="9"/>
        <v>='NHAN VIEN'!i841</v>
      </c>
      <c r="AA27" s="31" t="str">
        <f t="shared" si="10"/>
        <v>='NHAN VIEN'!j841</v>
      </c>
      <c r="AB27" s="31" t="str">
        <f t="shared" si="11"/>
        <v>='NHAN VIEN'!k841</v>
      </c>
      <c r="AC27" s="31" t="str">
        <f t="shared" si="12"/>
        <v>='NHAN VIEN'!l841</v>
      </c>
      <c r="AD27" s="31" t="str">
        <f t="shared" si="13"/>
        <v>='NHAN VIEN'!m841</v>
      </c>
      <c r="AE27" s="31" t="str">
        <f t="shared" si="14"/>
        <v>='NHAN VIEN'!n841</v>
      </c>
      <c r="AF27" s="31" t="str">
        <f t="shared" si="15"/>
        <v>='NHAN VIEN'!o841</v>
      </c>
      <c r="AG27" s="31" t="str">
        <f t="shared" si="16"/>
        <v>='NHAN VIEN'!p841</v>
      </c>
      <c r="AH27" s="31" t="str">
        <f t="shared" si="17"/>
        <v>='NHAN VIEN'!q841</v>
      </c>
    </row>
    <row r="28" customHeight="1" spans="1:34">
      <c r="A28" s="91"/>
      <c r="B28" s="92"/>
      <c r="C28" s="93">
        <f t="shared" si="18"/>
        <v>77</v>
      </c>
      <c r="D28" s="2">
        <f>'KHACH HANG'!C879</f>
        <v>0</v>
      </c>
      <c r="E28" s="3">
        <f t="shared" si="3"/>
        <v>0</v>
      </c>
      <c r="F28" s="94">
        <f>'KHACH HANG'!G879</f>
        <v>0</v>
      </c>
      <c r="G28" s="94">
        <f>'KHACH HANG'!H879</f>
        <v>0</v>
      </c>
      <c r="H28" s="94">
        <f>'KHACH HANG'!I879</f>
        <v>0</v>
      </c>
      <c r="I28" s="94">
        <f>'KHACH HANG'!J879</f>
        <v>0</v>
      </c>
      <c r="J28" s="94">
        <f>'KHACH HANG'!K879</f>
        <v>0</v>
      </c>
      <c r="K28" s="94">
        <f>'KHACH HANG'!L879</f>
        <v>0</v>
      </c>
      <c r="L28" s="94">
        <f>'KHACH HANG'!M879</f>
        <v>0</v>
      </c>
      <c r="M28" s="94">
        <f>'KHACH HANG'!N879</f>
        <v>0</v>
      </c>
      <c r="N28" s="94">
        <f>'KHACH HANG'!O879</f>
        <v>0</v>
      </c>
      <c r="O28" s="94">
        <f>'KHACH HANG'!P879</f>
        <v>0</v>
      </c>
      <c r="P28" s="94">
        <f>'KHACH HANG'!Q879</f>
        <v>0</v>
      </c>
      <c r="Q28" s="94">
        <f>'KHACH HANG'!R879</f>
        <v>0</v>
      </c>
      <c r="R28" s="6">
        <f t="shared" si="2"/>
        <v>0</v>
      </c>
      <c r="S28" s="95"/>
      <c r="T28" s="31" t="str">
        <f t="shared" si="4"/>
        <v>'NHAN VIEN'!C879</v>
      </c>
      <c r="U28" s="31">
        <f t="shared" si="19"/>
        <v>879</v>
      </c>
      <c r="V28" s="31" t="str">
        <f t="shared" si="5"/>
        <v>='NHAN VIEN'!C879</v>
      </c>
      <c r="W28" s="31" t="str">
        <f t="shared" si="6"/>
        <v>='NHAN VIEN'!f879</v>
      </c>
      <c r="X28" s="31" t="str">
        <f t="shared" si="7"/>
        <v>='NHAN VIEN'!g879</v>
      </c>
      <c r="Y28" s="31" t="str">
        <f t="shared" si="8"/>
        <v>='NHAN VIEN'!h879</v>
      </c>
      <c r="Z28" s="31" t="str">
        <f t="shared" si="9"/>
        <v>='NHAN VIEN'!i879</v>
      </c>
      <c r="AA28" s="31" t="str">
        <f t="shared" si="10"/>
        <v>='NHAN VIEN'!j879</v>
      </c>
      <c r="AB28" s="31" t="str">
        <f t="shared" si="11"/>
        <v>='NHAN VIEN'!k879</v>
      </c>
      <c r="AC28" s="31" t="str">
        <f t="shared" si="12"/>
        <v>='NHAN VIEN'!l879</v>
      </c>
      <c r="AD28" s="31" t="str">
        <f t="shared" si="13"/>
        <v>='NHAN VIEN'!m879</v>
      </c>
      <c r="AE28" s="31" t="str">
        <f t="shared" si="14"/>
        <v>='NHAN VIEN'!n879</v>
      </c>
      <c r="AF28" s="31" t="str">
        <f t="shared" si="15"/>
        <v>='NHAN VIEN'!o879</v>
      </c>
      <c r="AG28" s="31" t="str">
        <f t="shared" si="16"/>
        <v>='NHAN VIEN'!p879</v>
      </c>
      <c r="AH28" s="31" t="str">
        <f t="shared" si="17"/>
        <v>='NHAN VIEN'!q879</v>
      </c>
    </row>
    <row r="29" customHeight="1" spans="1:34">
      <c r="A29" s="91"/>
      <c r="B29" s="92"/>
      <c r="C29" s="93">
        <f t="shared" si="18"/>
        <v>78</v>
      </c>
      <c r="D29" s="2">
        <f>'KHACH HANG'!C917</f>
        <v>0</v>
      </c>
      <c r="E29" s="3">
        <f t="shared" si="3"/>
        <v>0</v>
      </c>
      <c r="F29" s="94">
        <f>'KHACH HANG'!G917</f>
        <v>0</v>
      </c>
      <c r="G29" s="94">
        <f>'KHACH HANG'!H917</f>
        <v>0</v>
      </c>
      <c r="H29" s="94">
        <f>'KHACH HANG'!I917</f>
        <v>0</v>
      </c>
      <c r="I29" s="94">
        <f>'KHACH HANG'!J917</f>
        <v>0</v>
      </c>
      <c r="J29" s="94">
        <f>'KHACH HANG'!K917</f>
        <v>0</v>
      </c>
      <c r="K29" s="94">
        <f>'KHACH HANG'!L917</f>
        <v>0</v>
      </c>
      <c r="L29" s="94">
        <f>'KHACH HANG'!M917</f>
        <v>0</v>
      </c>
      <c r="M29" s="94">
        <f>'KHACH HANG'!N917</f>
        <v>0</v>
      </c>
      <c r="N29" s="94">
        <f>'KHACH HANG'!O917</f>
        <v>0</v>
      </c>
      <c r="O29" s="94">
        <f>'KHACH HANG'!P917</f>
        <v>0</v>
      </c>
      <c r="P29" s="94">
        <f>'KHACH HANG'!Q917</f>
        <v>0</v>
      </c>
      <c r="Q29" s="94">
        <f>'KHACH HANG'!R917</f>
        <v>0</v>
      </c>
      <c r="R29" s="6">
        <f t="shared" si="2"/>
        <v>0</v>
      </c>
      <c r="S29" s="95"/>
      <c r="T29" s="31" t="str">
        <f t="shared" si="4"/>
        <v>'NHAN VIEN'!C917</v>
      </c>
      <c r="U29" s="31">
        <f t="shared" si="19"/>
        <v>917</v>
      </c>
      <c r="V29" s="31" t="str">
        <f t="shared" si="5"/>
        <v>='NHAN VIEN'!C917</v>
      </c>
      <c r="W29" s="31" t="str">
        <f t="shared" si="6"/>
        <v>='NHAN VIEN'!f917</v>
      </c>
      <c r="X29" s="31" t="str">
        <f t="shared" si="7"/>
        <v>='NHAN VIEN'!g917</v>
      </c>
      <c r="Y29" s="31" t="str">
        <f t="shared" si="8"/>
        <v>='NHAN VIEN'!h917</v>
      </c>
      <c r="Z29" s="31" t="str">
        <f t="shared" si="9"/>
        <v>='NHAN VIEN'!i917</v>
      </c>
      <c r="AA29" s="31" t="str">
        <f t="shared" si="10"/>
        <v>='NHAN VIEN'!j917</v>
      </c>
      <c r="AB29" s="31" t="str">
        <f t="shared" si="11"/>
        <v>='NHAN VIEN'!k917</v>
      </c>
      <c r="AC29" s="31" t="str">
        <f t="shared" si="12"/>
        <v>='NHAN VIEN'!l917</v>
      </c>
      <c r="AD29" s="31" t="str">
        <f t="shared" si="13"/>
        <v>='NHAN VIEN'!m917</v>
      </c>
      <c r="AE29" s="31" t="str">
        <f t="shared" si="14"/>
        <v>='NHAN VIEN'!n917</v>
      </c>
      <c r="AF29" s="31" t="str">
        <f t="shared" si="15"/>
        <v>='NHAN VIEN'!o917</v>
      </c>
      <c r="AG29" s="31" t="str">
        <f t="shared" si="16"/>
        <v>='NHAN VIEN'!p917</v>
      </c>
      <c r="AH29" s="31" t="str">
        <f t="shared" si="17"/>
        <v>='NHAN VIEN'!q917</v>
      </c>
    </row>
    <row r="30" customHeight="1" spans="1:34">
      <c r="A30" s="91"/>
      <c r="B30" s="92"/>
      <c r="C30" s="93">
        <f t="shared" si="18"/>
        <v>79</v>
      </c>
      <c r="D30" s="2">
        <f>'KHACH HANG'!C955</f>
        <v>0</v>
      </c>
      <c r="E30" s="3">
        <f t="shared" si="3"/>
        <v>0</v>
      </c>
      <c r="F30" s="94">
        <f>'KHACH HANG'!G955</f>
        <v>0</v>
      </c>
      <c r="G30" s="94">
        <f>'KHACH HANG'!H955</f>
        <v>0</v>
      </c>
      <c r="H30" s="94">
        <f>'KHACH HANG'!I955</f>
        <v>0</v>
      </c>
      <c r="I30" s="94">
        <f>'KHACH HANG'!J955</f>
        <v>0</v>
      </c>
      <c r="J30" s="94">
        <f>'KHACH HANG'!K955</f>
        <v>0</v>
      </c>
      <c r="K30" s="94">
        <f>'KHACH HANG'!L955</f>
        <v>0</v>
      </c>
      <c r="L30" s="94">
        <f>'KHACH HANG'!M955</f>
        <v>0</v>
      </c>
      <c r="M30" s="94">
        <f>'KHACH HANG'!N955</f>
        <v>0</v>
      </c>
      <c r="N30" s="94">
        <f>'KHACH HANG'!O955</f>
        <v>0</v>
      </c>
      <c r="O30" s="94">
        <f>'KHACH HANG'!P955</f>
        <v>0</v>
      </c>
      <c r="P30" s="94">
        <f>'KHACH HANG'!Q955</f>
        <v>0</v>
      </c>
      <c r="Q30" s="94">
        <f>'KHACH HANG'!R955</f>
        <v>0</v>
      </c>
      <c r="R30" s="6">
        <f t="shared" si="2"/>
        <v>0</v>
      </c>
      <c r="S30" s="95"/>
      <c r="T30" s="31" t="str">
        <f t="shared" si="4"/>
        <v>'NHAN VIEN'!C955</v>
      </c>
      <c r="U30" s="31">
        <f t="shared" si="19"/>
        <v>955</v>
      </c>
      <c r="V30" s="31" t="str">
        <f t="shared" si="5"/>
        <v>='NHAN VIEN'!C955</v>
      </c>
      <c r="W30" s="31" t="str">
        <f t="shared" si="6"/>
        <v>='NHAN VIEN'!f955</v>
      </c>
      <c r="X30" s="31" t="str">
        <f t="shared" si="7"/>
        <v>='NHAN VIEN'!g955</v>
      </c>
      <c r="Y30" s="31" t="str">
        <f t="shared" si="8"/>
        <v>='NHAN VIEN'!h955</v>
      </c>
      <c r="Z30" s="31" t="str">
        <f t="shared" si="9"/>
        <v>='NHAN VIEN'!i955</v>
      </c>
      <c r="AA30" s="31" t="str">
        <f t="shared" si="10"/>
        <v>='NHAN VIEN'!j955</v>
      </c>
      <c r="AB30" s="31" t="str">
        <f t="shared" si="11"/>
        <v>='NHAN VIEN'!k955</v>
      </c>
      <c r="AC30" s="31" t="str">
        <f t="shared" si="12"/>
        <v>='NHAN VIEN'!l955</v>
      </c>
      <c r="AD30" s="31" t="str">
        <f t="shared" si="13"/>
        <v>='NHAN VIEN'!m955</v>
      </c>
      <c r="AE30" s="31" t="str">
        <f t="shared" si="14"/>
        <v>='NHAN VIEN'!n955</v>
      </c>
      <c r="AF30" s="31" t="str">
        <f t="shared" si="15"/>
        <v>='NHAN VIEN'!o955</v>
      </c>
      <c r="AG30" s="31" t="str">
        <f t="shared" si="16"/>
        <v>='NHAN VIEN'!p955</v>
      </c>
      <c r="AH30" s="31" t="str">
        <f t="shared" si="17"/>
        <v>='NHAN VIEN'!q955</v>
      </c>
    </row>
    <row r="31" customHeight="1" spans="1:34">
      <c r="A31" s="91"/>
      <c r="B31" s="92"/>
      <c r="C31" s="93">
        <f t="shared" si="18"/>
        <v>80</v>
      </c>
      <c r="D31" s="2">
        <f>'KHACH HANG'!C993</f>
        <v>0</v>
      </c>
      <c r="E31" s="3">
        <f t="shared" si="3"/>
        <v>0</v>
      </c>
      <c r="F31" s="94">
        <f>'KHACH HANG'!G993</f>
        <v>0</v>
      </c>
      <c r="G31" s="94">
        <f>'KHACH HANG'!H993</f>
        <v>0</v>
      </c>
      <c r="H31" s="94">
        <f>'KHACH HANG'!I993</f>
        <v>0</v>
      </c>
      <c r="I31" s="94">
        <f>'KHACH HANG'!J993</f>
        <v>0</v>
      </c>
      <c r="J31" s="94">
        <f>'KHACH HANG'!K993</f>
        <v>0</v>
      </c>
      <c r="K31" s="94">
        <f>'KHACH HANG'!L993</f>
        <v>0</v>
      </c>
      <c r="L31" s="94">
        <f>'KHACH HANG'!M993</f>
        <v>0</v>
      </c>
      <c r="M31" s="94">
        <f>'KHACH HANG'!N993</f>
        <v>0</v>
      </c>
      <c r="N31" s="94">
        <f>'KHACH HANG'!O993</f>
        <v>0</v>
      </c>
      <c r="O31" s="94">
        <f>'KHACH HANG'!P993</f>
        <v>0</v>
      </c>
      <c r="P31" s="94">
        <f>'KHACH HANG'!Q993</f>
        <v>0</v>
      </c>
      <c r="Q31" s="94">
        <f>'KHACH HANG'!R993</f>
        <v>0</v>
      </c>
      <c r="R31" s="6">
        <f t="shared" si="2"/>
        <v>0</v>
      </c>
      <c r="S31" s="95"/>
      <c r="T31" s="31" t="str">
        <f t="shared" si="4"/>
        <v>'NHAN VIEN'!C993</v>
      </c>
      <c r="U31" s="31">
        <f t="shared" si="19"/>
        <v>993</v>
      </c>
      <c r="V31" s="31" t="str">
        <f t="shared" si="5"/>
        <v>='NHAN VIEN'!C993</v>
      </c>
      <c r="W31" s="31" t="str">
        <f t="shared" si="6"/>
        <v>='NHAN VIEN'!f993</v>
      </c>
      <c r="X31" s="31" t="str">
        <f t="shared" si="7"/>
        <v>='NHAN VIEN'!g993</v>
      </c>
      <c r="Y31" s="31" t="str">
        <f t="shared" si="8"/>
        <v>='NHAN VIEN'!h993</v>
      </c>
      <c r="Z31" s="31" t="str">
        <f t="shared" si="9"/>
        <v>='NHAN VIEN'!i993</v>
      </c>
      <c r="AA31" s="31" t="str">
        <f t="shared" si="10"/>
        <v>='NHAN VIEN'!j993</v>
      </c>
      <c r="AB31" s="31" t="str">
        <f t="shared" si="11"/>
        <v>='NHAN VIEN'!k993</v>
      </c>
      <c r="AC31" s="31" t="str">
        <f t="shared" si="12"/>
        <v>='NHAN VIEN'!l993</v>
      </c>
      <c r="AD31" s="31" t="str">
        <f t="shared" si="13"/>
        <v>='NHAN VIEN'!m993</v>
      </c>
      <c r="AE31" s="31" t="str">
        <f t="shared" si="14"/>
        <v>='NHAN VIEN'!n993</v>
      </c>
      <c r="AF31" s="31" t="str">
        <f t="shared" si="15"/>
        <v>='NHAN VIEN'!o993</v>
      </c>
      <c r="AG31" s="31" t="str">
        <f t="shared" si="16"/>
        <v>='NHAN VIEN'!p993</v>
      </c>
      <c r="AH31" s="31" t="str">
        <f t="shared" si="17"/>
        <v>='NHAN VIEN'!q993</v>
      </c>
    </row>
    <row r="32" customHeight="1" spans="1:34">
      <c r="A32" s="91"/>
      <c r="B32" s="92"/>
      <c r="C32" s="93">
        <f t="shared" si="18"/>
        <v>81</v>
      </c>
      <c r="D32" s="2">
        <f>'KHACH HANG'!C1031</f>
        <v>0</v>
      </c>
      <c r="E32" s="3">
        <f t="shared" si="3"/>
        <v>0</v>
      </c>
      <c r="F32" s="94">
        <f>'KHACH HANG'!G1031</f>
        <v>0</v>
      </c>
      <c r="G32" s="94">
        <f>'KHACH HANG'!H1031</f>
        <v>0</v>
      </c>
      <c r="H32" s="94">
        <f>'KHACH HANG'!I1031</f>
        <v>0</v>
      </c>
      <c r="I32" s="94">
        <f>'KHACH HANG'!J1031</f>
        <v>0</v>
      </c>
      <c r="J32" s="94">
        <f>'KHACH HANG'!K1031</f>
        <v>0</v>
      </c>
      <c r="K32" s="94">
        <f>'KHACH HANG'!L1031</f>
        <v>0</v>
      </c>
      <c r="L32" s="94">
        <f>'KHACH HANG'!M1031</f>
        <v>0</v>
      </c>
      <c r="M32" s="94">
        <f>'KHACH HANG'!N1031</f>
        <v>0</v>
      </c>
      <c r="N32" s="94">
        <f>'KHACH HANG'!O1031</f>
        <v>0</v>
      </c>
      <c r="O32" s="94">
        <f>'KHACH HANG'!P1031</f>
        <v>0</v>
      </c>
      <c r="P32" s="94">
        <f>'KHACH HANG'!Q1031</f>
        <v>0</v>
      </c>
      <c r="Q32" s="94">
        <f>'KHACH HANG'!R1031</f>
        <v>0</v>
      </c>
      <c r="R32" s="6">
        <f t="shared" si="2"/>
        <v>0</v>
      </c>
      <c r="S32" s="95"/>
      <c r="T32" s="31" t="str">
        <f t="shared" si="4"/>
        <v>'NHAN VIEN'!C1031</v>
      </c>
      <c r="U32" s="31">
        <f t="shared" si="19"/>
        <v>1031</v>
      </c>
      <c r="V32" s="31" t="str">
        <f t="shared" si="5"/>
        <v>='NHAN VIEN'!C1031</v>
      </c>
      <c r="W32" s="31" t="str">
        <f t="shared" si="6"/>
        <v>='NHAN VIEN'!f1031</v>
      </c>
      <c r="X32" s="31" t="str">
        <f t="shared" si="7"/>
        <v>='NHAN VIEN'!g1031</v>
      </c>
      <c r="Y32" s="31" t="str">
        <f t="shared" si="8"/>
        <v>='NHAN VIEN'!h1031</v>
      </c>
      <c r="Z32" s="31" t="str">
        <f t="shared" si="9"/>
        <v>='NHAN VIEN'!i1031</v>
      </c>
      <c r="AA32" s="31" t="str">
        <f t="shared" si="10"/>
        <v>='NHAN VIEN'!j1031</v>
      </c>
      <c r="AB32" s="31" t="str">
        <f t="shared" si="11"/>
        <v>='NHAN VIEN'!k1031</v>
      </c>
      <c r="AC32" s="31" t="str">
        <f t="shared" si="12"/>
        <v>='NHAN VIEN'!l1031</v>
      </c>
      <c r="AD32" s="31" t="str">
        <f t="shared" si="13"/>
        <v>='NHAN VIEN'!m1031</v>
      </c>
      <c r="AE32" s="31" t="str">
        <f t="shared" si="14"/>
        <v>='NHAN VIEN'!n1031</v>
      </c>
      <c r="AF32" s="31" t="str">
        <f t="shared" si="15"/>
        <v>='NHAN VIEN'!o1031</v>
      </c>
      <c r="AG32" s="31" t="str">
        <f t="shared" si="16"/>
        <v>='NHAN VIEN'!p1031</v>
      </c>
      <c r="AH32" s="31" t="str">
        <f t="shared" si="17"/>
        <v>='NHAN VIEN'!q1031</v>
      </c>
    </row>
    <row r="33" customHeight="1" spans="1:34">
      <c r="A33" s="91"/>
      <c r="B33" s="92"/>
      <c r="C33" s="93">
        <f t="shared" si="18"/>
        <v>82</v>
      </c>
      <c r="D33" s="2">
        <f>'KHACH HANG'!C1069</f>
        <v>0</v>
      </c>
      <c r="E33" s="3">
        <f t="shared" si="3"/>
        <v>0</v>
      </c>
      <c r="F33" s="94">
        <f>'KHACH HANG'!G1069</f>
        <v>0</v>
      </c>
      <c r="G33" s="94">
        <f>'KHACH HANG'!H1069</f>
        <v>0</v>
      </c>
      <c r="H33" s="94">
        <f>'KHACH HANG'!I1069</f>
        <v>0</v>
      </c>
      <c r="I33" s="94">
        <f>'KHACH HANG'!J1069</f>
        <v>0</v>
      </c>
      <c r="J33" s="94">
        <f>'KHACH HANG'!K1069</f>
        <v>0</v>
      </c>
      <c r="K33" s="94">
        <f>'KHACH HANG'!L1069</f>
        <v>0</v>
      </c>
      <c r="L33" s="94">
        <f>'KHACH HANG'!M1069</f>
        <v>0</v>
      </c>
      <c r="M33" s="94">
        <f>'KHACH HANG'!N1069</f>
        <v>0</v>
      </c>
      <c r="N33" s="94">
        <f>'KHACH HANG'!O1069</f>
        <v>0</v>
      </c>
      <c r="O33" s="94">
        <f>'KHACH HANG'!P1069</f>
        <v>0</v>
      </c>
      <c r="P33" s="94">
        <f>'KHACH HANG'!Q1069</f>
        <v>0</v>
      </c>
      <c r="Q33" s="94">
        <f>'KHACH HANG'!R1069</f>
        <v>0</v>
      </c>
      <c r="R33" s="6">
        <f t="shared" si="2"/>
        <v>0</v>
      </c>
      <c r="S33" s="95"/>
      <c r="T33" s="31" t="str">
        <f t="shared" si="4"/>
        <v>'NHAN VIEN'!C1069</v>
      </c>
      <c r="U33" s="31">
        <f t="shared" si="19"/>
        <v>1069</v>
      </c>
      <c r="V33" s="31" t="str">
        <f t="shared" si="5"/>
        <v>='NHAN VIEN'!C1069</v>
      </c>
      <c r="W33" s="31" t="str">
        <f t="shared" si="6"/>
        <v>='NHAN VIEN'!f1069</v>
      </c>
      <c r="X33" s="31" t="str">
        <f t="shared" si="7"/>
        <v>='NHAN VIEN'!g1069</v>
      </c>
      <c r="Y33" s="31" t="str">
        <f t="shared" si="8"/>
        <v>='NHAN VIEN'!h1069</v>
      </c>
      <c r="Z33" s="31" t="str">
        <f t="shared" si="9"/>
        <v>='NHAN VIEN'!i1069</v>
      </c>
      <c r="AA33" s="31" t="str">
        <f t="shared" si="10"/>
        <v>='NHAN VIEN'!j1069</v>
      </c>
      <c r="AB33" s="31" t="str">
        <f t="shared" si="11"/>
        <v>='NHAN VIEN'!k1069</v>
      </c>
      <c r="AC33" s="31" t="str">
        <f t="shared" si="12"/>
        <v>='NHAN VIEN'!l1069</v>
      </c>
      <c r="AD33" s="31" t="str">
        <f t="shared" si="13"/>
        <v>='NHAN VIEN'!m1069</v>
      </c>
      <c r="AE33" s="31" t="str">
        <f t="shared" si="14"/>
        <v>='NHAN VIEN'!n1069</v>
      </c>
      <c r="AF33" s="31" t="str">
        <f t="shared" si="15"/>
        <v>='NHAN VIEN'!o1069</v>
      </c>
      <c r="AG33" s="31" t="str">
        <f t="shared" si="16"/>
        <v>='NHAN VIEN'!p1069</v>
      </c>
      <c r="AH33" s="31" t="str">
        <f t="shared" si="17"/>
        <v>='NHAN VIEN'!q1069</v>
      </c>
    </row>
    <row r="34" customHeight="1" spans="1:34">
      <c r="A34" s="91"/>
      <c r="B34" s="92"/>
      <c r="C34" s="93">
        <f t="shared" si="18"/>
        <v>83</v>
      </c>
      <c r="D34" s="2">
        <f>'KHACH HANG'!C1107</f>
        <v>0</v>
      </c>
      <c r="E34" s="3">
        <f t="shared" si="3"/>
        <v>0</v>
      </c>
      <c r="F34" s="94">
        <f>'KHACH HANG'!G1107</f>
        <v>0</v>
      </c>
      <c r="G34" s="94">
        <f>'KHACH HANG'!H1107</f>
        <v>0</v>
      </c>
      <c r="H34" s="94">
        <f>'KHACH HANG'!I1107</f>
        <v>0</v>
      </c>
      <c r="I34" s="94">
        <f>'KHACH HANG'!J1107</f>
        <v>0</v>
      </c>
      <c r="J34" s="94">
        <f>'KHACH HANG'!K1107</f>
        <v>0</v>
      </c>
      <c r="K34" s="94">
        <f>'KHACH HANG'!L1107</f>
        <v>0</v>
      </c>
      <c r="L34" s="94">
        <f>'KHACH HANG'!M1107</f>
        <v>0</v>
      </c>
      <c r="M34" s="94">
        <f>'KHACH HANG'!N1107</f>
        <v>0</v>
      </c>
      <c r="N34" s="94">
        <f>'KHACH HANG'!O1107</f>
        <v>0</v>
      </c>
      <c r="O34" s="94">
        <f>'KHACH HANG'!P1107</f>
        <v>0</v>
      </c>
      <c r="P34" s="94">
        <f>'KHACH HANG'!Q1107</f>
        <v>0</v>
      </c>
      <c r="Q34" s="94">
        <f>'KHACH HANG'!R1107</f>
        <v>0</v>
      </c>
      <c r="R34" s="6">
        <f t="shared" si="2"/>
        <v>0</v>
      </c>
      <c r="S34" s="95"/>
      <c r="T34" s="31" t="str">
        <f t="shared" si="4"/>
        <v>'NHAN VIEN'!C1107</v>
      </c>
      <c r="U34" s="31">
        <f t="shared" si="19"/>
        <v>1107</v>
      </c>
      <c r="V34" s="31" t="str">
        <f t="shared" si="5"/>
        <v>='NHAN VIEN'!C1107</v>
      </c>
      <c r="W34" s="31" t="str">
        <f t="shared" si="6"/>
        <v>='NHAN VIEN'!f1107</v>
      </c>
      <c r="X34" s="31" t="str">
        <f t="shared" si="7"/>
        <v>='NHAN VIEN'!g1107</v>
      </c>
      <c r="Y34" s="31" t="str">
        <f t="shared" si="8"/>
        <v>='NHAN VIEN'!h1107</v>
      </c>
      <c r="Z34" s="31" t="str">
        <f t="shared" si="9"/>
        <v>='NHAN VIEN'!i1107</v>
      </c>
      <c r="AA34" s="31" t="str">
        <f t="shared" si="10"/>
        <v>='NHAN VIEN'!j1107</v>
      </c>
      <c r="AB34" s="31" t="str">
        <f t="shared" si="11"/>
        <v>='NHAN VIEN'!k1107</v>
      </c>
      <c r="AC34" s="31" t="str">
        <f t="shared" si="12"/>
        <v>='NHAN VIEN'!l1107</v>
      </c>
      <c r="AD34" s="31" t="str">
        <f t="shared" si="13"/>
        <v>='NHAN VIEN'!m1107</v>
      </c>
      <c r="AE34" s="31" t="str">
        <f t="shared" si="14"/>
        <v>='NHAN VIEN'!n1107</v>
      </c>
      <c r="AF34" s="31" t="str">
        <f t="shared" si="15"/>
        <v>='NHAN VIEN'!o1107</v>
      </c>
      <c r="AG34" s="31" t="str">
        <f t="shared" si="16"/>
        <v>='NHAN VIEN'!p1107</v>
      </c>
      <c r="AH34" s="31" t="str">
        <f t="shared" si="17"/>
        <v>='NHAN VIEN'!q1107</v>
      </c>
    </row>
    <row r="35" customHeight="1" spans="1:34">
      <c r="A35" s="91"/>
      <c r="B35" s="92"/>
      <c r="C35" s="93">
        <f t="shared" si="18"/>
        <v>84</v>
      </c>
      <c r="D35" s="2">
        <f>'KHACH HANG'!C1145</f>
        <v>0</v>
      </c>
      <c r="E35" s="3">
        <f t="shared" si="3"/>
        <v>0</v>
      </c>
      <c r="F35" s="94">
        <f>'KHACH HANG'!G1145</f>
        <v>0</v>
      </c>
      <c r="G35" s="94">
        <f>'KHACH HANG'!H1145</f>
        <v>0</v>
      </c>
      <c r="H35" s="94">
        <f>'KHACH HANG'!I1145</f>
        <v>0</v>
      </c>
      <c r="I35" s="94">
        <f>'KHACH HANG'!J1145</f>
        <v>0</v>
      </c>
      <c r="J35" s="94">
        <f>'KHACH HANG'!K1145</f>
        <v>0</v>
      </c>
      <c r="K35" s="94">
        <f>'KHACH HANG'!L1145</f>
        <v>0</v>
      </c>
      <c r="L35" s="94">
        <f>'KHACH HANG'!M1145</f>
        <v>0</v>
      </c>
      <c r="M35" s="94">
        <f>'KHACH HANG'!N1145</f>
        <v>0</v>
      </c>
      <c r="N35" s="94">
        <f>'KHACH HANG'!O1145</f>
        <v>0</v>
      </c>
      <c r="O35" s="94">
        <f>'KHACH HANG'!P1145</f>
        <v>0</v>
      </c>
      <c r="P35" s="94">
        <f>'KHACH HANG'!Q1145</f>
        <v>0</v>
      </c>
      <c r="Q35" s="94">
        <f>'KHACH HANG'!R1145</f>
        <v>0</v>
      </c>
      <c r="R35" s="6">
        <f t="shared" si="2"/>
        <v>0</v>
      </c>
      <c r="S35" s="95"/>
      <c r="T35" s="31" t="str">
        <f t="shared" si="4"/>
        <v>'NHAN VIEN'!C1145</v>
      </c>
      <c r="U35" s="31">
        <f t="shared" si="19"/>
        <v>1145</v>
      </c>
      <c r="V35" s="31" t="str">
        <f t="shared" si="5"/>
        <v>='NHAN VIEN'!C1145</v>
      </c>
      <c r="W35" s="31" t="str">
        <f t="shared" si="6"/>
        <v>='NHAN VIEN'!f1145</v>
      </c>
      <c r="X35" s="31" t="str">
        <f t="shared" si="7"/>
        <v>='NHAN VIEN'!g1145</v>
      </c>
      <c r="Y35" s="31" t="str">
        <f t="shared" si="8"/>
        <v>='NHAN VIEN'!h1145</v>
      </c>
      <c r="Z35" s="31" t="str">
        <f t="shared" si="9"/>
        <v>='NHAN VIEN'!i1145</v>
      </c>
      <c r="AA35" s="31" t="str">
        <f t="shared" si="10"/>
        <v>='NHAN VIEN'!j1145</v>
      </c>
      <c r="AB35" s="31" t="str">
        <f t="shared" si="11"/>
        <v>='NHAN VIEN'!k1145</v>
      </c>
      <c r="AC35" s="31" t="str">
        <f t="shared" si="12"/>
        <v>='NHAN VIEN'!l1145</v>
      </c>
      <c r="AD35" s="31" t="str">
        <f t="shared" si="13"/>
        <v>='NHAN VIEN'!m1145</v>
      </c>
      <c r="AE35" s="31" t="str">
        <f t="shared" si="14"/>
        <v>='NHAN VIEN'!n1145</v>
      </c>
      <c r="AF35" s="31" t="str">
        <f t="shared" si="15"/>
        <v>='NHAN VIEN'!o1145</v>
      </c>
      <c r="AG35" s="31" t="str">
        <f t="shared" si="16"/>
        <v>='NHAN VIEN'!p1145</v>
      </c>
      <c r="AH35" s="31" t="str">
        <f t="shared" si="17"/>
        <v>='NHAN VIEN'!q1145</v>
      </c>
    </row>
    <row r="36" customHeight="1" spans="1:34">
      <c r="A36" s="91"/>
      <c r="B36" s="92"/>
      <c r="C36" s="93">
        <f t="shared" si="18"/>
        <v>85</v>
      </c>
      <c r="D36" s="2">
        <f>'KHACH HANG'!C1183</f>
        <v>0</v>
      </c>
      <c r="E36" s="3">
        <f t="shared" si="3"/>
        <v>0</v>
      </c>
      <c r="F36" s="94">
        <f>'KHACH HANG'!G1183</f>
        <v>0</v>
      </c>
      <c r="G36" s="94">
        <f>'KHACH HANG'!H1183</f>
        <v>0</v>
      </c>
      <c r="H36" s="94">
        <f>'KHACH HANG'!I1183</f>
        <v>0</v>
      </c>
      <c r="I36" s="94">
        <f>'KHACH HANG'!J1183</f>
        <v>0</v>
      </c>
      <c r="J36" s="94">
        <f>'KHACH HANG'!K1183</f>
        <v>0</v>
      </c>
      <c r="K36" s="94">
        <f>'KHACH HANG'!L1183</f>
        <v>0</v>
      </c>
      <c r="L36" s="94">
        <f>'KHACH HANG'!M1183</f>
        <v>0</v>
      </c>
      <c r="M36" s="94">
        <f>'KHACH HANG'!N1183</f>
        <v>0</v>
      </c>
      <c r="N36" s="94">
        <f>'KHACH HANG'!O1183</f>
        <v>0</v>
      </c>
      <c r="O36" s="94">
        <f>'KHACH HANG'!P1183</f>
        <v>0</v>
      </c>
      <c r="P36" s="94">
        <f>'KHACH HANG'!Q1183</f>
        <v>0</v>
      </c>
      <c r="Q36" s="94">
        <f>'KHACH HANG'!R1183</f>
        <v>0</v>
      </c>
      <c r="R36" s="6">
        <f t="shared" si="2"/>
        <v>0</v>
      </c>
      <c r="S36" s="95"/>
      <c r="T36" s="31" t="str">
        <f t="shared" si="4"/>
        <v>'NHAN VIEN'!C1183</v>
      </c>
      <c r="U36" s="31">
        <f t="shared" si="19"/>
        <v>1183</v>
      </c>
      <c r="V36" s="31" t="str">
        <f t="shared" si="5"/>
        <v>='NHAN VIEN'!C1183</v>
      </c>
      <c r="W36" s="31" t="str">
        <f t="shared" si="6"/>
        <v>='NHAN VIEN'!f1183</v>
      </c>
      <c r="X36" s="31" t="str">
        <f t="shared" si="7"/>
        <v>='NHAN VIEN'!g1183</v>
      </c>
      <c r="Y36" s="31" t="str">
        <f t="shared" si="8"/>
        <v>='NHAN VIEN'!h1183</v>
      </c>
      <c r="Z36" s="31" t="str">
        <f t="shared" si="9"/>
        <v>='NHAN VIEN'!i1183</v>
      </c>
      <c r="AA36" s="31" t="str">
        <f t="shared" si="10"/>
        <v>='NHAN VIEN'!j1183</v>
      </c>
      <c r="AB36" s="31" t="str">
        <f t="shared" si="11"/>
        <v>='NHAN VIEN'!k1183</v>
      </c>
      <c r="AC36" s="31" t="str">
        <f t="shared" si="12"/>
        <v>='NHAN VIEN'!l1183</v>
      </c>
      <c r="AD36" s="31" t="str">
        <f t="shared" si="13"/>
        <v>='NHAN VIEN'!m1183</v>
      </c>
      <c r="AE36" s="31" t="str">
        <f t="shared" si="14"/>
        <v>='NHAN VIEN'!n1183</v>
      </c>
      <c r="AF36" s="31" t="str">
        <f t="shared" si="15"/>
        <v>='NHAN VIEN'!o1183</v>
      </c>
      <c r="AG36" s="31" t="str">
        <f t="shared" si="16"/>
        <v>='NHAN VIEN'!p1183</v>
      </c>
      <c r="AH36" s="31" t="str">
        <f t="shared" si="17"/>
        <v>='NHAN VIEN'!q1183</v>
      </c>
    </row>
    <row r="37" customHeight="1" spans="1:34">
      <c r="A37" s="91"/>
      <c r="B37" s="92"/>
      <c r="C37" s="93">
        <f t="shared" si="18"/>
        <v>86</v>
      </c>
      <c r="D37" s="2">
        <f>'KHACH HANG'!C1221</f>
        <v>0</v>
      </c>
      <c r="E37" s="3">
        <f t="shared" si="3"/>
        <v>0</v>
      </c>
      <c r="F37" s="94">
        <f>'KHACH HANG'!G1221</f>
        <v>0</v>
      </c>
      <c r="G37" s="94">
        <f>'KHACH HANG'!H1221</f>
        <v>0</v>
      </c>
      <c r="H37" s="94">
        <f>'KHACH HANG'!I1221</f>
        <v>0</v>
      </c>
      <c r="I37" s="94">
        <f>'KHACH HANG'!J1221</f>
        <v>0</v>
      </c>
      <c r="J37" s="94">
        <f>'KHACH HANG'!K1221</f>
        <v>0</v>
      </c>
      <c r="K37" s="94">
        <f>'KHACH HANG'!L1221</f>
        <v>0</v>
      </c>
      <c r="L37" s="94">
        <f>'KHACH HANG'!M1221</f>
        <v>0</v>
      </c>
      <c r="M37" s="94">
        <f>'KHACH HANG'!N1221</f>
        <v>0</v>
      </c>
      <c r="N37" s="94">
        <f>'KHACH HANG'!O1221</f>
        <v>0</v>
      </c>
      <c r="O37" s="94">
        <f>'KHACH HANG'!P1221</f>
        <v>0</v>
      </c>
      <c r="P37" s="94">
        <f>'KHACH HANG'!Q1221</f>
        <v>0</v>
      </c>
      <c r="Q37" s="94">
        <f>'KHACH HANG'!R1221</f>
        <v>0</v>
      </c>
      <c r="R37" s="6">
        <f t="shared" si="2"/>
        <v>0</v>
      </c>
      <c r="S37" s="95"/>
      <c r="T37" s="31" t="str">
        <f t="shared" si="4"/>
        <v>'NHAN VIEN'!C1221</v>
      </c>
      <c r="U37" s="31">
        <f t="shared" si="19"/>
        <v>1221</v>
      </c>
      <c r="V37" s="31" t="str">
        <f t="shared" si="5"/>
        <v>='NHAN VIEN'!C1221</v>
      </c>
      <c r="W37" s="31" t="str">
        <f t="shared" si="6"/>
        <v>='NHAN VIEN'!f1221</v>
      </c>
      <c r="X37" s="31" t="str">
        <f t="shared" si="7"/>
        <v>='NHAN VIEN'!g1221</v>
      </c>
      <c r="Y37" s="31" t="str">
        <f t="shared" si="8"/>
        <v>='NHAN VIEN'!h1221</v>
      </c>
      <c r="Z37" s="31" t="str">
        <f t="shared" si="9"/>
        <v>='NHAN VIEN'!i1221</v>
      </c>
      <c r="AA37" s="31" t="str">
        <f t="shared" si="10"/>
        <v>='NHAN VIEN'!j1221</v>
      </c>
      <c r="AB37" s="31" t="str">
        <f t="shared" si="11"/>
        <v>='NHAN VIEN'!k1221</v>
      </c>
      <c r="AC37" s="31" t="str">
        <f t="shared" si="12"/>
        <v>='NHAN VIEN'!l1221</v>
      </c>
      <c r="AD37" s="31" t="str">
        <f t="shared" si="13"/>
        <v>='NHAN VIEN'!m1221</v>
      </c>
      <c r="AE37" s="31" t="str">
        <f t="shared" si="14"/>
        <v>='NHAN VIEN'!n1221</v>
      </c>
      <c r="AF37" s="31" t="str">
        <f t="shared" si="15"/>
        <v>='NHAN VIEN'!o1221</v>
      </c>
      <c r="AG37" s="31" t="str">
        <f t="shared" si="16"/>
        <v>='NHAN VIEN'!p1221</v>
      </c>
      <c r="AH37" s="31" t="str">
        <f t="shared" si="17"/>
        <v>='NHAN VIEN'!q1221</v>
      </c>
    </row>
    <row r="38" customHeight="1" spans="1:34">
      <c r="A38" s="91"/>
      <c r="B38" s="92"/>
      <c r="C38" s="93">
        <f t="shared" si="18"/>
        <v>87</v>
      </c>
      <c r="D38" s="2">
        <f>'KHACH HANG'!C1259</f>
        <v>0</v>
      </c>
      <c r="E38" s="3">
        <f t="shared" si="3"/>
        <v>0</v>
      </c>
      <c r="F38" s="94">
        <f>'KHACH HANG'!G1259</f>
        <v>0</v>
      </c>
      <c r="G38" s="94">
        <f>'KHACH HANG'!H1259</f>
        <v>0</v>
      </c>
      <c r="H38" s="94">
        <f>'KHACH HANG'!I1259</f>
        <v>0</v>
      </c>
      <c r="I38" s="94">
        <f>'KHACH HANG'!J1259</f>
        <v>0</v>
      </c>
      <c r="J38" s="94">
        <f>'KHACH HANG'!K1259</f>
        <v>0</v>
      </c>
      <c r="K38" s="94">
        <f>'KHACH HANG'!L1259</f>
        <v>0</v>
      </c>
      <c r="L38" s="94">
        <f>'KHACH HANG'!M1259</f>
        <v>0</v>
      </c>
      <c r="M38" s="94">
        <f>'KHACH HANG'!N1259</f>
        <v>0</v>
      </c>
      <c r="N38" s="94">
        <f>'KHACH HANG'!O1259</f>
        <v>0</v>
      </c>
      <c r="O38" s="94">
        <f>'KHACH HANG'!P1259</f>
        <v>0</v>
      </c>
      <c r="P38" s="94">
        <f>'KHACH HANG'!Q1259</f>
        <v>0</v>
      </c>
      <c r="Q38" s="94">
        <f>'KHACH HANG'!R1259</f>
        <v>0</v>
      </c>
      <c r="R38" s="6">
        <f t="shared" si="2"/>
        <v>0</v>
      </c>
      <c r="S38" s="95"/>
      <c r="T38" s="31" t="str">
        <f t="shared" si="4"/>
        <v>'NHAN VIEN'!C1259</v>
      </c>
      <c r="U38" s="31">
        <f t="shared" si="19"/>
        <v>1259</v>
      </c>
      <c r="V38" s="31" t="str">
        <f t="shared" si="5"/>
        <v>='NHAN VIEN'!C1259</v>
      </c>
      <c r="W38" s="31" t="str">
        <f t="shared" si="6"/>
        <v>='NHAN VIEN'!f1259</v>
      </c>
      <c r="X38" s="31" t="str">
        <f t="shared" si="7"/>
        <v>='NHAN VIEN'!g1259</v>
      </c>
      <c r="Y38" s="31" t="str">
        <f t="shared" si="8"/>
        <v>='NHAN VIEN'!h1259</v>
      </c>
      <c r="Z38" s="31" t="str">
        <f t="shared" si="9"/>
        <v>='NHAN VIEN'!i1259</v>
      </c>
      <c r="AA38" s="31" t="str">
        <f t="shared" si="10"/>
        <v>='NHAN VIEN'!j1259</v>
      </c>
      <c r="AB38" s="31" t="str">
        <f t="shared" si="11"/>
        <v>='NHAN VIEN'!k1259</v>
      </c>
      <c r="AC38" s="31" t="str">
        <f t="shared" si="12"/>
        <v>='NHAN VIEN'!l1259</v>
      </c>
      <c r="AD38" s="31" t="str">
        <f t="shared" si="13"/>
        <v>='NHAN VIEN'!m1259</v>
      </c>
      <c r="AE38" s="31" t="str">
        <f t="shared" si="14"/>
        <v>='NHAN VIEN'!n1259</v>
      </c>
      <c r="AF38" s="31" t="str">
        <f t="shared" si="15"/>
        <v>='NHAN VIEN'!o1259</v>
      </c>
      <c r="AG38" s="31" t="str">
        <f t="shared" si="16"/>
        <v>='NHAN VIEN'!p1259</v>
      </c>
      <c r="AH38" s="31" t="str">
        <f t="shared" si="17"/>
        <v>='NHAN VIEN'!q1259</v>
      </c>
    </row>
    <row r="39" customHeight="1" spans="1:34">
      <c r="A39" s="91"/>
      <c r="B39" s="92"/>
      <c r="C39" s="93">
        <f t="shared" si="18"/>
        <v>88</v>
      </c>
      <c r="D39" s="2">
        <f>'KHACH HANG'!C1297</f>
        <v>0</v>
      </c>
      <c r="E39" s="3">
        <f t="shared" si="3"/>
        <v>0</v>
      </c>
      <c r="F39" s="94">
        <f>'KHACH HANG'!G1297</f>
        <v>0</v>
      </c>
      <c r="G39" s="94">
        <f>'KHACH HANG'!H1297</f>
        <v>0</v>
      </c>
      <c r="H39" s="94">
        <f>'KHACH HANG'!I1297</f>
        <v>0</v>
      </c>
      <c r="I39" s="94">
        <f>'KHACH HANG'!J1297</f>
        <v>0</v>
      </c>
      <c r="J39" s="94">
        <f>'KHACH HANG'!K1297</f>
        <v>0</v>
      </c>
      <c r="K39" s="94">
        <f>'KHACH HANG'!L1297</f>
        <v>0</v>
      </c>
      <c r="L39" s="94">
        <f>'KHACH HANG'!M1297</f>
        <v>0</v>
      </c>
      <c r="M39" s="94">
        <f>'KHACH HANG'!N1297</f>
        <v>0</v>
      </c>
      <c r="N39" s="94">
        <f>'KHACH HANG'!O1297</f>
        <v>0</v>
      </c>
      <c r="O39" s="94">
        <f>'KHACH HANG'!P1297</f>
        <v>0</v>
      </c>
      <c r="P39" s="94">
        <f>'KHACH HANG'!Q1297</f>
        <v>0</v>
      </c>
      <c r="Q39" s="94">
        <f>'KHACH HANG'!R1297</f>
        <v>0</v>
      </c>
      <c r="R39" s="6">
        <f t="shared" si="2"/>
        <v>0</v>
      </c>
      <c r="S39" s="95"/>
      <c r="T39" s="31" t="str">
        <f t="shared" si="4"/>
        <v>'NHAN VIEN'!C1297</v>
      </c>
      <c r="U39" s="31">
        <f t="shared" si="19"/>
        <v>1297</v>
      </c>
      <c r="V39" s="31" t="str">
        <f t="shared" si="5"/>
        <v>='NHAN VIEN'!C1297</v>
      </c>
      <c r="W39" s="31" t="str">
        <f t="shared" si="6"/>
        <v>='NHAN VIEN'!f1297</v>
      </c>
      <c r="X39" s="31" t="str">
        <f t="shared" si="7"/>
        <v>='NHAN VIEN'!g1297</v>
      </c>
      <c r="Y39" s="31" t="str">
        <f t="shared" si="8"/>
        <v>='NHAN VIEN'!h1297</v>
      </c>
      <c r="Z39" s="31" t="str">
        <f t="shared" si="9"/>
        <v>='NHAN VIEN'!i1297</v>
      </c>
      <c r="AA39" s="31" t="str">
        <f t="shared" si="10"/>
        <v>='NHAN VIEN'!j1297</v>
      </c>
      <c r="AB39" s="31" t="str">
        <f t="shared" si="11"/>
        <v>='NHAN VIEN'!k1297</v>
      </c>
      <c r="AC39" s="31" t="str">
        <f t="shared" si="12"/>
        <v>='NHAN VIEN'!l1297</v>
      </c>
      <c r="AD39" s="31" t="str">
        <f t="shared" si="13"/>
        <v>='NHAN VIEN'!m1297</v>
      </c>
      <c r="AE39" s="31" t="str">
        <f t="shared" si="14"/>
        <v>='NHAN VIEN'!n1297</v>
      </c>
      <c r="AF39" s="31" t="str">
        <f t="shared" si="15"/>
        <v>='NHAN VIEN'!o1297</v>
      </c>
      <c r="AG39" s="31" t="str">
        <f t="shared" si="16"/>
        <v>='NHAN VIEN'!p1297</v>
      </c>
      <c r="AH39" s="31" t="str">
        <f t="shared" si="17"/>
        <v>='NHAN VIEN'!q1297</v>
      </c>
    </row>
    <row r="40" customHeight="1" spans="1:34">
      <c r="A40" s="91"/>
      <c r="B40" s="92"/>
      <c r="C40" s="93">
        <f t="shared" si="18"/>
        <v>89</v>
      </c>
      <c r="D40" s="2">
        <f>'KHACH HANG'!C1335</f>
        <v>0</v>
      </c>
      <c r="E40" s="3">
        <f t="shared" si="3"/>
        <v>0</v>
      </c>
      <c r="F40" s="94">
        <f>'KHACH HANG'!G1335</f>
        <v>0</v>
      </c>
      <c r="G40" s="94">
        <f>'KHACH HANG'!H1335</f>
        <v>0</v>
      </c>
      <c r="H40" s="94">
        <f>'KHACH HANG'!I1335</f>
        <v>0</v>
      </c>
      <c r="I40" s="94">
        <f>'KHACH HANG'!J1335</f>
        <v>0</v>
      </c>
      <c r="J40" s="94">
        <f>'KHACH HANG'!K1335</f>
        <v>0</v>
      </c>
      <c r="K40" s="94">
        <f>'KHACH HANG'!L1335</f>
        <v>0</v>
      </c>
      <c r="L40" s="94">
        <f>'KHACH HANG'!M1335</f>
        <v>0</v>
      </c>
      <c r="M40" s="94">
        <f>'KHACH HANG'!N1335</f>
        <v>0</v>
      </c>
      <c r="N40" s="94">
        <f>'KHACH HANG'!O1335</f>
        <v>0</v>
      </c>
      <c r="O40" s="94">
        <f>'KHACH HANG'!P1335</f>
        <v>0</v>
      </c>
      <c r="P40" s="94">
        <f>'KHACH HANG'!Q1335</f>
        <v>0</v>
      </c>
      <c r="Q40" s="94">
        <f>'KHACH HANG'!R1335</f>
        <v>0</v>
      </c>
      <c r="R40" s="6">
        <f t="shared" si="2"/>
        <v>0</v>
      </c>
      <c r="S40" s="95"/>
      <c r="T40" s="31" t="str">
        <f t="shared" si="4"/>
        <v>'NHAN VIEN'!C1335</v>
      </c>
      <c r="U40" s="31">
        <f t="shared" si="19"/>
        <v>1335</v>
      </c>
      <c r="V40" s="31" t="str">
        <f t="shared" si="5"/>
        <v>='NHAN VIEN'!C1335</v>
      </c>
      <c r="W40" s="31" t="str">
        <f t="shared" si="6"/>
        <v>='NHAN VIEN'!f1335</v>
      </c>
      <c r="X40" s="31" t="str">
        <f t="shared" si="7"/>
        <v>='NHAN VIEN'!g1335</v>
      </c>
      <c r="Y40" s="31" t="str">
        <f t="shared" si="8"/>
        <v>='NHAN VIEN'!h1335</v>
      </c>
      <c r="Z40" s="31" t="str">
        <f t="shared" si="9"/>
        <v>='NHAN VIEN'!i1335</v>
      </c>
      <c r="AA40" s="31" t="str">
        <f t="shared" si="10"/>
        <v>='NHAN VIEN'!j1335</v>
      </c>
      <c r="AB40" s="31" t="str">
        <f t="shared" si="11"/>
        <v>='NHAN VIEN'!k1335</v>
      </c>
      <c r="AC40" s="31" t="str">
        <f t="shared" si="12"/>
        <v>='NHAN VIEN'!l1335</v>
      </c>
      <c r="AD40" s="31" t="str">
        <f t="shared" si="13"/>
        <v>='NHAN VIEN'!m1335</v>
      </c>
      <c r="AE40" s="31" t="str">
        <f t="shared" si="14"/>
        <v>='NHAN VIEN'!n1335</v>
      </c>
      <c r="AF40" s="31" t="str">
        <f t="shared" si="15"/>
        <v>='NHAN VIEN'!o1335</v>
      </c>
      <c r="AG40" s="31" t="str">
        <f t="shared" si="16"/>
        <v>='NHAN VIEN'!p1335</v>
      </c>
      <c r="AH40" s="31" t="str">
        <f t="shared" si="17"/>
        <v>='NHAN VIEN'!q1335</v>
      </c>
    </row>
    <row r="41" customHeight="1" spans="1:34">
      <c r="A41" s="91"/>
      <c r="B41" s="92"/>
      <c r="C41" s="93">
        <f t="shared" si="18"/>
        <v>90</v>
      </c>
      <c r="D41" s="2">
        <f>'KHACH HANG'!C1373</f>
        <v>0</v>
      </c>
      <c r="E41" s="3">
        <f t="shared" si="3"/>
        <v>0</v>
      </c>
      <c r="F41" s="94">
        <f>'KHACH HANG'!G1373</f>
        <v>0</v>
      </c>
      <c r="G41" s="94">
        <f>'KHACH HANG'!H1373</f>
        <v>0</v>
      </c>
      <c r="H41" s="94">
        <f>'KHACH HANG'!I1373</f>
        <v>0</v>
      </c>
      <c r="I41" s="94">
        <f>'KHACH HANG'!J1373</f>
        <v>0</v>
      </c>
      <c r="J41" s="94">
        <f>'KHACH HANG'!K1373</f>
        <v>0</v>
      </c>
      <c r="K41" s="94">
        <f>'KHACH HANG'!L1373</f>
        <v>0</v>
      </c>
      <c r="L41" s="94">
        <f>'KHACH HANG'!M1373</f>
        <v>0</v>
      </c>
      <c r="M41" s="94">
        <f>'KHACH HANG'!N1373</f>
        <v>0</v>
      </c>
      <c r="N41" s="94">
        <f>'KHACH HANG'!O1373</f>
        <v>0</v>
      </c>
      <c r="O41" s="94">
        <f>'KHACH HANG'!P1373</f>
        <v>0</v>
      </c>
      <c r="P41" s="94">
        <f>'KHACH HANG'!Q1373</f>
        <v>0</v>
      </c>
      <c r="Q41" s="94">
        <f>'KHACH HANG'!R1373</f>
        <v>0</v>
      </c>
      <c r="R41" s="6">
        <f t="shared" si="2"/>
        <v>0</v>
      </c>
      <c r="S41" s="95"/>
      <c r="T41" s="31" t="str">
        <f t="shared" si="4"/>
        <v>'NHAN VIEN'!C1373</v>
      </c>
      <c r="U41" s="31">
        <f t="shared" si="19"/>
        <v>1373</v>
      </c>
      <c r="V41" s="31" t="str">
        <f t="shared" si="5"/>
        <v>='NHAN VIEN'!C1373</v>
      </c>
      <c r="W41" s="31" t="str">
        <f t="shared" si="6"/>
        <v>='NHAN VIEN'!f1373</v>
      </c>
      <c r="X41" s="31" t="str">
        <f t="shared" si="7"/>
        <v>='NHAN VIEN'!g1373</v>
      </c>
      <c r="Y41" s="31" t="str">
        <f t="shared" si="8"/>
        <v>='NHAN VIEN'!h1373</v>
      </c>
      <c r="Z41" s="31" t="str">
        <f t="shared" si="9"/>
        <v>='NHAN VIEN'!i1373</v>
      </c>
      <c r="AA41" s="31" t="str">
        <f t="shared" si="10"/>
        <v>='NHAN VIEN'!j1373</v>
      </c>
      <c r="AB41" s="31" t="str">
        <f t="shared" si="11"/>
        <v>='NHAN VIEN'!k1373</v>
      </c>
      <c r="AC41" s="31" t="str">
        <f t="shared" si="12"/>
        <v>='NHAN VIEN'!l1373</v>
      </c>
      <c r="AD41" s="31" t="str">
        <f t="shared" si="13"/>
        <v>='NHAN VIEN'!m1373</v>
      </c>
      <c r="AE41" s="31" t="str">
        <f t="shared" si="14"/>
        <v>='NHAN VIEN'!n1373</v>
      </c>
      <c r="AF41" s="31" t="str">
        <f t="shared" si="15"/>
        <v>='NHAN VIEN'!o1373</v>
      </c>
      <c r="AG41" s="31" t="str">
        <f t="shared" si="16"/>
        <v>='NHAN VIEN'!p1373</v>
      </c>
      <c r="AH41" s="31" t="str">
        <f t="shared" si="17"/>
        <v>='NHAN VIEN'!q1373</v>
      </c>
    </row>
    <row r="42" customHeight="1" spans="1:34">
      <c r="A42" s="91"/>
      <c r="B42" s="92"/>
      <c r="C42" s="93">
        <f t="shared" si="18"/>
        <v>91</v>
      </c>
      <c r="D42" s="2">
        <f>'KHACH HANG'!C1411</f>
        <v>0</v>
      </c>
      <c r="E42" s="3">
        <f t="shared" si="3"/>
        <v>0</v>
      </c>
      <c r="F42" s="94">
        <f>'KHACH HANG'!G1411</f>
        <v>0</v>
      </c>
      <c r="G42" s="94">
        <f>'KHACH HANG'!H1411</f>
        <v>0</v>
      </c>
      <c r="H42" s="94">
        <f>'KHACH HANG'!I1411</f>
        <v>0</v>
      </c>
      <c r="I42" s="94">
        <f>'KHACH HANG'!J1411</f>
        <v>0</v>
      </c>
      <c r="J42" s="94">
        <f>'KHACH HANG'!K1411</f>
        <v>0</v>
      </c>
      <c r="K42" s="94">
        <f>'KHACH HANG'!L1411</f>
        <v>0</v>
      </c>
      <c r="L42" s="94">
        <f>'KHACH HANG'!M1411</f>
        <v>0</v>
      </c>
      <c r="M42" s="94">
        <f>'KHACH HANG'!N1411</f>
        <v>0</v>
      </c>
      <c r="N42" s="94">
        <f>'KHACH HANG'!O1411</f>
        <v>0</v>
      </c>
      <c r="O42" s="94">
        <f>'KHACH HANG'!P1411</f>
        <v>0</v>
      </c>
      <c r="P42" s="94">
        <f>'KHACH HANG'!Q1411</f>
        <v>0</v>
      </c>
      <c r="Q42" s="94">
        <f>'KHACH HANG'!R1411</f>
        <v>0</v>
      </c>
      <c r="R42" s="6">
        <f t="shared" si="2"/>
        <v>0</v>
      </c>
      <c r="S42" s="95"/>
      <c r="T42" s="31" t="str">
        <f t="shared" si="4"/>
        <v>'NHAN VIEN'!C1411</v>
      </c>
      <c r="U42" s="31">
        <f t="shared" si="19"/>
        <v>1411</v>
      </c>
      <c r="V42" s="31" t="str">
        <f t="shared" si="5"/>
        <v>='NHAN VIEN'!C1411</v>
      </c>
      <c r="W42" s="31" t="str">
        <f t="shared" si="6"/>
        <v>='NHAN VIEN'!f1411</v>
      </c>
      <c r="X42" s="31" t="str">
        <f t="shared" si="7"/>
        <v>='NHAN VIEN'!g1411</v>
      </c>
      <c r="Y42" s="31" t="str">
        <f t="shared" si="8"/>
        <v>='NHAN VIEN'!h1411</v>
      </c>
      <c r="Z42" s="31" t="str">
        <f t="shared" si="9"/>
        <v>='NHAN VIEN'!i1411</v>
      </c>
      <c r="AA42" s="31" t="str">
        <f t="shared" si="10"/>
        <v>='NHAN VIEN'!j1411</v>
      </c>
      <c r="AB42" s="31" t="str">
        <f t="shared" si="11"/>
        <v>='NHAN VIEN'!k1411</v>
      </c>
      <c r="AC42" s="31" t="str">
        <f t="shared" si="12"/>
        <v>='NHAN VIEN'!l1411</v>
      </c>
      <c r="AD42" s="31" t="str">
        <f t="shared" si="13"/>
        <v>='NHAN VIEN'!m1411</v>
      </c>
      <c r="AE42" s="31" t="str">
        <f t="shared" si="14"/>
        <v>='NHAN VIEN'!n1411</v>
      </c>
      <c r="AF42" s="31" t="str">
        <f t="shared" si="15"/>
        <v>='NHAN VIEN'!o1411</v>
      </c>
      <c r="AG42" s="31" t="str">
        <f t="shared" si="16"/>
        <v>='NHAN VIEN'!p1411</v>
      </c>
      <c r="AH42" s="31" t="str">
        <f t="shared" si="17"/>
        <v>='NHAN VIEN'!q1411</v>
      </c>
    </row>
    <row r="43" customHeight="1" spans="1:34">
      <c r="A43" s="91"/>
      <c r="B43" s="92"/>
      <c r="C43" s="93">
        <f t="shared" si="18"/>
        <v>92</v>
      </c>
      <c r="D43" s="2">
        <f>'KHACH HANG'!C1449</f>
        <v>0</v>
      </c>
      <c r="E43" s="3">
        <f t="shared" si="3"/>
        <v>0</v>
      </c>
      <c r="F43" s="94">
        <f>'KHACH HANG'!G1449</f>
        <v>0</v>
      </c>
      <c r="G43" s="94">
        <f>'KHACH HANG'!H1449</f>
        <v>0</v>
      </c>
      <c r="H43" s="94">
        <f>'KHACH HANG'!I1449</f>
        <v>0</v>
      </c>
      <c r="I43" s="94">
        <f>'KHACH HANG'!J1449</f>
        <v>0</v>
      </c>
      <c r="J43" s="94">
        <f>'KHACH HANG'!K1449</f>
        <v>0</v>
      </c>
      <c r="K43" s="94">
        <f>'KHACH HANG'!L1449</f>
        <v>0</v>
      </c>
      <c r="L43" s="94">
        <f>'KHACH HANG'!M1449</f>
        <v>0</v>
      </c>
      <c r="M43" s="94">
        <f>'KHACH HANG'!N1449</f>
        <v>0</v>
      </c>
      <c r="N43" s="94">
        <f>'KHACH HANG'!O1449</f>
        <v>0</v>
      </c>
      <c r="O43" s="94">
        <f>'KHACH HANG'!P1449</f>
        <v>0</v>
      </c>
      <c r="P43" s="94">
        <f>'KHACH HANG'!Q1449</f>
        <v>0</v>
      </c>
      <c r="Q43" s="94">
        <f>'KHACH HANG'!R1449</f>
        <v>0</v>
      </c>
      <c r="R43" s="6">
        <f t="shared" si="2"/>
        <v>0</v>
      </c>
      <c r="S43" s="95"/>
      <c r="T43" s="31" t="str">
        <f t="shared" si="4"/>
        <v>'NHAN VIEN'!C1449</v>
      </c>
      <c r="U43" s="31">
        <f t="shared" si="19"/>
        <v>1449</v>
      </c>
      <c r="V43" s="31" t="str">
        <f t="shared" si="5"/>
        <v>='NHAN VIEN'!C1449</v>
      </c>
      <c r="W43" s="31" t="str">
        <f t="shared" si="6"/>
        <v>='NHAN VIEN'!f1449</v>
      </c>
      <c r="X43" s="31" t="str">
        <f t="shared" si="7"/>
        <v>='NHAN VIEN'!g1449</v>
      </c>
      <c r="Y43" s="31" t="str">
        <f t="shared" si="8"/>
        <v>='NHAN VIEN'!h1449</v>
      </c>
      <c r="Z43" s="31" t="str">
        <f t="shared" si="9"/>
        <v>='NHAN VIEN'!i1449</v>
      </c>
      <c r="AA43" s="31" t="str">
        <f t="shared" si="10"/>
        <v>='NHAN VIEN'!j1449</v>
      </c>
      <c r="AB43" s="31" t="str">
        <f t="shared" si="11"/>
        <v>='NHAN VIEN'!k1449</v>
      </c>
      <c r="AC43" s="31" t="str">
        <f t="shared" si="12"/>
        <v>='NHAN VIEN'!l1449</v>
      </c>
      <c r="AD43" s="31" t="str">
        <f t="shared" si="13"/>
        <v>='NHAN VIEN'!m1449</v>
      </c>
      <c r="AE43" s="31" t="str">
        <f t="shared" si="14"/>
        <v>='NHAN VIEN'!n1449</v>
      </c>
      <c r="AF43" s="31" t="str">
        <f t="shared" si="15"/>
        <v>='NHAN VIEN'!o1449</v>
      </c>
      <c r="AG43" s="31" t="str">
        <f t="shared" si="16"/>
        <v>='NHAN VIEN'!p1449</v>
      </c>
      <c r="AH43" s="31" t="str">
        <f t="shared" si="17"/>
        <v>='NHAN VIEN'!q1449</v>
      </c>
    </row>
    <row r="44" customHeight="1" spans="1:34">
      <c r="A44" s="91"/>
      <c r="B44" s="92"/>
      <c r="C44" s="93">
        <f t="shared" si="18"/>
        <v>93</v>
      </c>
      <c r="D44" s="2">
        <f>'KHACH HANG'!C1487</f>
        <v>0</v>
      </c>
      <c r="E44" s="3">
        <f t="shared" si="3"/>
        <v>0</v>
      </c>
      <c r="F44" s="94">
        <f>'KHACH HANG'!G1487</f>
        <v>0</v>
      </c>
      <c r="G44" s="94">
        <f>'KHACH HANG'!H1487</f>
        <v>0</v>
      </c>
      <c r="H44" s="94">
        <f>'KHACH HANG'!I1487</f>
        <v>0</v>
      </c>
      <c r="I44" s="94">
        <f>'KHACH HANG'!J1487</f>
        <v>0</v>
      </c>
      <c r="J44" s="94">
        <f>'KHACH HANG'!K1487</f>
        <v>0</v>
      </c>
      <c r="K44" s="94">
        <f>'KHACH HANG'!L1487</f>
        <v>0</v>
      </c>
      <c r="L44" s="94">
        <f>'KHACH HANG'!M1487</f>
        <v>0</v>
      </c>
      <c r="M44" s="94">
        <f>'KHACH HANG'!N1487</f>
        <v>0</v>
      </c>
      <c r="N44" s="94">
        <f>'KHACH HANG'!O1487</f>
        <v>0</v>
      </c>
      <c r="O44" s="94">
        <f>'KHACH HANG'!P1487</f>
        <v>0</v>
      </c>
      <c r="P44" s="94">
        <f>'KHACH HANG'!Q1487</f>
        <v>0</v>
      </c>
      <c r="Q44" s="94">
        <f>'KHACH HANG'!R1487</f>
        <v>0</v>
      </c>
      <c r="R44" s="6">
        <f t="shared" si="2"/>
        <v>0</v>
      </c>
      <c r="S44" s="95"/>
      <c r="T44" s="31" t="str">
        <f t="shared" si="4"/>
        <v>'NHAN VIEN'!C1487</v>
      </c>
      <c r="U44" s="31">
        <f t="shared" si="19"/>
        <v>1487</v>
      </c>
      <c r="V44" s="31" t="str">
        <f t="shared" si="5"/>
        <v>='NHAN VIEN'!C1487</v>
      </c>
      <c r="W44" s="31" t="str">
        <f t="shared" si="6"/>
        <v>='NHAN VIEN'!f1487</v>
      </c>
      <c r="X44" s="31" t="str">
        <f t="shared" si="7"/>
        <v>='NHAN VIEN'!g1487</v>
      </c>
      <c r="Y44" s="31" t="str">
        <f t="shared" si="8"/>
        <v>='NHAN VIEN'!h1487</v>
      </c>
      <c r="Z44" s="31" t="str">
        <f t="shared" si="9"/>
        <v>='NHAN VIEN'!i1487</v>
      </c>
      <c r="AA44" s="31" t="str">
        <f t="shared" si="10"/>
        <v>='NHAN VIEN'!j1487</v>
      </c>
      <c r="AB44" s="31" t="str">
        <f t="shared" si="11"/>
        <v>='NHAN VIEN'!k1487</v>
      </c>
      <c r="AC44" s="31" t="str">
        <f t="shared" si="12"/>
        <v>='NHAN VIEN'!l1487</v>
      </c>
      <c r="AD44" s="31" t="str">
        <f t="shared" si="13"/>
        <v>='NHAN VIEN'!m1487</v>
      </c>
      <c r="AE44" s="31" t="str">
        <f t="shared" si="14"/>
        <v>='NHAN VIEN'!n1487</v>
      </c>
      <c r="AF44" s="31" t="str">
        <f t="shared" si="15"/>
        <v>='NHAN VIEN'!o1487</v>
      </c>
      <c r="AG44" s="31" t="str">
        <f t="shared" si="16"/>
        <v>='NHAN VIEN'!p1487</v>
      </c>
      <c r="AH44" s="31" t="str">
        <f t="shared" si="17"/>
        <v>='NHAN VIEN'!q1487</v>
      </c>
    </row>
    <row r="45" customHeight="1" spans="1:34">
      <c r="A45" s="91"/>
      <c r="B45" s="92"/>
      <c r="C45" s="93">
        <f t="shared" si="18"/>
        <v>94</v>
      </c>
      <c r="D45" s="2">
        <f>'KHACH HANG'!C1525</f>
        <v>0</v>
      </c>
      <c r="E45" s="3">
        <f t="shared" si="3"/>
        <v>0</v>
      </c>
      <c r="F45" s="94">
        <f>'KHACH HANG'!G1525</f>
        <v>0</v>
      </c>
      <c r="G45" s="94">
        <f>'KHACH HANG'!H1525</f>
        <v>0</v>
      </c>
      <c r="H45" s="94">
        <f>'KHACH HANG'!I1525</f>
        <v>0</v>
      </c>
      <c r="I45" s="94">
        <f>'KHACH HANG'!J1525</f>
        <v>0</v>
      </c>
      <c r="J45" s="94">
        <f>'KHACH HANG'!K1525</f>
        <v>0</v>
      </c>
      <c r="K45" s="94">
        <f>'KHACH HANG'!L1525</f>
        <v>0</v>
      </c>
      <c r="L45" s="94">
        <f>'KHACH HANG'!M1525</f>
        <v>0</v>
      </c>
      <c r="M45" s="94">
        <f>'KHACH HANG'!N1525</f>
        <v>0</v>
      </c>
      <c r="N45" s="94">
        <f>'KHACH HANG'!O1525</f>
        <v>0</v>
      </c>
      <c r="O45" s="94">
        <f>'KHACH HANG'!P1525</f>
        <v>0</v>
      </c>
      <c r="P45" s="94">
        <f>'KHACH HANG'!Q1525</f>
        <v>0</v>
      </c>
      <c r="Q45" s="94">
        <f>'KHACH HANG'!R1525</f>
        <v>0</v>
      </c>
      <c r="R45" s="6">
        <f t="shared" si="2"/>
        <v>0</v>
      </c>
      <c r="S45" s="95"/>
      <c r="T45" s="31" t="str">
        <f t="shared" si="4"/>
        <v>'NHAN VIEN'!C1525</v>
      </c>
      <c r="U45" s="31">
        <f t="shared" si="19"/>
        <v>1525</v>
      </c>
      <c r="V45" s="31" t="str">
        <f t="shared" si="5"/>
        <v>='NHAN VIEN'!C1525</v>
      </c>
      <c r="W45" s="31" t="str">
        <f t="shared" si="6"/>
        <v>='NHAN VIEN'!f1525</v>
      </c>
      <c r="X45" s="31" t="str">
        <f t="shared" si="7"/>
        <v>='NHAN VIEN'!g1525</v>
      </c>
      <c r="Y45" s="31" t="str">
        <f t="shared" si="8"/>
        <v>='NHAN VIEN'!h1525</v>
      </c>
      <c r="Z45" s="31" t="str">
        <f t="shared" si="9"/>
        <v>='NHAN VIEN'!i1525</v>
      </c>
      <c r="AA45" s="31" t="str">
        <f t="shared" si="10"/>
        <v>='NHAN VIEN'!j1525</v>
      </c>
      <c r="AB45" s="31" t="str">
        <f t="shared" si="11"/>
        <v>='NHAN VIEN'!k1525</v>
      </c>
      <c r="AC45" s="31" t="str">
        <f t="shared" si="12"/>
        <v>='NHAN VIEN'!l1525</v>
      </c>
      <c r="AD45" s="31" t="str">
        <f t="shared" si="13"/>
        <v>='NHAN VIEN'!m1525</v>
      </c>
      <c r="AE45" s="31" t="str">
        <f t="shared" si="14"/>
        <v>='NHAN VIEN'!n1525</v>
      </c>
      <c r="AF45" s="31" t="str">
        <f t="shared" si="15"/>
        <v>='NHAN VIEN'!o1525</v>
      </c>
      <c r="AG45" s="31" t="str">
        <f t="shared" si="16"/>
        <v>='NHAN VIEN'!p1525</v>
      </c>
      <c r="AH45" s="31" t="str">
        <f t="shared" si="17"/>
        <v>='NHAN VIEN'!q1525</v>
      </c>
    </row>
    <row r="46" customHeight="1" spans="1:34">
      <c r="A46" s="91"/>
      <c r="B46" s="92"/>
      <c r="C46" s="93">
        <f t="shared" si="18"/>
        <v>95</v>
      </c>
      <c r="D46" s="2">
        <f>'KHACH HANG'!C1563</f>
        <v>0</v>
      </c>
      <c r="E46" s="3">
        <f t="shared" si="3"/>
        <v>0</v>
      </c>
      <c r="F46" s="94">
        <f>'KHACH HANG'!G1563</f>
        <v>0</v>
      </c>
      <c r="G46" s="94">
        <f>'KHACH HANG'!H1563</f>
        <v>0</v>
      </c>
      <c r="H46" s="94">
        <f>'KHACH HANG'!I1563</f>
        <v>0</v>
      </c>
      <c r="I46" s="94">
        <f>'KHACH HANG'!J1563</f>
        <v>0</v>
      </c>
      <c r="J46" s="94">
        <f>'KHACH HANG'!K1563</f>
        <v>0</v>
      </c>
      <c r="K46" s="94">
        <f>'KHACH HANG'!L1563</f>
        <v>0</v>
      </c>
      <c r="L46" s="94">
        <f>'KHACH HANG'!M1563</f>
        <v>0</v>
      </c>
      <c r="M46" s="94">
        <f>'KHACH HANG'!N1563</f>
        <v>0</v>
      </c>
      <c r="N46" s="94">
        <f>'KHACH HANG'!O1563</f>
        <v>0</v>
      </c>
      <c r="O46" s="94">
        <f>'KHACH HANG'!P1563</f>
        <v>0</v>
      </c>
      <c r="P46" s="94">
        <f>'KHACH HANG'!Q1563</f>
        <v>0</v>
      </c>
      <c r="Q46" s="94">
        <f>'KHACH HANG'!R1563</f>
        <v>0</v>
      </c>
      <c r="R46" s="6">
        <f t="shared" si="2"/>
        <v>0</v>
      </c>
      <c r="S46" s="95"/>
      <c r="T46" s="31" t="str">
        <f t="shared" si="4"/>
        <v>'NHAN VIEN'!C1563</v>
      </c>
      <c r="U46" s="31">
        <f t="shared" si="19"/>
        <v>1563</v>
      </c>
      <c r="V46" s="31" t="str">
        <f t="shared" si="5"/>
        <v>='NHAN VIEN'!C1563</v>
      </c>
      <c r="W46" s="31" t="str">
        <f t="shared" si="6"/>
        <v>='NHAN VIEN'!f1563</v>
      </c>
      <c r="X46" s="31" t="str">
        <f t="shared" si="7"/>
        <v>='NHAN VIEN'!g1563</v>
      </c>
      <c r="Y46" s="31" t="str">
        <f t="shared" si="8"/>
        <v>='NHAN VIEN'!h1563</v>
      </c>
      <c r="Z46" s="31" t="str">
        <f t="shared" si="9"/>
        <v>='NHAN VIEN'!i1563</v>
      </c>
      <c r="AA46" s="31" t="str">
        <f t="shared" si="10"/>
        <v>='NHAN VIEN'!j1563</v>
      </c>
      <c r="AB46" s="31" t="str">
        <f t="shared" si="11"/>
        <v>='NHAN VIEN'!k1563</v>
      </c>
      <c r="AC46" s="31" t="str">
        <f t="shared" si="12"/>
        <v>='NHAN VIEN'!l1563</v>
      </c>
      <c r="AD46" s="31" t="str">
        <f t="shared" si="13"/>
        <v>='NHAN VIEN'!m1563</v>
      </c>
      <c r="AE46" s="31" t="str">
        <f t="shared" si="14"/>
        <v>='NHAN VIEN'!n1563</v>
      </c>
      <c r="AF46" s="31" t="str">
        <f t="shared" si="15"/>
        <v>='NHAN VIEN'!o1563</v>
      </c>
      <c r="AG46" s="31" t="str">
        <f t="shared" si="16"/>
        <v>='NHAN VIEN'!p1563</v>
      </c>
      <c r="AH46" s="31" t="str">
        <f t="shared" si="17"/>
        <v>='NHAN VIEN'!q1563</v>
      </c>
    </row>
    <row r="47" customHeight="1" spans="1:34">
      <c r="A47" s="91"/>
      <c r="B47" s="92"/>
      <c r="C47" s="93">
        <f t="shared" si="18"/>
        <v>96</v>
      </c>
      <c r="D47" s="2">
        <f>'KHACH HANG'!C1601</f>
        <v>0</v>
      </c>
      <c r="E47" s="3">
        <f t="shared" si="3"/>
        <v>0</v>
      </c>
      <c r="F47" s="94">
        <f>'KHACH HANG'!G1601</f>
        <v>0</v>
      </c>
      <c r="G47" s="94">
        <f>'KHACH HANG'!H1601</f>
        <v>0</v>
      </c>
      <c r="H47" s="94">
        <f>'KHACH HANG'!I1601</f>
        <v>0</v>
      </c>
      <c r="I47" s="94">
        <f>'KHACH HANG'!J1601</f>
        <v>0</v>
      </c>
      <c r="J47" s="94">
        <f>'KHACH HANG'!K1601</f>
        <v>0</v>
      </c>
      <c r="K47" s="94">
        <f>'KHACH HANG'!L1601</f>
        <v>0</v>
      </c>
      <c r="L47" s="94">
        <f>'KHACH HANG'!M1601</f>
        <v>0</v>
      </c>
      <c r="M47" s="94">
        <f>'KHACH HANG'!N1601</f>
        <v>0</v>
      </c>
      <c r="N47" s="94">
        <f>'KHACH HANG'!O1601</f>
        <v>0</v>
      </c>
      <c r="O47" s="94">
        <f>'KHACH HANG'!P1601</f>
        <v>0</v>
      </c>
      <c r="P47" s="94">
        <f>'KHACH HANG'!Q1601</f>
        <v>0</v>
      </c>
      <c r="Q47" s="94">
        <f>'KHACH HANG'!R1601</f>
        <v>0</v>
      </c>
      <c r="R47" s="6">
        <f t="shared" si="2"/>
        <v>0</v>
      </c>
      <c r="S47" s="95"/>
      <c r="T47" s="31" t="str">
        <f t="shared" si="4"/>
        <v>'NHAN VIEN'!C1601</v>
      </c>
      <c r="U47" s="31">
        <f t="shared" si="19"/>
        <v>1601</v>
      </c>
      <c r="V47" s="31" t="str">
        <f t="shared" si="5"/>
        <v>='NHAN VIEN'!C1601</v>
      </c>
      <c r="W47" s="31" t="str">
        <f t="shared" si="6"/>
        <v>='NHAN VIEN'!f1601</v>
      </c>
      <c r="X47" s="31" t="str">
        <f t="shared" si="7"/>
        <v>='NHAN VIEN'!g1601</v>
      </c>
      <c r="Y47" s="31" t="str">
        <f t="shared" si="8"/>
        <v>='NHAN VIEN'!h1601</v>
      </c>
      <c r="Z47" s="31" t="str">
        <f t="shared" si="9"/>
        <v>='NHAN VIEN'!i1601</v>
      </c>
      <c r="AA47" s="31" t="str">
        <f t="shared" si="10"/>
        <v>='NHAN VIEN'!j1601</v>
      </c>
      <c r="AB47" s="31" t="str">
        <f t="shared" si="11"/>
        <v>='NHAN VIEN'!k1601</v>
      </c>
      <c r="AC47" s="31" t="str">
        <f t="shared" si="12"/>
        <v>='NHAN VIEN'!l1601</v>
      </c>
      <c r="AD47" s="31" t="str">
        <f t="shared" si="13"/>
        <v>='NHAN VIEN'!m1601</v>
      </c>
      <c r="AE47" s="31" t="str">
        <f t="shared" si="14"/>
        <v>='NHAN VIEN'!n1601</v>
      </c>
      <c r="AF47" s="31" t="str">
        <f t="shared" si="15"/>
        <v>='NHAN VIEN'!o1601</v>
      </c>
      <c r="AG47" s="31" t="str">
        <f t="shared" si="16"/>
        <v>='NHAN VIEN'!p1601</v>
      </c>
      <c r="AH47" s="31" t="str">
        <f t="shared" si="17"/>
        <v>='NHAN VIEN'!q1601</v>
      </c>
    </row>
    <row r="48" customHeight="1" spans="1:34">
      <c r="A48" s="91"/>
      <c r="B48" s="92"/>
      <c r="C48" s="93">
        <f t="shared" si="18"/>
        <v>97</v>
      </c>
      <c r="D48" s="2">
        <f>'KHACH HANG'!C1639</f>
        <v>0</v>
      </c>
      <c r="E48" s="3">
        <f t="shared" si="3"/>
        <v>0</v>
      </c>
      <c r="F48" s="94">
        <f>'KHACH HANG'!G1639</f>
        <v>0</v>
      </c>
      <c r="G48" s="94">
        <f>'KHACH HANG'!H1639</f>
        <v>0</v>
      </c>
      <c r="H48" s="94">
        <f>'KHACH HANG'!I1639</f>
        <v>0</v>
      </c>
      <c r="I48" s="94">
        <f>'KHACH HANG'!J1639</f>
        <v>0</v>
      </c>
      <c r="J48" s="94">
        <f>'KHACH HANG'!K1639</f>
        <v>0</v>
      </c>
      <c r="K48" s="94">
        <f>'KHACH HANG'!L1639</f>
        <v>0</v>
      </c>
      <c r="L48" s="94">
        <f>'KHACH HANG'!M1639</f>
        <v>0</v>
      </c>
      <c r="M48" s="94">
        <f>'KHACH HANG'!N1639</f>
        <v>0</v>
      </c>
      <c r="N48" s="94">
        <f>'KHACH HANG'!O1639</f>
        <v>0</v>
      </c>
      <c r="O48" s="94">
        <f>'KHACH HANG'!P1639</f>
        <v>0</v>
      </c>
      <c r="P48" s="94">
        <f>'KHACH HANG'!Q1639</f>
        <v>0</v>
      </c>
      <c r="Q48" s="94">
        <f>'KHACH HANG'!R1639</f>
        <v>0</v>
      </c>
      <c r="R48" s="6">
        <f t="shared" si="2"/>
        <v>0</v>
      </c>
      <c r="S48" s="95"/>
      <c r="T48" s="31" t="str">
        <f t="shared" si="4"/>
        <v>'NHAN VIEN'!C1639</v>
      </c>
      <c r="U48" s="31">
        <f t="shared" si="19"/>
        <v>1639</v>
      </c>
      <c r="V48" s="31" t="str">
        <f t="shared" si="5"/>
        <v>='NHAN VIEN'!C1639</v>
      </c>
      <c r="W48" s="31" t="str">
        <f t="shared" si="6"/>
        <v>='NHAN VIEN'!f1639</v>
      </c>
      <c r="X48" s="31" t="str">
        <f t="shared" si="7"/>
        <v>='NHAN VIEN'!g1639</v>
      </c>
      <c r="Y48" s="31" t="str">
        <f t="shared" si="8"/>
        <v>='NHAN VIEN'!h1639</v>
      </c>
      <c r="Z48" s="31" t="str">
        <f t="shared" si="9"/>
        <v>='NHAN VIEN'!i1639</v>
      </c>
      <c r="AA48" s="31" t="str">
        <f t="shared" si="10"/>
        <v>='NHAN VIEN'!j1639</v>
      </c>
      <c r="AB48" s="31" t="str">
        <f t="shared" si="11"/>
        <v>='NHAN VIEN'!k1639</v>
      </c>
      <c r="AC48" s="31" t="str">
        <f t="shared" si="12"/>
        <v>='NHAN VIEN'!l1639</v>
      </c>
      <c r="AD48" s="31" t="str">
        <f t="shared" si="13"/>
        <v>='NHAN VIEN'!m1639</v>
      </c>
      <c r="AE48" s="31" t="str">
        <f t="shared" si="14"/>
        <v>='NHAN VIEN'!n1639</v>
      </c>
      <c r="AF48" s="31" t="str">
        <f t="shared" si="15"/>
        <v>='NHAN VIEN'!o1639</v>
      </c>
      <c r="AG48" s="31" t="str">
        <f t="shared" si="16"/>
        <v>='NHAN VIEN'!p1639</v>
      </c>
      <c r="AH48" s="31" t="str">
        <f t="shared" si="17"/>
        <v>='NHAN VIEN'!q1639</v>
      </c>
    </row>
    <row r="49" customHeight="1" spans="1:34">
      <c r="A49" s="91"/>
      <c r="B49" s="92"/>
      <c r="C49" s="93">
        <f t="shared" si="18"/>
        <v>98</v>
      </c>
      <c r="D49" s="2">
        <f>'KHACH HANG'!C1677</f>
        <v>0</v>
      </c>
      <c r="E49" s="3">
        <f t="shared" si="3"/>
        <v>0</v>
      </c>
      <c r="F49" s="94">
        <f>'KHACH HANG'!G1677</f>
        <v>0</v>
      </c>
      <c r="G49" s="94">
        <f>'KHACH HANG'!H1677</f>
        <v>0</v>
      </c>
      <c r="H49" s="94">
        <f>'KHACH HANG'!I1677</f>
        <v>0</v>
      </c>
      <c r="I49" s="94">
        <f>'KHACH HANG'!J1677</f>
        <v>0</v>
      </c>
      <c r="J49" s="94">
        <f>'KHACH HANG'!K1677</f>
        <v>0</v>
      </c>
      <c r="K49" s="94">
        <f>'KHACH HANG'!L1677</f>
        <v>0</v>
      </c>
      <c r="L49" s="94">
        <f>'KHACH HANG'!M1677</f>
        <v>0</v>
      </c>
      <c r="M49" s="94">
        <f>'KHACH HANG'!N1677</f>
        <v>0</v>
      </c>
      <c r="N49" s="94">
        <f>'KHACH HANG'!O1677</f>
        <v>0</v>
      </c>
      <c r="O49" s="94">
        <f>'KHACH HANG'!P1677</f>
        <v>0</v>
      </c>
      <c r="P49" s="94">
        <f>'KHACH HANG'!Q1677</f>
        <v>0</v>
      </c>
      <c r="Q49" s="94">
        <f>'KHACH HANG'!R1677</f>
        <v>0</v>
      </c>
      <c r="R49" s="6">
        <f t="shared" si="2"/>
        <v>0</v>
      </c>
      <c r="S49" s="95"/>
      <c r="T49" s="31" t="str">
        <f t="shared" si="4"/>
        <v>'NHAN VIEN'!C1677</v>
      </c>
      <c r="U49" s="31">
        <f t="shared" si="19"/>
        <v>1677</v>
      </c>
      <c r="V49" s="31" t="str">
        <f t="shared" si="5"/>
        <v>='NHAN VIEN'!C1677</v>
      </c>
      <c r="W49" s="31" t="str">
        <f t="shared" si="6"/>
        <v>='NHAN VIEN'!f1677</v>
      </c>
      <c r="X49" s="31" t="str">
        <f t="shared" si="7"/>
        <v>='NHAN VIEN'!g1677</v>
      </c>
      <c r="Y49" s="31" t="str">
        <f t="shared" si="8"/>
        <v>='NHAN VIEN'!h1677</v>
      </c>
      <c r="Z49" s="31" t="str">
        <f t="shared" si="9"/>
        <v>='NHAN VIEN'!i1677</v>
      </c>
      <c r="AA49" s="31" t="str">
        <f t="shared" si="10"/>
        <v>='NHAN VIEN'!j1677</v>
      </c>
      <c r="AB49" s="31" t="str">
        <f t="shared" si="11"/>
        <v>='NHAN VIEN'!k1677</v>
      </c>
      <c r="AC49" s="31" t="str">
        <f t="shared" si="12"/>
        <v>='NHAN VIEN'!l1677</v>
      </c>
      <c r="AD49" s="31" t="str">
        <f t="shared" si="13"/>
        <v>='NHAN VIEN'!m1677</v>
      </c>
      <c r="AE49" s="31" t="str">
        <f t="shared" si="14"/>
        <v>='NHAN VIEN'!n1677</v>
      </c>
      <c r="AF49" s="31" t="str">
        <f t="shared" si="15"/>
        <v>='NHAN VIEN'!o1677</v>
      </c>
      <c r="AG49" s="31" t="str">
        <f t="shared" si="16"/>
        <v>='NHAN VIEN'!p1677</v>
      </c>
      <c r="AH49" s="31" t="str">
        <f t="shared" si="17"/>
        <v>='NHAN VIEN'!q1677</v>
      </c>
    </row>
    <row r="50" customHeight="1" spans="1:34">
      <c r="A50" s="91"/>
      <c r="B50" s="92"/>
      <c r="C50" s="93">
        <f t="shared" si="18"/>
        <v>99</v>
      </c>
      <c r="D50" s="2">
        <f>'KHACH HANG'!C1715</f>
        <v>0</v>
      </c>
      <c r="E50" s="3">
        <f t="shared" si="3"/>
        <v>0</v>
      </c>
      <c r="F50" s="94">
        <f>'KHACH HANG'!G1715</f>
        <v>0</v>
      </c>
      <c r="G50" s="94">
        <f>'KHACH HANG'!H1715</f>
        <v>0</v>
      </c>
      <c r="H50" s="94">
        <f>'KHACH HANG'!I1715</f>
        <v>0</v>
      </c>
      <c r="I50" s="94">
        <f>'KHACH HANG'!J1715</f>
        <v>0</v>
      </c>
      <c r="J50" s="94">
        <f>'KHACH HANG'!K1715</f>
        <v>0</v>
      </c>
      <c r="K50" s="94">
        <f>'KHACH HANG'!L1715</f>
        <v>0</v>
      </c>
      <c r="L50" s="94">
        <f>'KHACH HANG'!M1715</f>
        <v>0</v>
      </c>
      <c r="M50" s="94">
        <f>'KHACH HANG'!N1715</f>
        <v>0</v>
      </c>
      <c r="N50" s="94">
        <f>'KHACH HANG'!O1715</f>
        <v>0</v>
      </c>
      <c r="O50" s="94">
        <f>'KHACH HANG'!P1715</f>
        <v>0</v>
      </c>
      <c r="P50" s="94">
        <f>'KHACH HANG'!Q1715</f>
        <v>0</v>
      </c>
      <c r="Q50" s="94">
        <f>'KHACH HANG'!R1715</f>
        <v>0</v>
      </c>
      <c r="R50" s="6">
        <f t="shared" ref="R50" si="20">SUM(F50:Q50)</f>
        <v>0</v>
      </c>
      <c r="S50" s="95"/>
      <c r="T50" s="31" t="str">
        <f t="shared" si="4"/>
        <v>'NHAN VIEN'!C1715</v>
      </c>
      <c r="U50" s="31">
        <f t="shared" si="19"/>
        <v>1715</v>
      </c>
      <c r="V50" s="31" t="str">
        <f t="shared" si="5"/>
        <v>='NHAN VIEN'!C1715</v>
      </c>
      <c r="W50" s="31" t="str">
        <f t="shared" si="6"/>
        <v>='NHAN VIEN'!f1715</v>
      </c>
      <c r="X50" s="31" t="str">
        <f t="shared" si="7"/>
        <v>='NHAN VIEN'!g1715</v>
      </c>
      <c r="Y50" s="31" t="str">
        <f t="shared" si="8"/>
        <v>='NHAN VIEN'!h1715</v>
      </c>
      <c r="Z50" s="31" t="str">
        <f t="shared" si="9"/>
        <v>='NHAN VIEN'!i1715</v>
      </c>
      <c r="AA50" s="31" t="str">
        <f t="shared" si="10"/>
        <v>='NHAN VIEN'!j1715</v>
      </c>
      <c r="AB50" s="31" t="str">
        <f t="shared" si="11"/>
        <v>='NHAN VIEN'!k1715</v>
      </c>
      <c r="AC50" s="31" t="str">
        <f t="shared" si="12"/>
        <v>='NHAN VIEN'!l1715</v>
      </c>
      <c r="AD50" s="31" t="str">
        <f t="shared" si="13"/>
        <v>='NHAN VIEN'!m1715</v>
      </c>
      <c r="AE50" s="31" t="str">
        <f t="shared" si="14"/>
        <v>='NHAN VIEN'!n1715</v>
      </c>
      <c r="AF50" s="31" t="str">
        <f t="shared" si="15"/>
        <v>='NHAN VIEN'!o1715</v>
      </c>
      <c r="AG50" s="31" t="str">
        <f t="shared" si="16"/>
        <v>='NHAN VIEN'!p1715</v>
      </c>
      <c r="AH50" s="31" t="str">
        <f t="shared" si="17"/>
        <v>='NHAN VIEN'!q1715</v>
      </c>
    </row>
    <row r="51" customHeight="1" spans="1:34">
      <c r="A51" s="91"/>
      <c r="B51" s="92"/>
      <c r="C51" s="93">
        <f t="shared" si="18"/>
        <v>100</v>
      </c>
      <c r="D51" s="2">
        <f>'KHACH HANG'!C1753</f>
        <v>0</v>
      </c>
      <c r="E51" s="3">
        <f t="shared" si="3"/>
        <v>0</v>
      </c>
      <c r="F51" s="94">
        <f>'KHACH HANG'!G1753</f>
        <v>0</v>
      </c>
      <c r="G51" s="94">
        <f>'KHACH HANG'!H1753</f>
        <v>0</v>
      </c>
      <c r="H51" s="94">
        <f>'KHACH HANG'!I1753</f>
        <v>0</v>
      </c>
      <c r="I51" s="94">
        <f>'KHACH HANG'!J1753</f>
        <v>0</v>
      </c>
      <c r="J51" s="94">
        <f>'KHACH HANG'!K1753</f>
        <v>0</v>
      </c>
      <c r="K51" s="94">
        <f>'KHACH HANG'!L1753</f>
        <v>0</v>
      </c>
      <c r="L51" s="94">
        <f>'KHACH HANG'!M1753</f>
        <v>0</v>
      </c>
      <c r="M51" s="94">
        <f>'KHACH HANG'!N1753</f>
        <v>0</v>
      </c>
      <c r="N51" s="94">
        <f>'KHACH HANG'!O1753</f>
        <v>0</v>
      </c>
      <c r="O51" s="94">
        <f>'KHACH HANG'!P1753</f>
        <v>0</v>
      </c>
      <c r="P51" s="94">
        <f>'KHACH HANG'!Q1753</f>
        <v>0</v>
      </c>
      <c r="Q51" s="94">
        <f>'KHACH HANG'!R1753</f>
        <v>0</v>
      </c>
      <c r="R51" s="6">
        <f t="shared" ref="R51:R61" si="21">SUM(F51:Q51)</f>
        <v>0</v>
      </c>
      <c r="S51" s="95"/>
      <c r="T51" s="31" t="str">
        <f t="shared" si="4"/>
        <v>'NHAN VIEN'!C1753</v>
      </c>
      <c r="U51" s="31">
        <f t="shared" si="19"/>
        <v>1753</v>
      </c>
      <c r="V51" s="31" t="str">
        <f t="shared" si="5"/>
        <v>='NHAN VIEN'!C1753</v>
      </c>
      <c r="W51" s="31" t="str">
        <f t="shared" si="6"/>
        <v>='NHAN VIEN'!f1753</v>
      </c>
      <c r="X51" s="31" t="str">
        <f t="shared" si="7"/>
        <v>='NHAN VIEN'!g1753</v>
      </c>
      <c r="Y51" s="31" t="str">
        <f t="shared" si="8"/>
        <v>='NHAN VIEN'!h1753</v>
      </c>
      <c r="Z51" s="31" t="str">
        <f t="shared" si="9"/>
        <v>='NHAN VIEN'!i1753</v>
      </c>
      <c r="AA51" s="31" t="str">
        <f t="shared" si="10"/>
        <v>='NHAN VIEN'!j1753</v>
      </c>
      <c r="AB51" s="31" t="str">
        <f t="shared" si="11"/>
        <v>='NHAN VIEN'!k1753</v>
      </c>
      <c r="AC51" s="31" t="str">
        <f t="shared" si="12"/>
        <v>='NHAN VIEN'!l1753</v>
      </c>
      <c r="AD51" s="31" t="str">
        <f t="shared" si="13"/>
        <v>='NHAN VIEN'!m1753</v>
      </c>
      <c r="AE51" s="31" t="str">
        <f t="shared" si="14"/>
        <v>='NHAN VIEN'!n1753</v>
      </c>
      <c r="AF51" s="31" t="str">
        <f t="shared" si="15"/>
        <v>='NHAN VIEN'!o1753</v>
      </c>
      <c r="AG51" s="31" t="str">
        <f t="shared" si="16"/>
        <v>='NHAN VIEN'!p1753</v>
      </c>
      <c r="AH51" s="31" t="str">
        <f t="shared" si="17"/>
        <v>='NHAN VIEN'!q1753</v>
      </c>
    </row>
    <row r="52" customHeight="1" spans="1:34">
      <c r="A52" s="91"/>
      <c r="B52" s="92"/>
      <c r="C52" s="93">
        <f t="shared" si="18"/>
        <v>101</v>
      </c>
      <c r="D52" s="2">
        <f>'KHACH HANG'!C1791</f>
        <v>0</v>
      </c>
      <c r="E52" s="3">
        <f t="shared" si="3"/>
        <v>0</v>
      </c>
      <c r="F52" s="94">
        <f>'KHACH HANG'!G1791</f>
        <v>0</v>
      </c>
      <c r="G52" s="94">
        <f>'KHACH HANG'!H1791</f>
        <v>0</v>
      </c>
      <c r="H52" s="94">
        <f>'KHACH HANG'!I1791</f>
        <v>0</v>
      </c>
      <c r="I52" s="94">
        <f>'KHACH HANG'!J1791</f>
        <v>0</v>
      </c>
      <c r="J52" s="94">
        <f>'KHACH HANG'!K1791</f>
        <v>0</v>
      </c>
      <c r="K52" s="94">
        <f>'KHACH HANG'!L1791</f>
        <v>0</v>
      </c>
      <c r="L52" s="94">
        <f>'KHACH HANG'!M1791</f>
        <v>0</v>
      </c>
      <c r="M52" s="94">
        <f>'KHACH HANG'!N1791</f>
        <v>0</v>
      </c>
      <c r="N52" s="94">
        <f>'KHACH HANG'!O1791</f>
        <v>0</v>
      </c>
      <c r="O52" s="94">
        <f>'KHACH HANG'!P1791</f>
        <v>0</v>
      </c>
      <c r="P52" s="94">
        <f>'KHACH HANG'!Q1791</f>
        <v>0</v>
      </c>
      <c r="Q52" s="94">
        <f>'KHACH HANG'!R1791</f>
        <v>0</v>
      </c>
      <c r="R52" s="6">
        <f t="shared" si="21"/>
        <v>0</v>
      </c>
      <c r="S52" s="95"/>
      <c r="T52" s="31" t="str">
        <f t="shared" si="4"/>
        <v>'NHAN VIEN'!C1791</v>
      </c>
      <c r="U52" s="31">
        <f t="shared" si="19"/>
        <v>1791</v>
      </c>
      <c r="V52" s="31" t="str">
        <f t="shared" si="5"/>
        <v>='NHAN VIEN'!C1791</v>
      </c>
      <c r="W52" s="31" t="str">
        <f t="shared" si="6"/>
        <v>='NHAN VIEN'!f1791</v>
      </c>
      <c r="X52" s="31" t="str">
        <f t="shared" si="7"/>
        <v>='NHAN VIEN'!g1791</v>
      </c>
      <c r="Y52" s="31" t="str">
        <f t="shared" si="8"/>
        <v>='NHAN VIEN'!h1791</v>
      </c>
      <c r="Z52" s="31" t="str">
        <f t="shared" si="9"/>
        <v>='NHAN VIEN'!i1791</v>
      </c>
      <c r="AA52" s="31" t="str">
        <f t="shared" si="10"/>
        <v>='NHAN VIEN'!j1791</v>
      </c>
      <c r="AB52" s="31" t="str">
        <f t="shared" si="11"/>
        <v>='NHAN VIEN'!k1791</v>
      </c>
      <c r="AC52" s="31" t="str">
        <f t="shared" si="12"/>
        <v>='NHAN VIEN'!l1791</v>
      </c>
      <c r="AD52" s="31" t="str">
        <f t="shared" si="13"/>
        <v>='NHAN VIEN'!m1791</v>
      </c>
      <c r="AE52" s="31" t="str">
        <f t="shared" si="14"/>
        <v>='NHAN VIEN'!n1791</v>
      </c>
      <c r="AF52" s="31" t="str">
        <f t="shared" si="15"/>
        <v>='NHAN VIEN'!o1791</v>
      </c>
      <c r="AG52" s="31" t="str">
        <f t="shared" si="16"/>
        <v>='NHAN VIEN'!p1791</v>
      </c>
      <c r="AH52" s="31" t="str">
        <f t="shared" si="17"/>
        <v>='NHAN VIEN'!q1791</v>
      </c>
    </row>
    <row r="53" customHeight="1" spans="1:34">
      <c r="A53" s="91"/>
      <c r="B53" s="92"/>
      <c r="C53" s="93">
        <f t="shared" si="18"/>
        <v>102</v>
      </c>
      <c r="D53" s="2">
        <f>'KHACH HANG'!C1829</f>
        <v>0</v>
      </c>
      <c r="E53" s="3">
        <f t="shared" si="3"/>
        <v>0</v>
      </c>
      <c r="F53" s="94">
        <f>'KHACH HANG'!G1829</f>
        <v>0</v>
      </c>
      <c r="G53" s="94">
        <f>'KHACH HANG'!H1829</f>
        <v>0</v>
      </c>
      <c r="H53" s="94">
        <f>'KHACH HANG'!I1829</f>
        <v>0</v>
      </c>
      <c r="I53" s="94">
        <f>'KHACH HANG'!J1829</f>
        <v>0</v>
      </c>
      <c r="J53" s="94">
        <f>'KHACH HANG'!K1829</f>
        <v>0</v>
      </c>
      <c r="K53" s="94">
        <f>'KHACH HANG'!L1829</f>
        <v>0</v>
      </c>
      <c r="L53" s="94">
        <f>'KHACH HANG'!M1829</f>
        <v>0</v>
      </c>
      <c r="M53" s="94">
        <f>'KHACH HANG'!N1829</f>
        <v>0</v>
      </c>
      <c r="N53" s="94">
        <f>'KHACH HANG'!O1829</f>
        <v>0</v>
      </c>
      <c r="O53" s="94">
        <f>'KHACH HANG'!P1829</f>
        <v>0</v>
      </c>
      <c r="P53" s="94">
        <f>'KHACH HANG'!Q1829</f>
        <v>0</v>
      </c>
      <c r="Q53" s="94">
        <f>'KHACH HANG'!R1829</f>
        <v>0</v>
      </c>
      <c r="R53" s="6">
        <f t="shared" si="21"/>
        <v>0</v>
      </c>
      <c r="S53" s="95"/>
      <c r="T53" s="31" t="str">
        <f t="shared" si="4"/>
        <v>'NHAN VIEN'!C1829</v>
      </c>
      <c r="U53" s="31">
        <f t="shared" si="19"/>
        <v>1829</v>
      </c>
      <c r="V53" s="31" t="str">
        <f t="shared" si="5"/>
        <v>='NHAN VIEN'!C1829</v>
      </c>
      <c r="W53" s="31" t="str">
        <f t="shared" si="6"/>
        <v>='NHAN VIEN'!f1829</v>
      </c>
      <c r="X53" s="31" t="str">
        <f t="shared" si="7"/>
        <v>='NHAN VIEN'!g1829</v>
      </c>
      <c r="Y53" s="31" t="str">
        <f t="shared" si="8"/>
        <v>='NHAN VIEN'!h1829</v>
      </c>
      <c r="Z53" s="31" t="str">
        <f t="shared" si="9"/>
        <v>='NHAN VIEN'!i1829</v>
      </c>
      <c r="AA53" s="31" t="str">
        <f t="shared" si="10"/>
        <v>='NHAN VIEN'!j1829</v>
      </c>
      <c r="AB53" s="31" t="str">
        <f t="shared" si="11"/>
        <v>='NHAN VIEN'!k1829</v>
      </c>
      <c r="AC53" s="31" t="str">
        <f t="shared" si="12"/>
        <v>='NHAN VIEN'!l1829</v>
      </c>
      <c r="AD53" s="31" t="str">
        <f t="shared" si="13"/>
        <v>='NHAN VIEN'!m1829</v>
      </c>
      <c r="AE53" s="31" t="str">
        <f t="shared" si="14"/>
        <v>='NHAN VIEN'!n1829</v>
      </c>
      <c r="AF53" s="31" t="str">
        <f t="shared" si="15"/>
        <v>='NHAN VIEN'!o1829</v>
      </c>
      <c r="AG53" s="31" t="str">
        <f t="shared" si="16"/>
        <v>='NHAN VIEN'!p1829</v>
      </c>
      <c r="AH53" s="31" t="str">
        <f t="shared" si="17"/>
        <v>='NHAN VIEN'!q1829</v>
      </c>
    </row>
    <row r="54" customHeight="1" spans="1:34">
      <c r="A54" s="91"/>
      <c r="B54" s="92"/>
      <c r="C54" s="93">
        <f t="shared" si="18"/>
        <v>103</v>
      </c>
      <c r="D54" s="2">
        <f>'KHACH HANG'!C1867</f>
        <v>0</v>
      </c>
      <c r="E54" s="3">
        <f t="shared" si="3"/>
        <v>0</v>
      </c>
      <c r="F54" s="94">
        <f>'KHACH HANG'!G1867</f>
        <v>0</v>
      </c>
      <c r="G54" s="94">
        <f>'KHACH HANG'!H1867</f>
        <v>0</v>
      </c>
      <c r="H54" s="94">
        <f>'KHACH HANG'!I1867</f>
        <v>0</v>
      </c>
      <c r="I54" s="94">
        <f>'KHACH HANG'!J1867</f>
        <v>0</v>
      </c>
      <c r="J54" s="94">
        <f>'KHACH HANG'!K1867</f>
        <v>0</v>
      </c>
      <c r="K54" s="94">
        <f>'KHACH HANG'!L1867</f>
        <v>0</v>
      </c>
      <c r="L54" s="94">
        <f>'KHACH HANG'!M1867</f>
        <v>0</v>
      </c>
      <c r="M54" s="94">
        <f>'KHACH HANG'!N1867</f>
        <v>0</v>
      </c>
      <c r="N54" s="94">
        <f>'KHACH HANG'!O1867</f>
        <v>0</v>
      </c>
      <c r="O54" s="94">
        <f>'KHACH HANG'!P1867</f>
        <v>0</v>
      </c>
      <c r="P54" s="94">
        <f>'KHACH HANG'!Q1867</f>
        <v>0</v>
      </c>
      <c r="Q54" s="94">
        <f>'KHACH HANG'!R1867</f>
        <v>0</v>
      </c>
      <c r="R54" s="6">
        <f t="shared" si="21"/>
        <v>0</v>
      </c>
      <c r="S54" s="95"/>
      <c r="T54" s="31" t="str">
        <f t="shared" si="4"/>
        <v>'NHAN VIEN'!C1867</v>
      </c>
      <c r="U54" s="31">
        <f t="shared" si="19"/>
        <v>1867</v>
      </c>
      <c r="V54" s="31" t="str">
        <f t="shared" si="5"/>
        <v>='NHAN VIEN'!C1867</v>
      </c>
      <c r="W54" s="31" t="str">
        <f t="shared" si="6"/>
        <v>='NHAN VIEN'!f1867</v>
      </c>
      <c r="X54" s="31" t="str">
        <f t="shared" si="7"/>
        <v>='NHAN VIEN'!g1867</v>
      </c>
      <c r="Y54" s="31" t="str">
        <f t="shared" si="8"/>
        <v>='NHAN VIEN'!h1867</v>
      </c>
      <c r="Z54" s="31" t="str">
        <f t="shared" si="9"/>
        <v>='NHAN VIEN'!i1867</v>
      </c>
      <c r="AA54" s="31" t="str">
        <f t="shared" si="10"/>
        <v>='NHAN VIEN'!j1867</v>
      </c>
      <c r="AB54" s="31" t="str">
        <f t="shared" si="11"/>
        <v>='NHAN VIEN'!k1867</v>
      </c>
      <c r="AC54" s="31" t="str">
        <f t="shared" si="12"/>
        <v>='NHAN VIEN'!l1867</v>
      </c>
      <c r="AD54" s="31" t="str">
        <f t="shared" si="13"/>
        <v>='NHAN VIEN'!m1867</v>
      </c>
      <c r="AE54" s="31" t="str">
        <f t="shared" si="14"/>
        <v>='NHAN VIEN'!n1867</v>
      </c>
      <c r="AF54" s="31" t="str">
        <f t="shared" si="15"/>
        <v>='NHAN VIEN'!o1867</v>
      </c>
      <c r="AG54" s="31" t="str">
        <f t="shared" si="16"/>
        <v>='NHAN VIEN'!p1867</v>
      </c>
      <c r="AH54" s="31" t="str">
        <f t="shared" si="17"/>
        <v>='NHAN VIEN'!q1867</v>
      </c>
    </row>
    <row r="55" customHeight="1" spans="1:34">
      <c r="A55" s="91"/>
      <c r="B55" s="92"/>
      <c r="C55" s="93">
        <f t="shared" si="18"/>
        <v>104</v>
      </c>
      <c r="D55" s="2">
        <f>'KHACH HANG'!C1905</f>
        <v>0</v>
      </c>
      <c r="E55" s="3">
        <f t="shared" si="3"/>
        <v>0</v>
      </c>
      <c r="F55" s="94">
        <f>'KHACH HANG'!G1905</f>
        <v>0</v>
      </c>
      <c r="G55" s="94">
        <f>'KHACH HANG'!H1905</f>
        <v>0</v>
      </c>
      <c r="H55" s="94">
        <f>'KHACH HANG'!I1905</f>
        <v>0</v>
      </c>
      <c r="I55" s="94">
        <f>'KHACH HANG'!J1905</f>
        <v>0</v>
      </c>
      <c r="J55" s="94">
        <f>'KHACH HANG'!K1905</f>
        <v>0</v>
      </c>
      <c r="K55" s="94">
        <f>'KHACH HANG'!L1905</f>
        <v>0</v>
      </c>
      <c r="L55" s="94">
        <f>'KHACH HANG'!M1905</f>
        <v>0</v>
      </c>
      <c r="M55" s="94">
        <f>'KHACH HANG'!N1905</f>
        <v>0</v>
      </c>
      <c r="N55" s="94">
        <f>'KHACH HANG'!O1905</f>
        <v>0</v>
      </c>
      <c r="O55" s="94">
        <f>'KHACH HANG'!P1905</f>
        <v>0</v>
      </c>
      <c r="P55" s="94">
        <f>'KHACH HANG'!Q1905</f>
        <v>0</v>
      </c>
      <c r="Q55" s="94">
        <f>'KHACH HANG'!R1905</f>
        <v>0</v>
      </c>
      <c r="R55" s="6">
        <f t="shared" si="21"/>
        <v>0</v>
      </c>
      <c r="S55" s="95"/>
      <c r="T55" s="31" t="str">
        <f t="shared" si="4"/>
        <v>'NHAN VIEN'!C1905</v>
      </c>
      <c r="U55" s="31">
        <f t="shared" si="19"/>
        <v>1905</v>
      </c>
      <c r="V55" s="31" t="str">
        <f t="shared" si="5"/>
        <v>='NHAN VIEN'!C1905</v>
      </c>
      <c r="W55" s="31" t="str">
        <f t="shared" si="6"/>
        <v>='NHAN VIEN'!f1905</v>
      </c>
      <c r="X55" s="31" t="str">
        <f t="shared" si="7"/>
        <v>='NHAN VIEN'!g1905</v>
      </c>
      <c r="Y55" s="31" t="str">
        <f t="shared" si="8"/>
        <v>='NHAN VIEN'!h1905</v>
      </c>
      <c r="Z55" s="31" t="str">
        <f t="shared" si="9"/>
        <v>='NHAN VIEN'!i1905</v>
      </c>
      <c r="AA55" s="31" t="str">
        <f t="shared" si="10"/>
        <v>='NHAN VIEN'!j1905</v>
      </c>
      <c r="AB55" s="31" t="str">
        <f t="shared" si="11"/>
        <v>='NHAN VIEN'!k1905</v>
      </c>
      <c r="AC55" s="31" t="str">
        <f t="shared" si="12"/>
        <v>='NHAN VIEN'!l1905</v>
      </c>
      <c r="AD55" s="31" t="str">
        <f t="shared" si="13"/>
        <v>='NHAN VIEN'!m1905</v>
      </c>
      <c r="AE55" s="31" t="str">
        <f t="shared" si="14"/>
        <v>='NHAN VIEN'!n1905</v>
      </c>
      <c r="AF55" s="31" t="str">
        <f t="shared" si="15"/>
        <v>='NHAN VIEN'!o1905</v>
      </c>
      <c r="AG55" s="31" t="str">
        <f t="shared" si="16"/>
        <v>='NHAN VIEN'!p1905</v>
      </c>
      <c r="AH55" s="31" t="str">
        <f t="shared" si="17"/>
        <v>='NHAN VIEN'!q1905</v>
      </c>
    </row>
    <row r="56" customHeight="1" spans="1:34">
      <c r="A56" s="91"/>
      <c r="B56" s="92"/>
      <c r="C56" s="93">
        <f t="shared" si="18"/>
        <v>105</v>
      </c>
      <c r="D56" s="2">
        <f>'KHACH HANG'!C1943</f>
        <v>0</v>
      </c>
      <c r="E56" s="3">
        <f t="shared" si="3"/>
        <v>0</v>
      </c>
      <c r="F56" s="94">
        <f>'KHACH HANG'!G1943</f>
        <v>0</v>
      </c>
      <c r="G56" s="94">
        <f>'KHACH HANG'!H1943</f>
        <v>0</v>
      </c>
      <c r="H56" s="94">
        <f>'KHACH HANG'!I1943</f>
        <v>0</v>
      </c>
      <c r="I56" s="94">
        <f>'KHACH HANG'!J1943</f>
        <v>0</v>
      </c>
      <c r="J56" s="94">
        <f>'KHACH HANG'!K1943</f>
        <v>0</v>
      </c>
      <c r="K56" s="94">
        <f>'KHACH HANG'!L1943</f>
        <v>0</v>
      </c>
      <c r="L56" s="94">
        <f>'KHACH HANG'!M1943</f>
        <v>0</v>
      </c>
      <c r="M56" s="94">
        <f>'KHACH HANG'!N1943</f>
        <v>0</v>
      </c>
      <c r="N56" s="94">
        <f>'KHACH HANG'!O1943</f>
        <v>0</v>
      </c>
      <c r="O56" s="94">
        <f>'KHACH HANG'!P1943</f>
        <v>0</v>
      </c>
      <c r="P56" s="94">
        <f>'KHACH HANG'!Q1943</f>
        <v>0</v>
      </c>
      <c r="Q56" s="94">
        <f>'KHACH HANG'!R1943</f>
        <v>0</v>
      </c>
      <c r="R56" s="6">
        <f t="shared" si="21"/>
        <v>0</v>
      </c>
      <c r="S56" s="95"/>
      <c r="T56" s="31" t="str">
        <f t="shared" si="4"/>
        <v>'NHAN VIEN'!C1943</v>
      </c>
      <c r="U56" s="31">
        <f t="shared" si="19"/>
        <v>1943</v>
      </c>
      <c r="V56" s="31" t="str">
        <f t="shared" si="5"/>
        <v>='NHAN VIEN'!C1943</v>
      </c>
      <c r="W56" s="31" t="str">
        <f t="shared" si="6"/>
        <v>='NHAN VIEN'!f1943</v>
      </c>
      <c r="X56" s="31" t="str">
        <f t="shared" si="7"/>
        <v>='NHAN VIEN'!g1943</v>
      </c>
      <c r="Y56" s="31" t="str">
        <f t="shared" si="8"/>
        <v>='NHAN VIEN'!h1943</v>
      </c>
      <c r="Z56" s="31" t="str">
        <f t="shared" si="9"/>
        <v>='NHAN VIEN'!i1943</v>
      </c>
      <c r="AA56" s="31" t="str">
        <f t="shared" si="10"/>
        <v>='NHAN VIEN'!j1943</v>
      </c>
      <c r="AB56" s="31" t="str">
        <f t="shared" si="11"/>
        <v>='NHAN VIEN'!k1943</v>
      </c>
      <c r="AC56" s="31" t="str">
        <f t="shared" si="12"/>
        <v>='NHAN VIEN'!l1943</v>
      </c>
      <c r="AD56" s="31" t="str">
        <f t="shared" si="13"/>
        <v>='NHAN VIEN'!m1943</v>
      </c>
      <c r="AE56" s="31" t="str">
        <f t="shared" si="14"/>
        <v>='NHAN VIEN'!n1943</v>
      </c>
      <c r="AF56" s="31" t="str">
        <f t="shared" si="15"/>
        <v>='NHAN VIEN'!o1943</v>
      </c>
      <c r="AG56" s="31" t="str">
        <f t="shared" si="16"/>
        <v>='NHAN VIEN'!p1943</v>
      </c>
      <c r="AH56" s="31" t="str">
        <f t="shared" si="17"/>
        <v>='NHAN VIEN'!q1943</v>
      </c>
    </row>
    <row r="57" customHeight="1" spans="1:34">
      <c r="A57" s="91"/>
      <c r="B57" s="92"/>
      <c r="C57" s="93">
        <f t="shared" si="18"/>
        <v>106</v>
      </c>
      <c r="D57" s="2">
        <f>'KHACH HANG'!C1981</f>
        <v>0</v>
      </c>
      <c r="E57" s="3">
        <f t="shared" si="3"/>
        <v>0</v>
      </c>
      <c r="F57" s="94">
        <f>'KHACH HANG'!G1981</f>
        <v>0</v>
      </c>
      <c r="G57" s="94">
        <f>'KHACH HANG'!H1981</f>
        <v>0</v>
      </c>
      <c r="H57" s="94">
        <f>'KHACH HANG'!I1981</f>
        <v>0</v>
      </c>
      <c r="I57" s="94">
        <f>'KHACH HANG'!J1981</f>
        <v>0</v>
      </c>
      <c r="J57" s="94">
        <f>'KHACH HANG'!K1981</f>
        <v>0</v>
      </c>
      <c r="K57" s="94">
        <f>'KHACH HANG'!L1981</f>
        <v>0</v>
      </c>
      <c r="L57" s="94">
        <f>'KHACH HANG'!M1981</f>
        <v>0</v>
      </c>
      <c r="M57" s="94">
        <f>'KHACH HANG'!N1981</f>
        <v>0</v>
      </c>
      <c r="N57" s="94">
        <f>'KHACH HANG'!O1981</f>
        <v>0</v>
      </c>
      <c r="O57" s="94">
        <f>'KHACH HANG'!P1981</f>
        <v>0</v>
      </c>
      <c r="P57" s="94">
        <f>'KHACH HANG'!Q1981</f>
        <v>0</v>
      </c>
      <c r="Q57" s="94">
        <f>'KHACH HANG'!R1981</f>
        <v>0</v>
      </c>
      <c r="R57" s="6">
        <f t="shared" si="21"/>
        <v>0</v>
      </c>
      <c r="S57" s="95"/>
      <c r="T57" s="31" t="str">
        <f t="shared" si="4"/>
        <v>'NHAN VIEN'!C1981</v>
      </c>
      <c r="U57" s="31">
        <f t="shared" si="19"/>
        <v>1981</v>
      </c>
      <c r="V57" s="31" t="str">
        <f t="shared" si="5"/>
        <v>='NHAN VIEN'!C1981</v>
      </c>
      <c r="W57" s="31" t="str">
        <f t="shared" si="6"/>
        <v>='NHAN VIEN'!f1981</v>
      </c>
      <c r="X57" s="31" t="str">
        <f t="shared" si="7"/>
        <v>='NHAN VIEN'!g1981</v>
      </c>
      <c r="Y57" s="31" t="str">
        <f t="shared" si="8"/>
        <v>='NHAN VIEN'!h1981</v>
      </c>
      <c r="Z57" s="31" t="str">
        <f t="shared" si="9"/>
        <v>='NHAN VIEN'!i1981</v>
      </c>
      <c r="AA57" s="31" t="str">
        <f t="shared" si="10"/>
        <v>='NHAN VIEN'!j1981</v>
      </c>
      <c r="AB57" s="31" t="str">
        <f t="shared" si="11"/>
        <v>='NHAN VIEN'!k1981</v>
      </c>
      <c r="AC57" s="31" t="str">
        <f t="shared" si="12"/>
        <v>='NHAN VIEN'!l1981</v>
      </c>
      <c r="AD57" s="31" t="str">
        <f t="shared" si="13"/>
        <v>='NHAN VIEN'!m1981</v>
      </c>
      <c r="AE57" s="31" t="str">
        <f t="shared" si="14"/>
        <v>='NHAN VIEN'!n1981</v>
      </c>
      <c r="AF57" s="31" t="str">
        <f t="shared" si="15"/>
        <v>='NHAN VIEN'!o1981</v>
      </c>
      <c r="AG57" s="31" t="str">
        <f t="shared" si="16"/>
        <v>='NHAN VIEN'!p1981</v>
      </c>
      <c r="AH57" s="31" t="str">
        <f t="shared" si="17"/>
        <v>='NHAN VIEN'!q1981</v>
      </c>
    </row>
    <row r="58" customHeight="1" spans="1:34">
      <c r="A58" s="91"/>
      <c r="B58" s="92"/>
      <c r="C58" s="93">
        <f t="shared" si="18"/>
        <v>107</v>
      </c>
      <c r="D58" s="2">
        <f>'KHACH HANG'!C2019</f>
        <v>0</v>
      </c>
      <c r="E58" s="3">
        <f t="shared" si="3"/>
        <v>0</v>
      </c>
      <c r="F58" s="94">
        <f>'KHACH HANG'!G2019</f>
        <v>0</v>
      </c>
      <c r="G58" s="94">
        <f>'KHACH HANG'!H2019</f>
        <v>0</v>
      </c>
      <c r="H58" s="94">
        <f>'KHACH HANG'!I2019</f>
        <v>0</v>
      </c>
      <c r="I58" s="94">
        <f>'KHACH HANG'!J2019</f>
        <v>0</v>
      </c>
      <c r="J58" s="94">
        <f>'KHACH HANG'!K2019</f>
        <v>0</v>
      </c>
      <c r="K58" s="94">
        <f>'KHACH HANG'!L2019</f>
        <v>0</v>
      </c>
      <c r="L58" s="94">
        <f>'KHACH HANG'!M2019</f>
        <v>0</v>
      </c>
      <c r="M58" s="94">
        <f>'KHACH HANG'!N2019</f>
        <v>0</v>
      </c>
      <c r="N58" s="94">
        <f>'KHACH HANG'!O2019</f>
        <v>0</v>
      </c>
      <c r="O58" s="94">
        <f>'KHACH HANG'!P2019</f>
        <v>0</v>
      </c>
      <c r="P58" s="94">
        <f>'KHACH HANG'!Q2019</f>
        <v>0</v>
      </c>
      <c r="Q58" s="94">
        <f>'KHACH HANG'!R2019</f>
        <v>0</v>
      </c>
      <c r="R58" s="6">
        <f t="shared" si="21"/>
        <v>0</v>
      </c>
      <c r="S58" s="95"/>
      <c r="T58" s="31" t="str">
        <f t="shared" si="4"/>
        <v>'NHAN VIEN'!C2019</v>
      </c>
      <c r="U58" s="31">
        <f t="shared" si="19"/>
        <v>2019</v>
      </c>
      <c r="V58" s="31" t="str">
        <f t="shared" si="5"/>
        <v>='NHAN VIEN'!C2019</v>
      </c>
      <c r="W58" s="31" t="str">
        <f t="shared" si="6"/>
        <v>='NHAN VIEN'!f2019</v>
      </c>
      <c r="X58" s="31" t="str">
        <f t="shared" si="7"/>
        <v>='NHAN VIEN'!g2019</v>
      </c>
      <c r="Y58" s="31" t="str">
        <f t="shared" si="8"/>
        <v>='NHAN VIEN'!h2019</v>
      </c>
      <c r="Z58" s="31" t="str">
        <f t="shared" si="9"/>
        <v>='NHAN VIEN'!i2019</v>
      </c>
      <c r="AA58" s="31" t="str">
        <f t="shared" si="10"/>
        <v>='NHAN VIEN'!j2019</v>
      </c>
      <c r="AB58" s="31" t="str">
        <f t="shared" si="11"/>
        <v>='NHAN VIEN'!k2019</v>
      </c>
      <c r="AC58" s="31" t="str">
        <f t="shared" si="12"/>
        <v>='NHAN VIEN'!l2019</v>
      </c>
      <c r="AD58" s="31" t="str">
        <f t="shared" si="13"/>
        <v>='NHAN VIEN'!m2019</v>
      </c>
      <c r="AE58" s="31" t="str">
        <f t="shared" si="14"/>
        <v>='NHAN VIEN'!n2019</v>
      </c>
      <c r="AF58" s="31" t="str">
        <f t="shared" si="15"/>
        <v>='NHAN VIEN'!o2019</v>
      </c>
      <c r="AG58" s="31" t="str">
        <f t="shared" si="16"/>
        <v>='NHAN VIEN'!p2019</v>
      </c>
      <c r="AH58" s="31" t="str">
        <f t="shared" si="17"/>
        <v>='NHAN VIEN'!q2019</v>
      </c>
    </row>
    <row r="59" customHeight="1" spans="1:34">
      <c r="A59" s="91"/>
      <c r="B59" s="96"/>
      <c r="C59" s="93">
        <f t="shared" si="18"/>
        <v>108</v>
      </c>
      <c r="D59" s="97">
        <f>'KHACH HANG'!C2057</f>
        <v>0</v>
      </c>
      <c r="E59" s="3">
        <f t="shared" si="3"/>
        <v>0</v>
      </c>
      <c r="F59" s="94">
        <f>'KHACH HANG'!G2057</f>
        <v>0</v>
      </c>
      <c r="G59" s="94">
        <f>'KHACH HANG'!H2057</f>
        <v>0</v>
      </c>
      <c r="H59" s="94">
        <f>'KHACH HANG'!I2057</f>
        <v>0</v>
      </c>
      <c r="I59" s="94">
        <f>'KHACH HANG'!J2057</f>
        <v>0</v>
      </c>
      <c r="J59" s="94">
        <f>'KHACH HANG'!K2057</f>
        <v>0</v>
      </c>
      <c r="K59" s="94">
        <f>'KHACH HANG'!L2057</f>
        <v>0</v>
      </c>
      <c r="L59" s="94">
        <f>'KHACH HANG'!M2057</f>
        <v>0</v>
      </c>
      <c r="M59" s="94">
        <f>'KHACH HANG'!N2057</f>
        <v>0</v>
      </c>
      <c r="N59" s="94">
        <f>'KHACH HANG'!O2057</f>
        <v>0</v>
      </c>
      <c r="O59" s="94">
        <f>'KHACH HANG'!P2057</f>
        <v>0</v>
      </c>
      <c r="P59" s="94">
        <f>'KHACH HANG'!Q2057</f>
        <v>0</v>
      </c>
      <c r="Q59" s="94">
        <f>'KHACH HANG'!R2057</f>
        <v>0</v>
      </c>
      <c r="R59" s="6">
        <f t="shared" si="21"/>
        <v>0</v>
      </c>
      <c r="S59" s="95"/>
      <c r="T59" s="31" t="str">
        <f t="shared" si="4"/>
        <v>'NHAN VIEN'!C2057</v>
      </c>
      <c r="U59" s="31">
        <f t="shared" si="19"/>
        <v>2057</v>
      </c>
      <c r="V59" s="31" t="str">
        <f t="shared" si="5"/>
        <v>='NHAN VIEN'!C2057</v>
      </c>
      <c r="W59" s="31" t="str">
        <f t="shared" si="6"/>
        <v>='NHAN VIEN'!f2057</v>
      </c>
      <c r="X59" s="31" t="str">
        <f t="shared" si="7"/>
        <v>='NHAN VIEN'!g2057</v>
      </c>
      <c r="Y59" s="31" t="str">
        <f t="shared" si="8"/>
        <v>='NHAN VIEN'!h2057</v>
      </c>
      <c r="Z59" s="31" t="str">
        <f t="shared" si="9"/>
        <v>='NHAN VIEN'!i2057</v>
      </c>
      <c r="AA59" s="31" t="str">
        <f t="shared" si="10"/>
        <v>='NHAN VIEN'!j2057</v>
      </c>
      <c r="AB59" s="31" t="str">
        <f t="shared" si="11"/>
        <v>='NHAN VIEN'!k2057</v>
      </c>
      <c r="AC59" s="31" t="str">
        <f t="shared" si="12"/>
        <v>='NHAN VIEN'!l2057</v>
      </c>
      <c r="AD59" s="31" t="str">
        <f t="shared" si="13"/>
        <v>='NHAN VIEN'!m2057</v>
      </c>
      <c r="AE59" s="31" t="str">
        <f t="shared" si="14"/>
        <v>='NHAN VIEN'!n2057</v>
      </c>
      <c r="AF59" s="31" t="str">
        <f t="shared" si="15"/>
        <v>='NHAN VIEN'!o2057</v>
      </c>
      <c r="AG59" s="31" t="str">
        <f t="shared" si="16"/>
        <v>='NHAN VIEN'!p2057</v>
      </c>
      <c r="AH59" s="31" t="str">
        <f t="shared" si="17"/>
        <v>='NHAN VIEN'!q2057</v>
      </c>
    </row>
    <row r="60" customHeight="1" spans="1:34">
      <c r="C60" s="93">
        <f t="shared" si="18"/>
        <v>109</v>
      </c>
      <c r="D60" s="97">
        <f>'KHACH HANG'!C2095</f>
        <v>0</v>
      </c>
      <c r="E60" s="3">
        <f t="shared" si="3"/>
        <v>0</v>
      </c>
      <c r="F60" s="98">
        <f>'KHACH HANG'!G2095</f>
        <v>0</v>
      </c>
      <c r="G60" s="98">
        <f>'KHACH HANG'!H2095</f>
        <v>0</v>
      </c>
      <c r="H60" s="98">
        <f>'KHACH HANG'!I2095</f>
        <v>0</v>
      </c>
      <c r="I60" s="98">
        <f>'KHACH HANG'!J2095</f>
        <v>0</v>
      </c>
      <c r="J60" s="98">
        <f>'KHACH HANG'!K2095</f>
        <v>0</v>
      </c>
      <c r="K60" s="98">
        <f>'KHACH HANG'!L2095</f>
        <v>0</v>
      </c>
      <c r="L60" s="98">
        <f>'KHACH HANG'!M2095</f>
        <v>0</v>
      </c>
      <c r="M60" s="98">
        <f>'KHACH HANG'!N2095</f>
        <v>0</v>
      </c>
      <c r="N60" s="98">
        <f>'KHACH HANG'!O2095</f>
        <v>0</v>
      </c>
      <c r="O60" s="98">
        <f>'KHACH HANG'!P2095</f>
        <v>0</v>
      </c>
      <c r="P60" s="98">
        <f>'KHACH HANG'!Q2095</f>
        <v>0</v>
      </c>
      <c r="Q60" s="98">
        <f>'KHACH HANG'!R2095</f>
        <v>0</v>
      </c>
      <c r="R60" s="6">
        <f t="shared" si="21"/>
        <v>0</v>
      </c>
      <c r="S60" s="10"/>
      <c r="T60" s="31" t="str">
        <f t="shared" si="4"/>
        <v>'NHAN VIEN'!C2095</v>
      </c>
      <c r="U60" s="31">
        <f t="shared" si="19"/>
        <v>2095</v>
      </c>
      <c r="V60" s="31" t="str">
        <f t="shared" ref="V60:V61" si="22">"="&amp;T60</f>
        <v>='NHAN VIEN'!C2095</v>
      </c>
      <c r="W60" s="31" t="str">
        <f t="shared" ref="W60:W61" si="23">"="&amp;("'NHAN VIEN'!"&amp;$W$5&amp;U59+38)</f>
        <v>='NHAN VIEN'!f2095</v>
      </c>
      <c r="X60" s="31" t="str">
        <f t="shared" ref="X60:X61" si="24">"="&amp;("'NHAN VIEN'!"&amp;$X$5&amp;U59+38)</f>
        <v>='NHAN VIEN'!g2095</v>
      </c>
      <c r="Y60" s="31" t="str">
        <f t="shared" ref="Y60:Y61" si="25">"="&amp;("'NHAN VIEN'!"&amp;$Y$5&amp;U59+38)</f>
        <v>='NHAN VIEN'!h2095</v>
      </c>
      <c r="Z60" s="31" t="str">
        <f t="shared" ref="Z60:Z61" si="26">"="&amp;("'NHAN VIEN'!"&amp;$Z$5&amp;U59+38)</f>
        <v>='NHAN VIEN'!i2095</v>
      </c>
      <c r="AA60" s="31" t="str">
        <f t="shared" ref="AA60:AA61" si="27">"="&amp;("'NHAN VIEN'!"&amp;$AA$5&amp;U59+38)</f>
        <v>='NHAN VIEN'!j2095</v>
      </c>
      <c r="AB60" s="31" t="str">
        <f t="shared" ref="AB60:AB61" si="28">"="&amp;("'NHAN VIEN'!"&amp;$AB$5&amp;U59+38)</f>
        <v>='NHAN VIEN'!k2095</v>
      </c>
      <c r="AC60" s="31" t="str">
        <f t="shared" ref="AC60:AC61" si="29">"="&amp;("'NHAN VIEN'!"&amp;$AC$5&amp;U59+38)</f>
        <v>='NHAN VIEN'!l2095</v>
      </c>
      <c r="AD60" s="31" t="str">
        <f t="shared" ref="AD60:AD61" si="30">"="&amp;("'NHAN VIEN'!"&amp;$AD$5&amp;U59+38)</f>
        <v>='NHAN VIEN'!m2095</v>
      </c>
      <c r="AE60" s="31" t="str">
        <f t="shared" ref="AE60:AE61" si="31">"="&amp;("'NHAN VIEN'!"&amp;$AE$5&amp;U59+38)</f>
        <v>='NHAN VIEN'!n2095</v>
      </c>
      <c r="AF60" s="31" t="str">
        <f t="shared" ref="AF60:AF61" si="32">"="&amp;("'NHAN VIEN'!"&amp;$AF$5&amp;U59+38)</f>
        <v>='NHAN VIEN'!o2095</v>
      </c>
      <c r="AG60" s="31" t="str">
        <f t="shared" ref="AG60:AG61" si="33">"="&amp;("'NHAN VIEN'!"&amp;$AG$5&amp;U59+38)</f>
        <v>='NHAN VIEN'!p2095</v>
      </c>
      <c r="AH60" s="31" t="str">
        <f t="shared" si="17"/>
        <v>='NHAN VIEN'!q2095</v>
      </c>
    </row>
    <row r="61" customHeight="1" spans="1:34">
      <c r="C61" s="93">
        <f t="shared" si="18"/>
        <v>110</v>
      </c>
      <c r="D61" s="97">
        <f>'KHACH HANG'!C2133</f>
        <v>0</v>
      </c>
      <c r="E61" s="3">
        <f t="shared" si="3"/>
        <v>0</v>
      </c>
      <c r="F61" s="98">
        <f>'KHACH HANG'!G2133</f>
        <v>0</v>
      </c>
      <c r="G61" s="98">
        <f>'KHACH HANG'!H2133</f>
        <v>0</v>
      </c>
      <c r="H61" s="98">
        <f>'KHACH HANG'!I2133</f>
        <v>0</v>
      </c>
      <c r="I61" s="98">
        <f>'KHACH HANG'!J2133</f>
        <v>0</v>
      </c>
      <c r="J61" s="98">
        <f>'KHACH HANG'!K2133</f>
        <v>0</v>
      </c>
      <c r="K61" s="98">
        <f>'KHACH HANG'!L2133</f>
        <v>0</v>
      </c>
      <c r="L61" s="98">
        <f>'KHACH HANG'!M2133</f>
        <v>0</v>
      </c>
      <c r="M61" s="98">
        <f>'KHACH HANG'!N2133</f>
        <v>0</v>
      </c>
      <c r="N61" s="98">
        <f>'KHACH HANG'!O2133</f>
        <v>0</v>
      </c>
      <c r="O61" s="98">
        <f>'KHACH HANG'!P2133</f>
        <v>0</v>
      </c>
      <c r="P61" s="98">
        <f>'KHACH HANG'!Q2133</f>
        <v>0</v>
      </c>
      <c r="Q61" s="98">
        <f>'KHACH HANG'!R2133</f>
        <v>0</v>
      </c>
      <c r="R61" s="6">
        <f t="shared" si="21"/>
        <v>0</v>
      </c>
      <c r="S61" s="10"/>
      <c r="T61" s="31" t="str">
        <f t="shared" si="4"/>
        <v>'NHAN VIEN'!C2133</v>
      </c>
      <c r="U61" s="31">
        <f t="shared" si="19"/>
        <v>2133</v>
      </c>
      <c r="V61" s="31" t="str">
        <f t="shared" si="22"/>
        <v>='NHAN VIEN'!C2133</v>
      </c>
      <c r="W61" s="31" t="str">
        <f t="shared" si="23"/>
        <v>='NHAN VIEN'!f2133</v>
      </c>
      <c r="X61" s="31" t="str">
        <f t="shared" si="24"/>
        <v>='NHAN VIEN'!g2133</v>
      </c>
      <c r="Y61" s="31" t="str">
        <f t="shared" si="25"/>
        <v>='NHAN VIEN'!h2133</v>
      </c>
      <c r="Z61" s="31" t="str">
        <f t="shared" si="26"/>
        <v>='NHAN VIEN'!i2133</v>
      </c>
      <c r="AA61" s="31" t="str">
        <f t="shared" si="27"/>
        <v>='NHAN VIEN'!j2133</v>
      </c>
      <c r="AB61" s="31" t="str">
        <f t="shared" si="28"/>
        <v>='NHAN VIEN'!k2133</v>
      </c>
      <c r="AC61" s="31" t="str">
        <f t="shared" si="29"/>
        <v>='NHAN VIEN'!l2133</v>
      </c>
      <c r="AD61" s="31" t="str">
        <f t="shared" si="30"/>
        <v>='NHAN VIEN'!m2133</v>
      </c>
      <c r="AE61" s="31" t="str">
        <f t="shared" si="31"/>
        <v>='NHAN VIEN'!n2133</v>
      </c>
      <c r="AF61" s="31" t="str">
        <f t="shared" si="32"/>
        <v>='NHAN VIEN'!o2133</v>
      </c>
      <c r="AG61" s="31" t="str">
        <f t="shared" si="33"/>
        <v>='NHAN VIEN'!p2133</v>
      </c>
      <c r="AH61" s="31" t="str">
        <f t="shared" si="17"/>
        <v>='NHAN VIEN'!q2133</v>
      </c>
    </row>
    <row r="62" customHeight="1" spans="1:34">
      <c r="D62" s="99" t="s">
        <v>66</v>
      </c>
      <c r="E62" s="100">
        <f>444*56</f>
        <v>24864</v>
      </c>
      <c r="F62" s="101">
        <f t="shared" ref="F62:R62" si="34">SUM(F6:F61)</f>
        <v>2739</v>
      </c>
      <c r="G62" s="101">
        <f t="shared" si="34"/>
        <v>7512</v>
      </c>
      <c r="H62" s="101">
        <f t="shared" si="34"/>
        <v>16733</v>
      </c>
      <c r="I62" s="101">
        <f t="shared" si="34"/>
        <v>12250</v>
      </c>
      <c r="J62" s="101">
        <f t="shared" si="34"/>
        <v>15721</v>
      </c>
      <c r="K62" s="101">
        <f t="shared" si="34"/>
        <v>5384</v>
      </c>
      <c r="L62" s="101">
        <f t="shared" si="34"/>
        <v>5313</v>
      </c>
      <c r="M62" s="101">
        <f t="shared" si="34"/>
        <v>8573</v>
      </c>
      <c r="N62" s="101">
        <f t="shared" si="34"/>
        <v>5434</v>
      </c>
      <c r="O62" s="101">
        <f t="shared" si="34"/>
        <v>4464</v>
      </c>
      <c r="P62" s="101">
        <f t="shared" si="34"/>
        <v>5487</v>
      </c>
      <c r="Q62" s="101">
        <f t="shared" si="34"/>
        <v>800</v>
      </c>
      <c r="R62" s="102">
        <f t="shared" si="34"/>
        <v>90410</v>
      </c>
      <c r="S62" s="10"/>
    </row>
  </sheetData>
  <sheetProtection algorithmName="SHA-512" hashValue="8Czcc392UZfAZ0QPj2UFK3lbcConpWH42CV7CZiZTRKspJGPv+ZQ9OHrKoO2JCYyeRIH9asp9NBF24hlNTZRug==" saltValue="ZB2ic/VBCYmypUpbEhK6bQ==" spinCount="100000" sheet="1" objects="1" scenarios="1"/>
  <autoFilter xmlns:etc="http://www.wps.cn/officeDocument/2017/etCustomData" ref="A5:S62" etc:filterBottomFollowUsedRange="0">
    <extLst/>
  </autoFilter>
  <mergeCells count="5">
    <mergeCell ref="A1:S1"/>
    <mergeCell ref="A3:E3"/>
    <mergeCell ref="A4:E4"/>
    <mergeCell ref="A6:A59"/>
    <mergeCell ref="G2:R3"/>
  </mergeCells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workbookViewId="0">
      <selection activeCell="H21" sqref="H21"/>
    </sheetView>
  </sheetViews>
  <sheetFormatPr defaultColWidth="9" defaultRowHeight="15.6" outlineLevelCol="2"/>
  <cols>
    <col min="2" max="2" width="23" customWidth="1"/>
    <col min="3" max="3" width="17.2" customWidth="1"/>
  </cols>
  <sheetData>
    <row r="1" spans="1:3">
      <c r="A1" s="65" t="s">
        <v>5</v>
      </c>
      <c r="B1" s="66" t="s">
        <v>67</v>
      </c>
      <c r="C1" s="67" t="s">
        <v>68</v>
      </c>
    </row>
    <row r="2" spans="1:3">
      <c r="A2" s="65">
        <v>1</v>
      </c>
      <c r="B2" s="66" t="s">
        <v>67</v>
      </c>
      <c r="C2" s="67" t="s">
        <v>69</v>
      </c>
    </row>
    <row r="3" spans="1:3">
      <c r="A3" s="65">
        <f>A2+1</f>
        <v>2</v>
      </c>
      <c r="B3" s="66" t="s">
        <v>70</v>
      </c>
      <c r="C3" s="67" t="s">
        <v>71</v>
      </c>
    </row>
    <row r="4" spans="1:3">
      <c r="A4" s="65">
        <f t="shared" ref="A4:A38" si="0">A3+1</f>
        <v>3</v>
      </c>
      <c r="B4" s="66" t="s">
        <v>70</v>
      </c>
      <c r="C4" s="67" t="s">
        <v>72</v>
      </c>
    </row>
    <row r="5" spans="1:3">
      <c r="A5" s="65">
        <f t="shared" si="0"/>
        <v>4</v>
      </c>
      <c r="B5" s="68" t="s">
        <v>70</v>
      </c>
      <c r="C5" s="69" t="s">
        <v>73</v>
      </c>
    </row>
    <row r="6" spans="1:3">
      <c r="A6" s="65">
        <f t="shared" si="0"/>
        <v>5</v>
      </c>
      <c r="B6" s="68" t="s">
        <v>70</v>
      </c>
      <c r="C6" s="69" t="s">
        <v>74</v>
      </c>
    </row>
    <row r="7" spans="1:3">
      <c r="A7" s="65">
        <f t="shared" si="0"/>
        <v>6</v>
      </c>
      <c r="B7" s="66" t="s">
        <v>75</v>
      </c>
      <c r="C7" s="67" t="s">
        <v>76</v>
      </c>
    </row>
    <row r="8" spans="1:3">
      <c r="A8" s="65">
        <f t="shared" si="0"/>
        <v>7</v>
      </c>
      <c r="B8" s="66" t="s">
        <v>75</v>
      </c>
      <c r="C8" s="67" t="s">
        <v>77</v>
      </c>
    </row>
    <row r="9" spans="1:3">
      <c r="A9" s="65">
        <f t="shared" si="0"/>
        <v>8</v>
      </c>
      <c r="B9" s="66" t="s">
        <v>75</v>
      </c>
      <c r="C9" s="67" t="s">
        <v>78</v>
      </c>
    </row>
    <row r="10" spans="1:3">
      <c r="A10" s="65">
        <f t="shared" si="0"/>
        <v>9</v>
      </c>
      <c r="B10" s="66" t="s">
        <v>79</v>
      </c>
      <c r="C10" s="67" t="s">
        <v>80</v>
      </c>
    </row>
    <row r="11" spans="1:3">
      <c r="A11" s="65">
        <f t="shared" si="0"/>
        <v>10</v>
      </c>
      <c r="B11" s="66" t="s">
        <v>79</v>
      </c>
      <c r="C11" s="67" t="s">
        <v>81</v>
      </c>
    </row>
    <row r="12" spans="1:3">
      <c r="A12" s="65">
        <f t="shared" si="0"/>
        <v>11</v>
      </c>
      <c r="B12" s="66" t="s">
        <v>79</v>
      </c>
      <c r="C12" s="67" t="s">
        <v>82</v>
      </c>
    </row>
    <row r="13" spans="1:3">
      <c r="A13" s="65">
        <f t="shared" si="0"/>
        <v>12</v>
      </c>
      <c r="B13" s="66" t="s">
        <v>79</v>
      </c>
      <c r="C13" s="67" t="s">
        <v>83</v>
      </c>
    </row>
    <row r="14" spans="1:3">
      <c r="A14" s="65">
        <f t="shared" si="0"/>
        <v>13</v>
      </c>
      <c r="B14" s="66" t="s">
        <v>84</v>
      </c>
      <c r="C14" s="67" t="s">
        <v>85</v>
      </c>
    </row>
    <row r="15" spans="1:3">
      <c r="A15" s="65">
        <f t="shared" si="0"/>
        <v>14</v>
      </c>
      <c r="B15" s="66" t="s">
        <v>84</v>
      </c>
      <c r="C15" s="67" t="s">
        <v>86</v>
      </c>
    </row>
    <row r="16" spans="1:3">
      <c r="A16" s="65">
        <f t="shared" si="0"/>
        <v>15</v>
      </c>
      <c r="B16" s="66" t="s">
        <v>84</v>
      </c>
      <c r="C16" s="67" t="s">
        <v>87</v>
      </c>
    </row>
    <row r="17" spans="1:3">
      <c r="A17" s="65">
        <f t="shared" si="0"/>
        <v>16</v>
      </c>
      <c r="B17" s="66" t="s">
        <v>84</v>
      </c>
      <c r="C17" s="67" t="s">
        <v>88</v>
      </c>
    </row>
    <row r="18" spans="1:3">
      <c r="A18" s="65">
        <f t="shared" si="0"/>
        <v>17</v>
      </c>
      <c r="B18" s="66" t="s">
        <v>84</v>
      </c>
      <c r="C18" s="67" t="s">
        <v>89</v>
      </c>
    </row>
    <row r="19" spans="1:3">
      <c r="A19" s="65">
        <f t="shared" si="0"/>
        <v>18</v>
      </c>
      <c r="B19" s="66" t="s">
        <v>84</v>
      </c>
      <c r="C19" s="67" t="s">
        <v>90</v>
      </c>
    </row>
    <row r="20" spans="1:3">
      <c r="A20" s="65">
        <f t="shared" si="0"/>
        <v>19</v>
      </c>
      <c r="B20" s="66" t="s">
        <v>91</v>
      </c>
      <c r="C20" s="67" t="s">
        <v>92</v>
      </c>
    </row>
    <row r="21" spans="1:3">
      <c r="A21" s="65">
        <f t="shared" si="0"/>
        <v>20</v>
      </c>
      <c r="B21" s="66" t="s">
        <v>91</v>
      </c>
      <c r="C21" s="67" t="s">
        <v>93</v>
      </c>
    </row>
    <row r="22" spans="1:3">
      <c r="A22" s="65">
        <f t="shared" si="0"/>
        <v>21</v>
      </c>
      <c r="B22" s="66" t="s">
        <v>91</v>
      </c>
      <c r="C22" s="67" t="s">
        <v>94</v>
      </c>
    </row>
    <row r="23" spans="1:3">
      <c r="A23" s="65">
        <f t="shared" si="0"/>
        <v>22</v>
      </c>
      <c r="B23" s="66" t="s">
        <v>91</v>
      </c>
      <c r="C23" s="67" t="s">
        <v>95</v>
      </c>
    </row>
    <row r="24" spans="1:3">
      <c r="A24" s="65">
        <f t="shared" si="0"/>
        <v>23</v>
      </c>
      <c r="B24" s="66" t="s">
        <v>91</v>
      </c>
      <c r="C24" s="67" t="s">
        <v>96</v>
      </c>
    </row>
    <row r="25" spans="1:3">
      <c r="A25" s="65">
        <f t="shared" si="0"/>
        <v>24</v>
      </c>
      <c r="B25" s="66" t="s">
        <v>91</v>
      </c>
      <c r="C25" s="67" t="s">
        <v>97</v>
      </c>
    </row>
    <row r="26" spans="1:3">
      <c r="A26" s="65">
        <f t="shared" si="0"/>
        <v>25</v>
      </c>
      <c r="B26" s="66" t="s">
        <v>91</v>
      </c>
      <c r="C26" s="67" t="s">
        <v>98</v>
      </c>
    </row>
    <row r="27" spans="1:3">
      <c r="A27" s="65">
        <f t="shared" si="0"/>
        <v>26</v>
      </c>
      <c r="B27" s="66" t="s">
        <v>91</v>
      </c>
      <c r="C27" s="67" t="s">
        <v>99</v>
      </c>
    </row>
    <row r="28" spans="1:3">
      <c r="A28" s="65">
        <f t="shared" si="0"/>
        <v>27</v>
      </c>
      <c r="B28" s="66" t="s">
        <v>100</v>
      </c>
      <c r="C28" s="67" t="s">
        <v>101</v>
      </c>
    </row>
    <row r="29" spans="1:3">
      <c r="A29" s="65">
        <f t="shared" si="0"/>
        <v>28</v>
      </c>
      <c r="B29" s="66" t="s">
        <v>100</v>
      </c>
      <c r="C29" s="67" t="s">
        <v>102</v>
      </c>
    </row>
    <row r="30" spans="1:3">
      <c r="A30" s="65">
        <f t="shared" si="0"/>
        <v>29</v>
      </c>
      <c r="B30" s="66" t="s">
        <v>100</v>
      </c>
      <c r="C30" s="67" t="s">
        <v>103</v>
      </c>
    </row>
    <row r="31" spans="1:3">
      <c r="A31" s="65">
        <f t="shared" si="0"/>
        <v>30</v>
      </c>
      <c r="B31" s="66" t="s">
        <v>100</v>
      </c>
      <c r="C31" s="67" t="s">
        <v>104</v>
      </c>
    </row>
    <row r="32" spans="1:3">
      <c r="A32" s="65">
        <f t="shared" si="0"/>
        <v>31</v>
      </c>
      <c r="B32" s="66" t="s">
        <v>100</v>
      </c>
      <c r="C32" s="67" t="s">
        <v>105</v>
      </c>
    </row>
    <row r="33" spans="1:3">
      <c r="A33" s="65">
        <f t="shared" si="0"/>
        <v>32</v>
      </c>
      <c r="B33" s="66" t="s">
        <v>100</v>
      </c>
      <c r="C33" s="67" t="s">
        <v>106</v>
      </c>
    </row>
    <row r="34" spans="1:3">
      <c r="A34" s="65">
        <f t="shared" si="0"/>
        <v>33</v>
      </c>
      <c r="B34" s="66" t="s">
        <v>100</v>
      </c>
      <c r="C34" s="67" t="s">
        <v>107</v>
      </c>
    </row>
    <row r="35" spans="1:3">
      <c r="A35" s="65">
        <f t="shared" si="0"/>
        <v>34</v>
      </c>
      <c r="B35" s="66" t="s">
        <v>100</v>
      </c>
      <c r="C35" s="67" t="s">
        <v>108</v>
      </c>
    </row>
    <row r="36" spans="1:3">
      <c r="A36" s="65">
        <f t="shared" si="0"/>
        <v>35</v>
      </c>
      <c r="B36" s="66" t="s">
        <v>100</v>
      </c>
      <c r="C36" s="67" t="s">
        <v>109</v>
      </c>
    </row>
    <row r="37" spans="1:3">
      <c r="A37" s="65">
        <f t="shared" si="0"/>
        <v>36</v>
      </c>
      <c r="B37" s="66" t="s">
        <v>100</v>
      </c>
      <c r="C37" s="67" t="s">
        <v>110</v>
      </c>
    </row>
    <row r="38" spans="1:3">
      <c r="A38" s="65">
        <f t="shared" si="0"/>
        <v>37</v>
      </c>
      <c r="B38" s="66" t="s">
        <v>100</v>
      </c>
      <c r="C38" s="67" t="s">
        <v>110</v>
      </c>
    </row>
  </sheetData>
  <sheetProtection algorithmName="SHA-512" hashValue="YdUE1EsyfGPmSUU60SFx749O0h8W1QznN6KWArhpAz9vwrlMuOjaKigYhrKzaMMKJzq/97+fs2DgdGZ5w8JKRw==" saltValue="4xKwmzbAneHQoHj0rsVnWA==" spinCount="100000" sheet="1" objects="1" scenarios="1"/>
  <sortState ref="B2:C38">
    <sortCondition ref="B2:B38"/>
    <sortCondition ref="C2:C38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zoomScale="95" zoomScaleNormal="95" topLeftCell="C3" workbookViewId="0">
      <selection activeCell="C3" sqref="C3:E40"/>
    </sheetView>
  </sheetViews>
  <sheetFormatPr defaultColWidth="13.6" defaultRowHeight="13.2"/>
  <cols>
    <col min="1" max="1" width="8.2" style="31" hidden="1" customWidth="1"/>
    <col min="2" max="2" width="8.1" style="31" hidden="1" customWidth="1"/>
    <col min="3" max="3" width="7.2" style="31" customWidth="1"/>
    <col min="4" max="4" width="8.7" style="31" customWidth="1"/>
    <col min="5" max="5" width="14.7" style="32" customWidth="1"/>
    <col min="6" max="17" width="6.7" style="33" customWidth="1"/>
    <col min="18" max="18" width="10.7" style="33" customWidth="1"/>
    <col min="19" max="19" width="7.1" style="31" customWidth="1"/>
    <col min="20" max="16384" width="13.6" style="31"/>
  </cols>
  <sheetData>
    <row r="1" ht="11.7" hidden="1" customHeight="1" spans="1:19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hidden="1" spans="1:19"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="29" customFormat="1" ht="18.6" customHeight="1" spans="1:19">
      <c r="A3" s="37" t="s">
        <v>3</v>
      </c>
      <c r="B3" s="37" t="s">
        <v>4</v>
      </c>
      <c r="C3" s="38" t="s">
        <v>5</v>
      </c>
      <c r="D3" s="39" t="s">
        <v>6</v>
      </c>
      <c r="E3" s="40" t="s">
        <v>7</v>
      </c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 t="s">
        <v>9</v>
      </c>
      <c r="S3" s="41" t="s">
        <v>10</v>
      </c>
    </row>
    <row r="4" s="30" customFormat="1" ht="14.7" customHeight="1" spans="1:19">
      <c r="A4" s="42" t="s">
        <v>111</v>
      </c>
      <c r="B4" s="43" t="s">
        <v>112</v>
      </c>
      <c r="C4" s="44">
        <v>1</v>
      </c>
      <c r="D4" s="45" t="s">
        <v>67</v>
      </c>
      <c r="E4" s="46" t="s">
        <v>68</v>
      </c>
      <c r="F4" s="47"/>
      <c r="G4" s="47"/>
      <c r="H4" s="47"/>
      <c r="I4" s="47"/>
      <c r="J4" s="47"/>
      <c r="K4" s="47"/>
      <c r="L4" s="48"/>
      <c r="M4" s="47"/>
      <c r="N4" s="47"/>
      <c r="O4" s="47"/>
      <c r="P4" s="47"/>
      <c r="Q4" s="49"/>
      <c r="R4" s="50">
        <f>SUM(F4:Q4)</f>
        <v>0</v>
      </c>
      <c r="S4" s="51"/>
    </row>
    <row r="5" s="30" customFormat="1" ht="14.7" customHeight="1" spans="1:19">
      <c r="A5" s="52"/>
      <c r="B5" s="53"/>
      <c r="C5" s="44">
        <f t="shared" ref="C5:C40" si="0">C4+1</f>
        <v>2</v>
      </c>
      <c r="D5" s="45" t="s">
        <v>67</v>
      </c>
      <c r="E5" s="46" t="s">
        <v>69</v>
      </c>
      <c r="F5" s="47"/>
      <c r="G5" s="47"/>
      <c r="H5" s="47"/>
      <c r="I5" s="47"/>
      <c r="J5" s="47"/>
      <c r="K5" s="47"/>
      <c r="L5" s="48"/>
      <c r="M5" s="47"/>
      <c r="N5" s="47"/>
      <c r="O5" s="48"/>
      <c r="P5" s="47"/>
      <c r="Q5" s="49"/>
      <c r="R5" s="50">
        <f>SUM(F5:Q5)</f>
        <v>0</v>
      </c>
      <c r="S5" s="54"/>
    </row>
    <row r="6" s="30" customFormat="1" ht="14.7" customHeight="1" spans="1:19">
      <c r="A6" s="52"/>
      <c r="B6" s="53"/>
      <c r="C6" s="44">
        <f t="shared" si="0"/>
        <v>3</v>
      </c>
      <c r="D6" s="45" t="s">
        <v>113</v>
      </c>
      <c r="E6" s="46" t="s">
        <v>71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9"/>
      <c r="R6" s="50">
        <f>SUM(F6:Q6)</f>
        <v>0</v>
      </c>
      <c r="S6" s="54"/>
    </row>
    <row r="7" s="30" customFormat="1" ht="14.7" customHeight="1" spans="1:19">
      <c r="A7" s="52"/>
      <c r="B7" s="53"/>
      <c r="C7" s="44">
        <f t="shared" si="0"/>
        <v>4</v>
      </c>
      <c r="D7" s="45" t="s">
        <v>113</v>
      </c>
      <c r="E7" s="46" t="s">
        <v>114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49"/>
      <c r="R7" s="50">
        <f>SUM(F7:Q7)</f>
        <v>0</v>
      </c>
      <c r="S7" s="54"/>
    </row>
    <row r="8" s="30" customFormat="1" ht="14.7" customHeight="1" spans="1:19">
      <c r="A8" s="52"/>
      <c r="B8" s="53"/>
      <c r="C8" s="44">
        <f t="shared" si="0"/>
        <v>5</v>
      </c>
      <c r="D8" s="45" t="s">
        <v>113</v>
      </c>
      <c r="E8" s="46" t="s">
        <v>115</v>
      </c>
      <c r="F8" s="47"/>
      <c r="G8" s="47"/>
      <c r="H8" s="47"/>
      <c r="I8" s="47"/>
      <c r="J8" s="47"/>
      <c r="K8" s="47"/>
      <c r="L8" s="48"/>
      <c r="M8" s="47"/>
      <c r="N8" s="47"/>
      <c r="O8" s="47"/>
      <c r="P8" s="47"/>
      <c r="Q8" s="49"/>
      <c r="R8" s="50">
        <f>SUM(F8:Q8)</f>
        <v>0</v>
      </c>
      <c r="S8" s="54"/>
    </row>
    <row r="9" s="30" customFormat="1" ht="14.7" customHeight="1" spans="1:19">
      <c r="A9" s="52"/>
      <c r="B9" s="53"/>
      <c r="C9" s="44">
        <f t="shared" si="0"/>
        <v>6</v>
      </c>
      <c r="D9" s="45" t="s">
        <v>75</v>
      </c>
      <c r="E9" s="46" t="s">
        <v>116</v>
      </c>
      <c r="F9" s="47"/>
      <c r="G9" s="47"/>
      <c r="H9" s="47"/>
      <c r="I9" s="47"/>
      <c r="J9" s="47"/>
      <c r="K9" s="47"/>
      <c r="L9" s="48"/>
      <c r="M9" s="47"/>
      <c r="N9" s="47"/>
      <c r="O9" s="47"/>
      <c r="P9" s="47"/>
      <c r="Q9" s="49"/>
      <c r="R9" s="50"/>
      <c r="S9" s="54"/>
    </row>
    <row r="10" s="30" customFormat="1" ht="14.7" customHeight="1" spans="1:19">
      <c r="A10" s="52"/>
      <c r="B10" s="53"/>
      <c r="C10" s="44">
        <f t="shared" si="0"/>
        <v>7</v>
      </c>
      <c r="D10" s="45" t="s">
        <v>75</v>
      </c>
      <c r="E10" s="46" t="s">
        <v>76</v>
      </c>
      <c r="F10" s="47"/>
      <c r="G10" s="47"/>
      <c r="H10" s="47"/>
      <c r="I10" s="47"/>
      <c r="J10" s="47"/>
      <c r="K10" s="47"/>
      <c r="L10" s="48"/>
      <c r="M10" s="47"/>
      <c r="N10" s="47"/>
      <c r="O10" s="47"/>
      <c r="P10" s="47"/>
      <c r="Q10" s="49"/>
      <c r="R10" s="50"/>
      <c r="S10" s="54"/>
    </row>
    <row r="11" s="30" customFormat="1" ht="14.7" customHeight="1" spans="1:19">
      <c r="A11" s="52"/>
      <c r="B11" s="53"/>
      <c r="C11" s="44">
        <f t="shared" si="0"/>
        <v>8</v>
      </c>
      <c r="D11" s="45" t="s">
        <v>75</v>
      </c>
      <c r="E11" s="46" t="s">
        <v>77</v>
      </c>
      <c r="F11" s="47"/>
      <c r="G11" s="47"/>
      <c r="H11" s="47"/>
      <c r="I11" s="47"/>
      <c r="J11" s="47"/>
      <c r="K11" s="47"/>
      <c r="L11" s="48"/>
      <c r="M11" s="47"/>
      <c r="N11" s="47"/>
      <c r="O11" s="47"/>
      <c r="P11" s="47"/>
      <c r="Q11" s="49"/>
      <c r="R11" s="50"/>
      <c r="S11" s="54"/>
    </row>
    <row r="12" s="30" customFormat="1" ht="14.7" customHeight="1" spans="1:19">
      <c r="A12" s="52"/>
      <c r="B12" s="53"/>
      <c r="C12" s="44">
        <f t="shared" si="0"/>
        <v>9</v>
      </c>
      <c r="D12" s="45" t="s">
        <v>75</v>
      </c>
      <c r="E12" s="46" t="s">
        <v>78</v>
      </c>
      <c r="F12" s="47"/>
      <c r="G12" s="47"/>
      <c r="H12" s="47"/>
      <c r="I12" s="47"/>
      <c r="J12" s="47"/>
      <c r="K12" s="47"/>
      <c r="L12" s="48"/>
      <c r="M12" s="47"/>
      <c r="N12" s="47"/>
      <c r="O12" s="47"/>
      <c r="P12" s="47"/>
      <c r="Q12" s="49"/>
      <c r="R12" s="50"/>
      <c r="S12" s="54"/>
    </row>
    <row r="13" s="30" customFormat="1" ht="14.7" customHeight="1" spans="1:19">
      <c r="A13" s="52"/>
      <c r="B13" s="53"/>
      <c r="C13" s="44">
        <f t="shared" si="0"/>
        <v>10</v>
      </c>
      <c r="D13" s="45" t="s">
        <v>79</v>
      </c>
      <c r="E13" s="46" t="s">
        <v>80</v>
      </c>
      <c r="F13" s="47"/>
      <c r="G13" s="47"/>
      <c r="H13" s="47"/>
      <c r="I13" s="47"/>
      <c r="J13" s="47"/>
      <c r="K13" s="47"/>
      <c r="L13" s="48"/>
      <c r="M13" s="47"/>
      <c r="N13" s="47"/>
      <c r="O13" s="47"/>
      <c r="P13" s="47"/>
      <c r="Q13" s="49"/>
      <c r="R13" s="50"/>
      <c r="S13" s="54"/>
    </row>
    <row r="14" s="30" customFormat="1" ht="14.7" customHeight="1" spans="1:19">
      <c r="A14" s="52"/>
      <c r="B14" s="53"/>
      <c r="C14" s="44">
        <f t="shared" si="0"/>
        <v>11</v>
      </c>
      <c r="D14" s="45" t="s">
        <v>79</v>
      </c>
      <c r="E14" s="46" t="s">
        <v>81</v>
      </c>
      <c r="F14" s="47"/>
      <c r="G14" s="47"/>
      <c r="H14" s="47"/>
      <c r="I14" s="47"/>
      <c r="J14" s="47"/>
      <c r="K14" s="47"/>
      <c r="L14" s="48"/>
      <c r="M14" s="47"/>
      <c r="N14" s="47"/>
      <c r="O14" s="47"/>
      <c r="P14" s="47"/>
      <c r="Q14" s="49"/>
      <c r="R14" s="50"/>
      <c r="S14" s="54"/>
    </row>
    <row r="15" s="30" customFormat="1" ht="14.7" customHeight="1" spans="1:19">
      <c r="A15" s="52"/>
      <c r="B15" s="53"/>
      <c r="C15" s="44">
        <f t="shared" si="0"/>
        <v>12</v>
      </c>
      <c r="D15" s="45" t="s">
        <v>79</v>
      </c>
      <c r="E15" s="46" t="s">
        <v>82</v>
      </c>
      <c r="F15" s="47"/>
      <c r="G15" s="47"/>
      <c r="H15" s="47"/>
      <c r="I15" s="47"/>
      <c r="J15" s="47"/>
      <c r="K15" s="47"/>
      <c r="L15" s="48"/>
      <c r="M15" s="47"/>
      <c r="N15" s="47"/>
      <c r="O15" s="47"/>
      <c r="P15" s="47"/>
      <c r="Q15" s="49"/>
      <c r="R15" s="50"/>
      <c r="S15" s="54"/>
    </row>
    <row r="16" s="30" customFormat="1" ht="14.7" customHeight="1" spans="1:19">
      <c r="A16" s="52"/>
      <c r="B16" s="53"/>
      <c r="C16" s="44">
        <f t="shared" si="0"/>
        <v>13</v>
      </c>
      <c r="D16" s="45" t="s">
        <v>79</v>
      </c>
      <c r="E16" s="46" t="s">
        <v>83</v>
      </c>
      <c r="F16" s="47"/>
      <c r="G16" s="47"/>
      <c r="H16" s="47"/>
      <c r="I16" s="47"/>
      <c r="J16" s="47"/>
      <c r="K16" s="47"/>
      <c r="L16" s="48"/>
      <c r="M16" s="47"/>
      <c r="N16" s="47"/>
      <c r="O16" s="47"/>
      <c r="P16" s="47"/>
      <c r="Q16" s="49"/>
      <c r="R16" s="50"/>
      <c r="S16" s="54"/>
    </row>
    <row r="17" s="30" customFormat="1" ht="14.7" customHeight="1" spans="1:19">
      <c r="A17" s="52"/>
      <c r="B17" s="53"/>
      <c r="C17" s="44">
        <f t="shared" si="0"/>
        <v>14</v>
      </c>
      <c r="D17" s="45" t="s">
        <v>84</v>
      </c>
      <c r="E17" s="46" t="s">
        <v>85</v>
      </c>
      <c r="F17" s="47"/>
      <c r="G17" s="47"/>
      <c r="H17" s="47"/>
      <c r="I17" s="47"/>
      <c r="J17" s="47"/>
      <c r="K17" s="47"/>
      <c r="L17" s="48"/>
      <c r="M17" s="47"/>
      <c r="N17" s="47"/>
      <c r="O17" s="47"/>
      <c r="P17" s="47"/>
      <c r="Q17" s="49"/>
      <c r="R17" s="50"/>
      <c r="S17" s="54"/>
    </row>
    <row r="18" s="30" customFormat="1" ht="14.7" customHeight="1" spans="1:19">
      <c r="A18" s="52"/>
      <c r="B18" s="53"/>
      <c r="C18" s="44">
        <f t="shared" si="0"/>
        <v>15</v>
      </c>
      <c r="D18" s="45" t="s">
        <v>84</v>
      </c>
      <c r="E18" s="46" t="s">
        <v>86</v>
      </c>
      <c r="F18" s="47"/>
      <c r="G18" s="47"/>
      <c r="H18" s="47"/>
      <c r="I18" s="47"/>
      <c r="J18" s="47"/>
      <c r="K18" s="47"/>
      <c r="L18" s="48"/>
      <c r="M18" s="47"/>
      <c r="N18" s="47"/>
      <c r="O18" s="47"/>
      <c r="P18" s="47"/>
      <c r="Q18" s="49"/>
      <c r="R18" s="50"/>
      <c r="S18" s="54"/>
    </row>
    <row r="19" s="30" customFormat="1" ht="14.7" customHeight="1" spans="1:19">
      <c r="A19" s="52"/>
      <c r="B19" s="53"/>
      <c r="C19" s="44">
        <f t="shared" si="0"/>
        <v>16</v>
      </c>
      <c r="D19" s="45" t="s">
        <v>84</v>
      </c>
      <c r="E19" s="46" t="s">
        <v>87</v>
      </c>
      <c r="F19" s="47"/>
      <c r="G19" s="47"/>
      <c r="H19" s="47"/>
      <c r="I19" s="47"/>
      <c r="J19" s="47"/>
      <c r="K19" s="47"/>
      <c r="L19" s="48"/>
      <c r="M19" s="47"/>
      <c r="N19" s="47"/>
      <c r="O19" s="47"/>
      <c r="P19" s="47"/>
      <c r="Q19" s="49"/>
      <c r="R19" s="50"/>
      <c r="S19" s="54"/>
    </row>
    <row r="20" s="30" customFormat="1" ht="14.7" customHeight="1" spans="1:19">
      <c r="A20" s="52"/>
      <c r="B20" s="53"/>
      <c r="C20" s="44">
        <f t="shared" si="0"/>
        <v>17</v>
      </c>
      <c r="D20" s="45" t="s">
        <v>84</v>
      </c>
      <c r="E20" s="46" t="s">
        <v>88</v>
      </c>
      <c r="F20" s="47"/>
      <c r="G20" s="47"/>
      <c r="H20" s="47"/>
      <c r="I20" s="47"/>
      <c r="J20" s="47"/>
      <c r="K20" s="47"/>
      <c r="L20" s="48"/>
      <c r="M20" s="47"/>
      <c r="N20" s="47"/>
      <c r="O20" s="47"/>
      <c r="P20" s="47"/>
      <c r="Q20" s="49"/>
      <c r="R20" s="50"/>
      <c r="S20" s="54"/>
    </row>
    <row r="21" s="30" customFormat="1" ht="14.7" customHeight="1" spans="1:19">
      <c r="A21" s="52"/>
      <c r="B21" s="53"/>
      <c r="C21" s="44">
        <f t="shared" si="0"/>
        <v>18</v>
      </c>
      <c r="D21" s="45" t="s">
        <v>84</v>
      </c>
      <c r="E21" s="46" t="s">
        <v>89</v>
      </c>
      <c r="F21" s="47"/>
      <c r="G21" s="47"/>
      <c r="H21" s="47"/>
      <c r="I21" s="47"/>
      <c r="J21" s="47"/>
      <c r="K21" s="47"/>
      <c r="L21" s="48"/>
      <c r="M21" s="47"/>
      <c r="N21" s="47"/>
      <c r="O21" s="47"/>
      <c r="P21" s="47"/>
      <c r="Q21" s="49"/>
      <c r="R21" s="50"/>
      <c r="S21" s="54"/>
    </row>
    <row r="22" s="30" customFormat="1" ht="14.7" customHeight="1" spans="1:19">
      <c r="A22" s="52"/>
      <c r="B22" s="53"/>
      <c r="C22" s="44">
        <f t="shared" si="0"/>
        <v>19</v>
      </c>
      <c r="D22" s="56" t="s">
        <v>84</v>
      </c>
      <c r="E22" s="46" t="s">
        <v>90</v>
      </c>
      <c r="F22" s="47"/>
      <c r="G22" s="47"/>
      <c r="H22" s="47"/>
      <c r="I22" s="47"/>
      <c r="J22" s="47"/>
      <c r="K22" s="47"/>
      <c r="L22" s="48"/>
      <c r="M22" s="47"/>
      <c r="N22" s="47"/>
      <c r="O22" s="47"/>
      <c r="P22" s="47"/>
      <c r="Q22" s="49"/>
      <c r="R22" s="50"/>
      <c r="S22" s="54"/>
    </row>
    <row r="23" s="30" customFormat="1" ht="14.7" customHeight="1" spans="1:19">
      <c r="A23" s="52"/>
      <c r="B23" s="53"/>
      <c r="C23" s="44">
        <f t="shared" si="0"/>
        <v>20</v>
      </c>
      <c r="D23" s="45" t="s">
        <v>91</v>
      </c>
      <c r="E23" s="46" t="s">
        <v>92</v>
      </c>
      <c r="F23" s="47"/>
      <c r="G23" s="47"/>
      <c r="H23" s="47"/>
      <c r="I23" s="47"/>
      <c r="J23" s="47"/>
      <c r="K23" s="47"/>
      <c r="L23" s="48"/>
      <c r="M23" s="47"/>
      <c r="N23" s="47"/>
      <c r="O23" s="47"/>
      <c r="P23" s="47"/>
      <c r="Q23" s="49"/>
      <c r="R23" s="50"/>
      <c r="S23" s="54"/>
    </row>
    <row r="24" s="30" customFormat="1" ht="14.7" customHeight="1" spans="1:19">
      <c r="A24" s="52"/>
      <c r="B24" s="53"/>
      <c r="C24" s="44">
        <f t="shared" si="0"/>
        <v>21</v>
      </c>
      <c r="D24" s="56" t="s">
        <v>91</v>
      </c>
      <c r="E24" s="46" t="s">
        <v>93</v>
      </c>
      <c r="F24" s="47"/>
      <c r="G24" s="47"/>
      <c r="H24" s="47"/>
      <c r="I24" s="47"/>
      <c r="J24" s="47"/>
      <c r="K24" s="47"/>
      <c r="L24" s="48"/>
      <c r="M24" s="47"/>
      <c r="N24" s="47"/>
      <c r="O24" s="47"/>
      <c r="P24" s="47"/>
      <c r="Q24" s="49"/>
      <c r="R24" s="50"/>
      <c r="S24" s="54"/>
    </row>
    <row r="25" s="30" customFormat="1" ht="14.7" customHeight="1" spans="1:19">
      <c r="A25" s="52"/>
      <c r="B25" s="53"/>
      <c r="C25" s="44">
        <f t="shared" si="0"/>
        <v>22</v>
      </c>
      <c r="D25" s="45" t="s">
        <v>91</v>
      </c>
      <c r="E25" s="46" t="s">
        <v>94</v>
      </c>
      <c r="F25" s="47"/>
      <c r="G25" s="47"/>
      <c r="H25" s="47"/>
      <c r="I25" s="47"/>
      <c r="J25" s="47"/>
      <c r="K25" s="47"/>
      <c r="L25" s="48"/>
      <c r="M25" s="47"/>
      <c r="N25" s="47"/>
      <c r="O25" s="47"/>
      <c r="P25" s="47"/>
      <c r="Q25" s="49"/>
      <c r="R25" s="50"/>
      <c r="S25" s="54"/>
    </row>
    <row r="26" s="30" customFormat="1" ht="14.7" customHeight="1" spans="1:19">
      <c r="A26" s="52"/>
      <c r="B26" s="53"/>
      <c r="C26" s="44">
        <f t="shared" si="0"/>
        <v>23</v>
      </c>
      <c r="D26" s="45" t="s">
        <v>91</v>
      </c>
      <c r="E26" s="57" t="s">
        <v>95</v>
      </c>
      <c r="F26" s="47"/>
      <c r="G26" s="47"/>
      <c r="H26" s="47"/>
      <c r="I26" s="47"/>
      <c r="J26" s="47"/>
      <c r="K26" s="47"/>
      <c r="L26" s="48"/>
      <c r="M26" s="47"/>
      <c r="N26" s="47"/>
      <c r="O26" s="47"/>
      <c r="P26" s="47"/>
      <c r="Q26" s="49"/>
      <c r="R26" s="50"/>
      <c r="S26" s="54"/>
    </row>
    <row r="27" s="30" customFormat="1" ht="14.7" customHeight="1" spans="1:19">
      <c r="A27" s="52"/>
      <c r="B27" s="53"/>
      <c r="C27" s="44">
        <f t="shared" si="0"/>
        <v>24</v>
      </c>
      <c r="D27" s="45" t="s">
        <v>91</v>
      </c>
      <c r="E27" s="57" t="s">
        <v>96</v>
      </c>
      <c r="F27" s="47"/>
      <c r="G27" s="47"/>
      <c r="H27" s="47"/>
      <c r="I27" s="47"/>
      <c r="J27" s="47"/>
      <c r="K27" s="47"/>
      <c r="L27" s="48"/>
      <c r="M27" s="47"/>
      <c r="N27" s="47"/>
      <c r="O27" s="47"/>
      <c r="P27" s="47"/>
      <c r="Q27" s="49"/>
      <c r="R27" s="50"/>
      <c r="S27" s="54"/>
    </row>
    <row r="28" s="30" customFormat="1" ht="14.7" customHeight="1" spans="1:19">
      <c r="A28" s="52"/>
      <c r="B28" s="53"/>
      <c r="C28" s="44">
        <f t="shared" si="0"/>
        <v>25</v>
      </c>
      <c r="D28" s="45" t="s">
        <v>91</v>
      </c>
      <c r="E28" s="46" t="s">
        <v>97</v>
      </c>
      <c r="F28" s="47"/>
      <c r="G28" s="47"/>
      <c r="H28" s="47"/>
      <c r="I28" s="47"/>
      <c r="J28" s="47"/>
      <c r="K28" s="47"/>
      <c r="L28" s="48"/>
      <c r="M28" s="47"/>
      <c r="N28" s="47"/>
      <c r="O28" s="47"/>
      <c r="P28" s="47"/>
      <c r="Q28" s="49"/>
      <c r="R28" s="50"/>
      <c r="S28" s="54"/>
    </row>
    <row r="29" s="30" customFormat="1" ht="14.7" customHeight="1" spans="1:19">
      <c r="A29" s="52"/>
      <c r="B29" s="53"/>
      <c r="C29" s="44">
        <f t="shared" si="0"/>
        <v>26</v>
      </c>
      <c r="D29" s="45" t="s">
        <v>91</v>
      </c>
      <c r="E29" s="46" t="s">
        <v>98</v>
      </c>
      <c r="F29" s="47"/>
      <c r="G29" s="47"/>
      <c r="H29" s="47"/>
      <c r="I29" s="47"/>
      <c r="J29" s="47"/>
      <c r="K29" s="47"/>
      <c r="L29" s="48"/>
      <c r="M29" s="47"/>
      <c r="N29" s="47"/>
      <c r="O29" s="47"/>
      <c r="P29" s="47"/>
      <c r="Q29" s="49"/>
      <c r="R29" s="50"/>
      <c r="S29" s="54"/>
    </row>
    <row r="30" s="30" customFormat="1" ht="14.7" customHeight="1" spans="1:19">
      <c r="A30" s="52"/>
      <c r="B30" s="53"/>
      <c r="C30" s="44">
        <f t="shared" si="0"/>
        <v>27</v>
      </c>
      <c r="D30" s="45" t="s">
        <v>91</v>
      </c>
      <c r="E30" s="46" t="s">
        <v>99</v>
      </c>
      <c r="F30" s="47"/>
      <c r="G30" s="47"/>
      <c r="H30" s="47"/>
      <c r="I30" s="47"/>
      <c r="J30" s="47"/>
      <c r="K30" s="47"/>
      <c r="L30" s="48"/>
      <c r="M30" s="47"/>
      <c r="N30" s="47"/>
      <c r="O30" s="47"/>
      <c r="P30" s="47"/>
      <c r="Q30" s="49"/>
      <c r="R30" s="50"/>
      <c r="S30" s="54"/>
    </row>
    <row r="31" s="30" customFormat="1" ht="14.7" customHeight="1" spans="1:19">
      <c r="A31" s="52"/>
      <c r="B31" s="53"/>
      <c r="C31" s="44">
        <f t="shared" si="0"/>
        <v>28</v>
      </c>
      <c r="D31" s="45" t="s">
        <v>100</v>
      </c>
      <c r="E31" s="46" t="s">
        <v>101</v>
      </c>
      <c r="F31" s="47"/>
      <c r="G31" s="47"/>
      <c r="H31" s="47"/>
      <c r="I31" s="47"/>
      <c r="J31" s="47"/>
      <c r="K31" s="47"/>
      <c r="L31" s="48"/>
      <c r="M31" s="47"/>
      <c r="N31" s="47"/>
      <c r="O31" s="47"/>
      <c r="P31" s="47"/>
      <c r="Q31" s="49"/>
      <c r="R31" s="50"/>
      <c r="S31" s="54"/>
    </row>
    <row r="32" s="30" customFormat="1" ht="14.7" customHeight="1" spans="1:19">
      <c r="A32" s="52"/>
      <c r="B32" s="53"/>
      <c r="C32" s="44">
        <f t="shared" si="0"/>
        <v>29</v>
      </c>
      <c r="D32" s="45" t="s">
        <v>100</v>
      </c>
      <c r="E32" s="46" t="s">
        <v>102</v>
      </c>
      <c r="F32" s="47"/>
      <c r="G32" s="47"/>
      <c r="H32" s="47"/>
      <c r="I32" s="47"/>
      <c r="J32" s="47"/>
      <c r="K32" s="47"/>
      <c r="L32" s="48"/>
      <c r="M32" s="47"/>
      <c r="N32" s="47"/>
      <c r="O32" s="47"/>
      <c r="P32" s="47"/>
      <c r="Q32" s="49"/>
      <c r="R32" s="50"/>
      <c r="S32" s="54"/>
    </row>
    <row r="33" s="30" customFormat="1" ht="14.7" customHeight="1" spans="1:19">
      <c r="A33" s="52"/>
      <c r="B33" s="53"/>
      <c r="C33" s="44">
        <f t="shared" si="0"/>
        <v>30</v>
      </c>
      <c r="D33" s="45" t="s">
        <v>100</v>
      </c>
      <c r="E33" s="46" t="s">
        <v>103</v>
      </c>
      <c r="F33" s="47"/>
      <c r="G33" s="47"/>
      <c r="H33" s="47"/>
      <c r="I33" s="47"/>
      <c r="J33" s="47"/>
      <c r="K33" s="47"/>
      <c r="L33" s="48"/>
      <c r="M33" s="47"/>
      <c r="N33" s="47"/>
      <c r="O33" s="47"/>
      <c r="P33" s="47"/>
      <c r="Q33" s="49"/>
      <c r="R33" s="50"/>
      <c r="S33" s="54"/>
    </row>
    <row r="34" s="30" customFormat="1" ht="14.7" customHeight="1" spans="1:19">
      <c r="A34" s="52"/>
      <c r="B34" s="53"/>
      <c r="C34" s="44">
        <f t="shared" si="0"/>
        <v>31</v>
      </c>
      <c r="D34" s="45" t="s">
        <v>100</v>
      </c>
      <c r="E34" s="46" t="s">
        <v>104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49"/>
      <c r="R34" s="50">
        <f t="shared" ref="R34:R40" si="1">SUM(F34:Q34)</f>
        <v>0</v>
      </c>
      <c r="S34" s="54"/>
    </row>
    <row r="35" s="30" customFormat="1" ht="14.7" customHeight="1" spans="1:19">
      <c r="A35" s="52"/>
      <c r="B35" s="53"/>
      <c r="C35" s="44">
        <f t="shared" si="0"/>
        <v>32</v>
      </c>
      <c r="D35" s="45" t="s">
        <v>100</v>
      </c>
      <c r="E35" s="46" t="s">
        <v>105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  <c r="R35" s="50">
        <f t="shared" si="1"/>
        <v>0</v>
      </c>
      <c r="S35" s="54"/>
    </row>
    <row r="36" s="30" customFormat="1" ht="14.7" customHeight="1" spans="1:19">
      <c r="A36" s="52"/>
      <c r="B36" s="53"/>
      <c r="C36" s="44">
        <f t="shared" si="0"/>
        <v>33</v>
      </c>
      <c r="D36" s="45" t="s">
        <v>100</v>
      </c>
      <c r="E36" s="46" t="s">
        <v>106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49"/>
      <c r="R36" s="50">
        <f t="shared" si="1"/>
        <v>0</v>
      </c>
      <c r="S36" s="54"/>
    </row>
    <row r="37" s="30" customFormat="1" ht="14.7" customHeight="1" spans="1:19">
      <c r="A37" s="52"/>
      <c r="B37" s="53"/>
      <c r="C37" s="44">
        <f t="shared" si="0"/>
        <v>34</v>
      </c>
      <c r="D37" s="45" t="s">
        <v>100</v>
      </c>
      <c r="E37" s="46" t="s">
        <v>107</v>
      </c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49"/>
      <c r="R37" s="50">
        <f t="shared" si="1"/>
        <v>0</v>
      </c>
      <c r="S37" s="54"/>
    </row>
    <row r="38" s="30" customFormat="1" ht="14.7" customHeight="1" spans="1:19">
      <c r="A38" s="52"/>
      <c r="B38" s="53"/>
      <c r="C38" s="44">
        <f t="shared" si="0"/>
        <v>35</v>
      </c>
      <c r="D38" s="45" t="s">
        <v>100</v>
      </c>
      <c r="E38" s="46" t="s">
        <v>108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49"/>
      <c r="R38" s="50">
        <f t="shared" si="1"/>
        <v>0</v>
      </c>
      <c r="S38" s="54"/>
    </row>
    <row r="39" s="30" customFormat="1" ht="14.7" customHeight="1" spans="1:19">
      <c r="A39" s="52"/>
      <c r="B39" s="53"/>
      <c r="C39" s="44">
        <f t="shared" si="0"/>
        <v>36</v>
      </c>
      <c r="D39" s="45" t="s">
        <v>100</v>
      </c>
      <c r="E39" s="46" t="s">
        <v>109</v>
      </c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49"/>
      <c r="R39" s="50">
        <f t="shared" si="1"/>
        <v>0</v>
      </c>
      <c r="S39" s="54"/>
    </row>
    <row r="40" s="30" customFormat="1" ht="14.7" customHeight="1" spans="1:19">
      <c r="A40" s="52"/>
      <c r="B40" s="53"/>
      <c r="C40" s="44">
        <f t="shared" si="0"/>
        <v>37</v>
      </c>
      <c r="D40" s="45" t="s">
        <v>100</v>
      </c>
      <c r="E40" s="46" t="s">
        <v>110</v>
      </c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49"/>
      <c r="R40" s="50">
        <f t="shared" si="1"/>
        <v>0</v>
      </c>
      <c r="S40" s="54"/>
    </row>
    <row r="41" s="30" customFormat="1" ht="14.7" customHeight="1" spans="1:19">
      <c r="A41" s="52"/>
      <c r="B41" s="61"/>
      <c r="C41" s="62" t="str">
        <f>B4</f>
        <v>ĐL SỐ 1</v>
      </c>
      <c r="D41" s="63"/>
      <c r="E41" s="46" t="s">
        <v>48</v>
      </c>
      <c r="F41" s="50">
        <f t="shared" ref="F41:R41" si="2">SUM(F4:F40)</f>
        <v>0</v>
      </c>
      <c r="G41" s="50">
        <f t="shared" si="2"/>
        <v>0</v>
      </c>
      <c r="H41" s="50">
        <f t="shared" si="2"/>
        <v>0</v>
      </c>
      <c r="I41" s="50">
        <f t="shared" si="2"/>
        <v>0</v>
      </c>
      <c r="J41" s="50">
        <f t="shared" si="2"/>
        <v>0</v>
      </c>
      <c r="K41" s="50">
        <f t="shared" si="2"/>
        <v>0</v>
      </c>
      <c r="L41" s="50">
        <f t="shared" si="2"/>
        <v>0</v>
      </c>
      <c r="M41" s="50">
        <f t="shared" si="2"/>
        <v>0</v>
      </c>
      <c r="N41" s="50">
        <f t="shared" si="2"/>
        <v>0</v>
      </c>
      <c r="O41" s="50">
        <f t="shared" si="2"/>
        <v>0</v>
      </c>
      <c r="P41" s="50">
        <f t="shared" si="2"/>
        <v>0</v>
      </c>
      <c r="Q41" s="50">
        <f t="shared" si="2"/>
        <v>0</v>
      </c>
      <c r="R41" s="50">
        <f t="shared" si="2"/>
        <v>0</v>
      </c>
      <c r="S41" s="64"/>
    </row>
  </sheetData>
  <autoFilter xmlns:etc="http://www.wps.cn/officeDocument/2017/etCustomData" ref="A3:S41" etc:filterBottomFollowUsedRange="0">
    <extLst/>
  </autoFilter>
  <mergeCells count="3">
    <mergeCell ref="A1:S1"/>
    <mergeCell ref="B4:B41"/>
    <mergeCell ref="S4:S41"/>
  </mergeCells>
  <pageMargins left="0.45" right="0" top="0" bottom="0" header="0" footer="0"/>
  <pageSetup paperSize="9" orientation="landscape" horizontalDpi="2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3"/>
  <sheetViews>
    <sheetView zoomScale="70" zoomScaleNormal="70" workbookViewId="0">
      <selection activeCell="I48" sqref="I48"/>
    </sheetView>
  </sheetViews>
  <sheetFormatPr defaultColWidth="9" defaultRowHeight="15.6"/>
  <cols>
    <col min="1" max="1" width="18.4" customWidth="1"/>
    <col min="2" max="2" width="22.6" customWidth="1"/>
    <col min="3" max="3" width="11.2" customWidth="1"/>
    <col min="17" max="17" width="17.9" customWidth="1"/>
    <col min="32" max="32" width="17.1" customWidth="1"/>
  </cols>
  <sheetData>
    <row r="1" spans="1:32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 t="s">
        <v>9</v>
      </c>
      <c r="S1" s="1">
        <v>1</v>
      </c>
      <c r="T1" s="1">
        <v>2</v>
      </c>
      <c r="U1" s="1">
        <v>3</v>
      </c>
      <c r="V1" s="1">
        <v>4</v>
      </c>
      <c r="W1" s="1">
        <v>5</v>
      </c>
      <c r="X1" s="1">
        <v>6</v>
      </c>
      <c r="Y1" s="1">
        <v>7</v>
      </c>
      <c r="Z1" s="1">
        <v>8</v>
      </c>
      <c r="AA1" s="1">
        <v>9</v>
      </c>
      <c r="AB1" s="1">
        <v>10</v>
      </c>
      <c r="AC1" s="1">
        <v>11</v>
      </c>
      <c r="AD1" s="1">
        <v>12</v>
      </c>
      <c r="AE1" s="1" t="s">
        <v>9</v>
      </c>
    </row>
    <row r="2" spans="1:32">
      <c r="A2" s="2" t="s">
        <v>18</v>
      </c>
      <c r="B2" s="3">
        <v>245</v>
      </c>
      <c r="C2" s="4">
        <f>(B2+C5)/B2</f>
        <v>4.5469387755102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>
        <f t="shared" ref="P2:P39" si="0">SUM(D2:O2)</f>
        <v>0</v>
      </c>
      <c r="Q2" s="7">
        <f>P39</f>
        <v>245</v>
      </c>
      <c r="S2" s="8">
        <f t="shared" ref="S2:S38" si="1">D2*$B$10</f>
        <v>0</v>
      </c>
      <c r="T2" s="8">
        <f t="shared" ref="T2:T38" si="2">E2*$B$10</f>
        <v>0</v>
      </c>
      <c r="U2" s="8">
        <f t="shared" ref="U2:U38" si="3">F2*$B$10</f>
        <v>0</v>
      </c>
      <c r="V2" s="8">
        <f t="shared" ref="V2:V38" si="4">G2*$B$10</f>
        <v>0</v>
      </c>
      <c r="W2" s="8">
        <f t="shared" ref="W2:W38" si="5">H2*$B$10</f>
        <v>0</v>
      </c>
      <c r="X2" s="8">
        <f t="shared" ref="X2:X38" si="6">I2*$B$10</f>
        <v>0</v>
      </c>
      <c r="Y2" s="8">
        <f t="shared" ref="Y2:Y38" si="7">J2*$B$10</f>
        <v>0</v>
      </c>
      <c r="Z2" s="8">
        <f t="shared" ref="Z2:Z38" si="8">K2*$B$10</f>
        <v>0</v>
      </c>
      <c r="AA2" s="8">
        <f t="shared" ref="AA2:AA38" si="9">L2*$B$10</f>
        <v>0</v>
      </c>
      <c r="AB2" s="8">
        <f t="shared" ref="AB2:AB38" si="10">M2*$B$10</f>
        <v>0</v>
      </c>
      <c r="AC2" s="8">
        <f t="shared" ref="AC2:AC38" si="11">N2*$B$10</f>
        <v>0</v>
      </c>
      <c r="AD2" s="8">
        <f t="shared" ref="AD2:AD38" si="12">O2*$B$10</f>
        <v>0</v>
      </c>
      <c r="AE2" s="6">
        <f t="shared" ref="AE2:AE39" si="13">SUM(S2:AD2)</f>
        <v>0</v>
      </c>
      <c r="AF2" s="7">
        <f>AE39</f>
        <v>1114.015</v>
      </c>
    </row>
    <row r="3" spans="1:32">
      <c r="A3" s="2" t="s">
        <v>17</v>
      </c>
      <c r="B3" s="3">
        <v>38232</v>
      </c>
      <c r="D3" s="9"/>
      <c r="E3" s="9"/>
      <c r="F3" s="9"/>
      <c r="G3" s="9"/>
      <c r="H3" s="9"/>
      <c r="I3" s="9"/>
      <c r="J3" s="10"/>
      <c r="K3" s="9"/>
      <c r="L3" s="9"/>
      <c r="M3" s="10"/>
      <c r="N3" s="9"/>
      <c r="O3" s="11"/>
      <c r="P3" s="6">
        <f t="shared" si="0"/>
        <v>0</v>
      </c>
      <c r="Q3" s="12"/>
      <c r="S3" s="8">
        <f t="shared" si="1"/>
        <v>0</v>
      </c>
      <c r="T3" s="8">
        <f t="shared" si="2"/>
        <v>0</v>
      </c>
      <c r="U3" s="8">
        <f t="shared" si="3"/>
        <v>0</v>
      </c>
      <c r="V3" s="8">
        <f t="shared" si="4"/>
        <v>0</v>
      </c>
      <c r="W3" s="8">
        <f t="shared" si="5"/>
        <v>0</v>
      </c>
      <c r="X3" s="8">
        <f t="shared" si="6"/>
        <v>0</v>
      </c>
      <c r="Y3" s="8">
        <f t="shared" si="7"/>
        <v>0</v>
      </c>
      <c r="Z3" s="8">
        <f t="shared" si="8"/>
        <v>0</v>
      </c>
      <c r="AA3" s="8">
        <f t="shared" si="9"/>
        <v>0</v>
      </c>
      <c r="AB3" s="8">
        <f t="shared" si="10"/>
        <v>0</v>
      </c>
      <c r="AC3" s="8">
        <f t="shared" si="11"/>
        <v>0</v>
      </c>
      <c r="AD3" s="8">
        <f t="shared" si="12"/>
        <v>0</v>
      </c>
      <c r="AE3" s="6">
        <f t="shared" si="13"/>
        <v>0</v>
      </c>
      <c r="AF3" s="12"/>
    </row>
    <row r="4" spans="1:32">
      <c r="A4" s="2" t="s">
        <v>117</v>
      </c>
      <c r="B4" s="3">
        <v>55654</v>
      </c>
      <c r="D4" s="9"/>
      <c r="E4" s="9">
        <v>55</v>
      </c>
      <c r="F4" s="9"/>
      <c r="G4" s="9"/>
      <c r="H4" s="9"/>
      <c r="I4" s="9">
        <v>55</v>
      </c>
      <c r="J4" s="9"/>
      <c r="K4" s="9">
        <v>55</v>
      </c>
      <c r="L4" s="9"/>
      <c r="M4" s="9"/>
      <c r="N4" s="9"/>
      <c r="O4" s="9"/>
      <c r="P4" s="6">
        <f t="shared" si="0"/>
        <v>165</v>
      </c>
      <c r="Q4" s="12"/>
      <c r="S4" s="8">
        <f t="shared" si="1"/>
        <v>0</v>
      </c>
      <c r="T4" s="8">
        <f t="shared" si="2"/>
        <v>250.085</v>
      </c>
      <c r="U4" s="8">
        <f t="shared" si="3"/>
        <v>0</v>
      </c>
      <c r="V4" s="8">
        <f t="shared" si="4"/>
        <v>0</v>
      </c>
      <c r="W4" s="8">
        <f t="shared" si="5"/>
        <v>0</v>
      </c>
      <c r="X4" s="8">
        <f t="shared" si="6"/>
        <v>250.085</v>
      </c>
      <c r="Y4" s="8">
        <f t="shared" si="7"/>
        <v>0</v>
      </c>
      <c r="Z4" s="8">
        <f t="shared" si="8"/>
        <v>250.085</v>
      </c>
      <c r="AA4" s="8">
        <f t="shared" si="9"/>
        <v>0</v>
      </c>
      <c r="AB4" s="8">
        <f t="shared" si="10"/>
        <v>0</v>
      </c>
      <c r="AC4" s="8">
        <f t="shared" si="11"/>
        <v>0</v>
      </c>
      <c r="AD4" s="8">
        <f t="shared" si="12"/>
        <v>0</v>
      </c>
      <c r="AE4" s="6">
        <f t="shared" si="13"/>
        <v>750.255</v>
      </c>
      <c r="AF4" s="12"/>
    </row>
    <row r="5" spans="1:32">
      <c r="B5" s="13">
        <f>SUM(B2:B4)</f>
        <v>94131</v>
      </c>
      <c r="C5" s="14">
        <f>B6-B5</f>
        <v>869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1"/>
      <c r="P5" s="6">
        <f t="shared" si="0"/>
        <v>0</v>
      </c>
      <c r="Q5" s="12"/>
      <c r="S5" s="8">
        <f t="shared" si="1"/>
        <v>0</v>
      </c>
      <c r="T5" s="8">
        <f t="shared" si="2"/>
        <v>0</v>
      </c>
      <c r="U5" s="8">
        <f t="shared" si="3"/>
        <v>0</v>
      </c>
      <c r="V5" s="8">
        <f t="shared" si="4"/>
        <v>0</v>
      </c>
      <c r="W5" s="8">
        <f t="shared" si="5"/>
        <v>0</v>
      </c>
      <c r="X5" s="8">
        <f t="shared" si="6"/>
        <v>0</v>
      </c>
      <c r="Y5" s="8">
        <f t="shared" si="7"/>
        <v>0</v>
      </c>
      <c r="Z5" s="8">
        <f t="shared" si="8"/>
        <v>0</v>
      </c>
      <c r="AA5" s="8">
        <f t="shared" si="9"/>
        <v>0</v>
      </c>
      <c r="AB5" s="8">
        <f t="shared" si="10"/>
        <v>0</v>
      </c>
      <c r="AC5" s="8">
        <f t="shared" si="11"/>
        <v>0</v>
      </c>
      <c r="AD5" s="8">
        <f t="shared" si="12"/>
        <v>0</v>
      </c>
      <c r="AE5" s="6">
        <f t="shared" si="13"/>
        <v>0</v>
      </c>
      <c r="AF5" s="12"/>
    </row>
    <row r="6" spans="1:32">
      <c r="B6" s="13">
        <v>95000</v>
      </c>
      <c r="D6" s="9"/>
      <c r="E6" s="9"/>
      <c r="F6" s="9"/>
      <c r="G6" s="9"/>
      <c r="H6" s="9"/>
      <c r="I6" s="9"/>
      <c r="J6" s="10"/>
      <c r="K6" s="9"/>
      <c r="L6" s="9"/>
      <c r="M6" s="9"/>
      <c r="N6" s="9"/>
      <c r="O6" s="11"/>
      <c r="P6" s="6">
        <f t="shared" si="0"/>
        <v>0</v>
      </c>
      <c r="Q6" s="12"/>
      <c r="S6" s="8">
        <f t="shared" si="1"/>
        <v>0</v>
      </c>
      <c r="T6" s="8">
        <f t="shared" si="2"/>
        <v>0</v>
      </c>
      <c r="U6" s="8">
        <f t="shared" si="3"/>
        <v>0</v>
      </c>
      <c r="V6" s="8">
        <f t="shared" si="4"/>
        <v>0</v>
      </c>
      <c r="W6" s="8">
        <f t="shared" si="5"/>
        <v>0</v>
      </c>
      <c r="X6" s="8">
        <f t="shared" si="6"/>
        <v>0</v>
      </c>
      <c r="Y6" s="8">
        <f t="shared" si="7"/>
        <v>0</v>
      </c>
      <c r="Z6" s="8">
        <f t="shared" si="8"/>
        <v>0</v>
      </c>
      <c r="AA6" s="8">
        <f t="shared" si="9"/>
        <v>0</v>
      </c>
      <c r="AB6" s="8">
        <f t="shared" si="10"/>
        <v>0</v>
      </c>
      <c r="AC6" s="8">
        <f t="shared" si="11"/>
        <v>0</v>
      </c>
      <c r="AD6" s="8">
        <f t="shared" si="12"/>
        <v>0</v>
      </c>
      <c r="AE6" s="6">
        <f t="shared" si="13"/>
        <v>0</v>
      </c>
      <c r="AF6" s="12"/>
    </row>
    <row r="7" spans="1:32">
      <c r="B7" s="16"/>
      <c r="D7" s="9"/>
      <c r="E7" s="9"/>
      <c r="F7" s="9"/>
      <c r="G7" s="9"/>
      <c r="H7" s="9"/>
      <c r="I7" s="9"/>
      <c r="J7" s="10"/>
      <c r="K7" s="9"/>
      <c r="L7" s="9"/>
      <c r="M7" s="9"/>
      <c r="N7" s="9"/>
      <c r="O7" s="11"/>
      <c r="P7" s="6">
        <f t="shared" si="0"/>
        <v>0</v>
      </c>
      <c r="Q7" s="12"/>
      <c r="S7" s="8">
        <f t="shared" si="1"/>
        <v>0</v>
      </c>
      <c r="T7" s="8">
        <f t="shared" si="2"/>
        <v>0</v>
      </c>
      <c r="U7" s="8">
        <f t="shared" si="3"/>
        <v>0</v>
      </c>
      <c r="V7" s="8">
        <f t="shared" si="4"/>
        <v>0</v>
      </c>
      <c r="W7" s="8">
        <f t="shared" si="5"/>
        <v>0</v>
      </c>
      <c r="X7" s="8">
        <f t="shared" si="6"/>
        <v>0</v>
      </c>
      <c r="Y7" s="8">
        <f t="shared" si="7"/>
        <v>0</v>
      </c>
      <c r="Z7" s="8">
        <f t="shared" si="8"/>
        <v>0</v>
      </c>
      <c r="AA7" s="8">
        <f t="shared" si="9"/>
        <v>0</v>
      </c>
      <c r="AB7" s="8">
        <f t="shared" si="10"/>
        <v>0</v>
      </c>
      <c r="AC7" s="8">
        <f t="shared" si="11"/>
        <v>0</v>
      </c>
      <c r="AD7" s="8">
        <f t="shared" si="12"/>
        <v>0</v>
      </c>
      <c r="AE7" s="6">
        <f t="shared" si="13"/>
        <v>0</v>
      </c>
      <c r="AF7" s="12"/>
    </row>
    <row r="8" spans="1:32">
      <c r="D8" s="9"/>
      <c r="E8" s="9"/>
      <c r="F8" s="9"/>
      <c r="G8" s="9"/>
      <c r="H8" s="9"/>
      <c r="I8" s="9"/>
      <c r="J8" s="10"/>
      <c r="K8" s="9"/>
      <c r="L8" s="9"/>
      <c r="M8" s="9"/>
      <c r="N8" s="9"/>
      <c r="O8" s="11"/>
      <c r="P8" s="6">
        <f t="shared" si="0"/>
        <v>0</v>
      </c>
      <c r="Q8" s="12"/>
      <c r="S8" s="8">
        <f t="shared" si="1"/>
        <v>0</v>
      </c>
      <c r="T8" s="8">
        <f t="shared" si="2"/>
        <v>0</v>
      </c>
      <c r="U8" s="8">
        <f t="shared" si="3"/>
        <v>0</v>
      </c>
      <c r="V8" s="8">
        <f t="shared" si="4"/>
        <v>0</v>
      </c>
      <c r="W8" s="8">
        <f t="shared" si="5"/>
        <v>0</v>
      </c>
      <c r="X8" s="8">
        <f t="shared" si="6"/>
        <v>0</v>
      </c>
      <c r="Y8" s="8">
        <f t="shared" si="7"/>
        <v>0</v>
      </c>
      <c r="Z8" s="8">
        <f t="shared" si="8"/>
        <v>0</v>
      </c>
      <c r="AA8" s="8">
        <f t="shared" si="9"/>
        <v>0</v>
      </c>
      <c r="AB8" s="8">
        <f t="shared" si="10"/>
        <v>0</v>
      </c>
      <c r="AC8" s="8">
        <f t="shared" si="11"/>
        <v>0</v>
      </c>
      <c r="AD8" s="8">
        <f t="shared" si="12"/>
        <v>0</v>
      </c>
      <c r="AE8" s="6">
        <f t="shared" si="13"/>
        <v>0</v>
      </c>
      <c r="AF8" s="12"/>
    </row>
    <row r="9" spans="1:32">
      <c r="D9" s="9"/>
      <c r="E9" s="9"/>
      <c r="F9" s="9"/>
      <c r="G9" s="9"/>
      <c r="H9" s="9"/>
      <c r="I9" s="9"/>
      <c r="J9" s="10"/>
      <c r="K9" s="9"/>
      <c r="L9" s="9"/>
      <c r="M9" s="9"/>
      <c r="N9" s="9"/>
      <c r="O9" s="11"/>
      <c r="P9" s="6">
        <f t="shared" si="0"/>
        <v>0</v>
      </c>
      <c r="Q9" s="12"/>
      <c r="S9" s="8">
        <f t="shared" si="1"/>
        <v>0</v>
      </c>
      <c r="T9" s="8">
        <f t="shared" si="2"/>
        <v>0</v>
      </c>
      <c r="U9" s="8">
        <f t="shared" si="3"/>
        <v>0</v>
      </c>
      <c r="V9" s="8">
        <f t="shared" si="4"/>
        <v>0</v>
      </c>
      <c r="W9" s="8">
        <f t="shared" si="5"/>
        <v>0</v>
      </c>
      <c r="X9" s="8">
        <f t="shared" si="6"/>
        <v>0</v>
      </c>
      <c r="Y9" s="8">
        <f t="shared" si="7"/>
        <v>0</v>
      </c>
      <c r="Z9" s="8">
        <f t="shared" si="8"/>
        <v>0</v>
      </c>
      <c r="AA9" s="8">
        <f t="shared" si="9"/>
        <v>0</v>
      </c>
      <c r="AB9" s="8">
        <f t="shared" si="10"/>
        <v>0</v>
      </c>
      <c r="AC9" s="8">
        <f t="shared" si="11"/>
        <v>0</v>
      </c>
      <c r="AD9" s="8">
        <f t="shared" si="12"/>
        <v>0</v>
      </c>
      <c r="AE9" s="6">
        <f t="shared" si="13"/>
        <v>0</v>
      </c>
      <c r="AF9" s="12"/>
    </row>
    <row r="10" spans="1:32">
      <c r="B10" s="17">
        <v>4.547</v>
      </c>
      <c r="D10" s="9"/>
      <c r="E10" s="9"/>
      <c r="F10" s="9"/>
      <c r="G10" s="9"/>
      <c r="H10" s="9"/>
      <c r="I10" s="9"/>
      <c r="J10" s="10"/>
      <c r="K10" s="9"/>
      <c r="L10" s="9"/>
      <c r="M10" s="9"/>
      <c r="N10" s="9"/>
      <c r="O10" s="9"/>
      <c r="P10" s="6">
        <f t="shared" si="0"/>
        <v>0</v>
      </c>
      <c r="Q10" s="12"/>
      <c r="S10" s="8">
        <f t="shared" si="1"/>
        <v>0</v>
      </c>
      <c r="T10" s="8">
        <f t="shared" si="2"/>
        <v>0</v>
      </c>
      <c r="U10" s="8">
        <f t="shared" si="3"/>
        <v>0</v>
      </c>
      <c r="V10" s="8">
        <f t="shared" si="4"/>
        <v>0</v>
      </c>
      <c r="W10" s="8">
        <f t="shared" si="5"/>
        <v>0</v>
      </c>
      <c r="X10" s="8">
        <f t="shared" si="6"/>
        <v>0</v>
      </c>
      <c r="Y10" s="8">
        <f t="shared" si="7"/>
        <v>0</v>
      </c>
      <c r="Z10" s="8">
        <f t="shared" si="8"/>
        <v>0</v>
      </c>
      <c r="AA10" s="8">
        <f t="shared" si="9"/>
        <v>0</v>
      </c>
      <c r="AB10" s="8">
        <f t="shared" si="10"/>
        <v>0</v>
      </c>
      <c r="AC10" s="8">
        <f t="shared" si="11"/>
        <v>0</v>
      </c>
      <c r="AD10" s="8">
        <f t="shared" si="12"/>
        <v>0</v>
      </c>
      <c r="AE10" s="6">
        <f t="shared" si="13"/>
        <v>0</v>
      </c>
      <c r="AF10" s="12"/>
    </row>
    <row r="11" spans="1:32">
      <c r="B11" s="17"/>
      <c r="D11" s="9"/>
      <c r="E11" s="9"/>
      <c r="F11" s="9"/>
      <c r="G11" s="9"/>
      <c r="H11" s="9"/>
      <c r="I11" s="9"/>
      <c r="J11" s="10"/>
      <c r="K11" s="9"/>
      <c r="L11" s="9"/>
      <c r="M11" s="9"/>
      <c r="N11" s="9"/>
      <c r="O11" s="11"/>
      <c r="P11" s="6">
        <f t="shared" si="0"/>
        <v>0</v>
      </c>
      <c r="Q11" s="12"/>
      <c r="S11" s="8">
        <f t="shared" si="1"/>
        <v>0</v>
      </c>
      <c r="T11" s="8">
        <f t="shared" si="2"/>
        <v>0</v>
      </c>
      <c r="U11" s="8">
        <f t="shared" si="3"/>
        <v>0</v>
      </c>
      <c r="V11" s="8">
        <f t="shared" si="4"/>
        <v>0</v>
      </c>
      <c r="W11" s="8">
        <f t="shared" si="5"/>
        <v>0</v>
      </c>
      <c r="X11" s="8">
        <f t="shared" si="6"/>
        <v>0</v>
      </c>
      <c r="Y11" s="8">
        <f t="shared" si="7"/>
        <v>0</v>
      </c>
      <c r="Z11" s="8">
        <f t="shared" si="8"/>
        <v>0</v>
      </c>
      <c r="AA11" s="8">
        <f t="shared" si="9"/>
        <v>0</v>
      </c>
      <c r="AB11" s="8">
        <f t="shared" si="10"/>
        <v>0</v>
      </c>
      <c r="AC11" s="8">
        <f t="shared" si="11"/>
        <v>0</v>
      </c>
      <c r="AD11" s="8">
        <f t="shared" si="12"/>
        <v>0</v>
      </c>
      <c r="AE11" s="6">
        <f t="shared" si="13"/>
        <v>0</v>
      </c>
      <c r="AF11" s="12"/>
    </row>
    <row r="12" spans="1:32">
      <c r="D12" s="9"/>
      <c r="E12" s="9"/>
      <c r="F12" s="9"/>
      <c r="G12" s="9"/>
      <c r="H12" s="9"/>
      <c r="I12" s="9"/>
      <c r="J12" s="10"/>
      <c r="K12" s="9"/>
      <c r="L12" s="9"/>
      <c r="M12" s="9"/>
      <c r="N12" s="9"/>
      <c r="O12" s="11"/>
      <c r="P12" s="6">
        <f t="shared" si="0"/>
        <v>0</v>
      </c>
      <c r="Q12" s="12"/>
      <c r="R12" s="18">
        <f>Q2-AF2</f>
        <v>-869.015</v>
      </c>
      <c r="S12" s="8">
        <f t="shared" si="1"/>
        <v>0</v>
      </c>
      <c r="T12" s="8">
        <f t="shared" si="2"/>
        <v>0</v>
      </c>
      <c r="U12" s="8">
        <f t="shared" si="3"/>
        <v>0</v>
      </c>
      <c r="V12" s="8">
        <f t="shared" si="4"/>
        <v>0</v>
      </c>
      <c r="W12" s="8">
        <f t="shared" si="5"/>
        <v>0</v>
      </c>
      <c r="X12" s="8">
        <f t="shared" si="6"/>
        <v>0</v>
      </c>
      <c r="Y12" s="8">
        <f t="shared" si="7"/>
        <v>0</v>
      </c>
      <c r="Z12" s="8">
        <f t="shared" si="8"/>
        <v>0</v>
      </c>
      <c r="AA12" s="8">
        <f t="shared" si="9"/>
        <v>0</v>
      </c>
      <c r="AB12" s="8">
        <f t="shared" si="10"/>
        <v>0</v>
      </c>
      <c r="AC12" s="8">
        <f t="shared" si="11"/>
        <v>0</v>
      </c>
      <c r="AD12" s="8">
        <f t="shared" si="12"/>
        <v>0</v>
      </c>
      <c r="AE12" s="6">
        <f t="shared" si="13"/>
        <v>0</v>
      </c>
      <c r="AF12" s="12"/>
    </row>
    <row r="13" spans="1:32">
      <c r="D13" s="9"/>
      <c r="E13" s="9"/>
      <c r="F13" s="9"/>
      <c r="G13" s="9"/>
      <c r="H13" s="9"/>
      <c r="I13" s="9"/>
      <c r="J13" s="10"/>
      <c r="K13" s="9"/>
      <c r="L13" s="9"/>
      <c r="M13" s="9"/>
      <c r="N13" s="9"/>
      <c r="O13" s="11"/>
      <c r="P13" s="6">
        <f t="shared" si="0"/>
        <v>0</v>
      </c>
      <c r="Q13" s="12"/>
      <c r="R13" s="19"/>
      <c r="S13" s="8">
        <f t="shared" si="1"/>
        <v>0</v>
      </c>
      <c r="T13" s="8">
        <f t="shared" si="2"/>
        <v>0</v>
      </c>
      <c r="U13" s="8">
        <f t="shared" si="3"/>
        <v>0</v>
      </c>
      <c r="V13" s="8">
        <f t="shared" si="4"/>
        <v>0</v>
      </c>
      <c r="W13" s="8">
        <f t="shared" si="5"/>
        <v>0</v>
      </c>
      <c r="X13" s="8">
        <f t="shared" si="6"/>
        <v>0</v>
      </c>
      <c r="Y13" s="8">
        <f t="shared" si="7"/>
        <v>0</v>
      </c>
      <c r="Z13" s="8">
        <f t="shared" si="8"/>
        <v>0</v>
      </c>
      <c r="AA13" s="8">
        <f t="shared" si="9"/>
        <v>0</v>
      </c>
      <c r="AB13" s="8">
        <f t="shared" si="10"/>
        <v>0</v>
      </c>
      <c r="AC13" s="8">
        <f t="shared" si="11"/>
        <v>0</v>
      </c>
      <c r="AD13" s="8">
        <f t="shared" si="12"/>
        <v>0</v>
      </c>
      <c r="AE13" s="6">
        <f t="shared" si="13"/>
        <v>0</v>
      </c>
      <c r="AF13" s="12"/>
    </row>
    <row r="14" spans="1:32">
      <c r="D14" s="9"/>
      <c r="E14" s="9"/>
      <c r="F14" s="9"/>
      <c r="G14" s="9"/>
      <c r="H14" s="9"/>
      <c r="I14" s="9"/>
      <c r="J14" s="10"/>
      <c r="K14" s="9"/>
      <c r="L14" s="9"/>
      <c r="M14" s="9"/>
      <c r="N14" s="9"/>
      <c r="O14" s="11"/>
      <c r="P14" s="6">
        <f t="shared" si="0"/>
        <v>0</v>
      </c>
      <c r="Q14" s="12"/>
      <c r="R14" s="19"/>
      <c r="S14" s="8">
        <f t="shared" si="1"/>
        <v>0</v>
      </c>
      <c r="T14" s="8">
        <f t="shared" si="2"/>
        <v>0</v>
      </c>
      <c r="U14" s="8">
        <f t="shared" si="3"/>
        <v>0</v>
      </c>
      <c r="V14" s="8">
        <f t="shared" si="4"/>
        <v>0</v>
      </c>
      <c r="W14" s="8">
        <f t="shared" si="5"/>
        <v>0</v>
      </c>
      <c r="X14" s="8">
        <f t="shared" si="6"/>
        <v>0</v>
      </c>
      <c r="Y14" s="8">
        <f t="shared" si="7"/>
        <v>0</v>
      </c>
      <c r="Z14" s="8">
        <f t="shared" si="8"/>
        <v>0</v>
      </c>
      <c r="AA14" s="8">
        <f t="shared" si="9"/>
        <v>0</v>
      </c>
      <c r="AB14" s="8">
        <f t="shared" si="10"/>
        <v>0</v>
      </c>
      <c r="AC14" s="8">
        <f t="shared" si="11"/>
        <v>0</v>
      </c>
      <c r="AD14" s="8">
        <f t="shared" si="12"/>
        <v>0</v>
      </c>
      <c r="AE14" s="6">
        <f t="shared" si="13"/>
        <v>0</v>
      </c>
      <c r="AF14" s="12"/>
    </row>
    <row r="15" spans="1:32">
      <c r="D15" s="9"/>
      <c r="E15" s="9"/>
      <c r="F15" s="9"/>
      <c r="G15" s="9"/>
      <c r="H15" s="9"/>
      <c r="I15" s="9"/>
      <c r="J15" s="10"/>
      <c r="K15" s="9"/>
      <c r="L15" s="9"/>
      <c r="M15" s="9"/>
      <c r="N15" s="9"/>
      <c r="O15" s="11"/>
      <c r="P15" s="6">
        <f t="shared" si="0"/>
        <v>0</v>
      </c>
      <c r="Q15" s="12"/>
      <c r="R15" s="19"/>
      <c r="S15" s="8">
        <f t="shared" si="1"/>
        <v>0</v>
      </c>
      <c r="T15" s="8">
        <f t="shared" si="2"/>
        <v>0</v>
      </c>
      <c r="U15" s="8">
        <f t="shared" si="3"/>
        <v>0</v>
      </c>
      <c r="V15" s="8">
        <f t="shared" si="4"/>
        <v>0</v>
      </c>
      <c r="W15" s="8">
        <f t="shared" si="5"/>
        <v>0</v>
      </c>
      <c r="X15" s="8">
        <f t="shared" si="6"/>
        <v>0</v>
      </c>
      <c r="Y15" s="8">
        <f t="shared" si="7"/>
        <v>0</v>
      </c>
      <c r="Z15" s="8">
        <f t="shared" si="8"/>
        <v>0</v>
      </c>
      <c r="AA15" s="8">
        <f t="shared" si="9"/>
        <v>0</v>
      </c>
      <c r="AB15" s="8">
        <f t="shared" si="10"/>
        <v>0</v>
      </c>
      <c r="AC15" s="8">
        <f t="shared" si="11"/>
        <v>0</v>
      </c>
      <c r="AD15" s="8">
        <f t="shared" si="12"/>
        <v>0</v>
      </c>
      <c r="AE15" s="6">
        <f t="shared" si="13"/>
        <v>0</v>
      </c>
      <c r="AF15" s="12"/>
    </row>
    <row r="16" ht="17.4" spans="1:32">
      <c r="A16" s="20"/>
      <c r="B16" s="21"/>
      <c r="D16" s="9"/>
      <c r="E16" s="9"/>
      <c r="F16" s="9"/>
      <c r="G16" s="9"/>
      <c r="H16" s="9"/>
      <c r="I16" s="9"/>
      <c r="J16" s="10"/>
      <c r="K16" s="9"/>
      <c r="L16" s="9"/>
      <c r="M16" s="9"/>
      <c r="N16" s="9"/>
      <c r="O16" s="11"/>
      <c r="P16" s="6">
        <f t="shared" si="0"/>
        <v>0</v>
      </c>
      <c r="Q16" s="12"/>
      <c r="R16" s="19"/>
      <c r="S16" s="8">
        <f t="shared" si="1"/>
        <v>0</v>
      </c>
      <c r="T16" s="8">
        <f t="shared" si="2"/>
        <v>0</v>
      </c>
      <c r="U16" s="8">
        <f t="shared" si="3"/>
        <v>0</v>
      </c>
      <c r="V16" s="8">
        <f t="shared" si="4"/>
        <v>0</v>
      </c>
      <c r="W16" s="8">
        <f t="shared" si="5"/>
        <v>0</v>
      </c>
      <c r="X16" s="8">
        <f t="shared" si="6"/>
        <v>0</v>
      </c>
      <c r="Y16" s="8">
        <f t="shared" si="7"/>
        <v>0</v>
      </c>
      <c r="Z16" s="8">
        <f t="shared" si="8"/>
        <v>0</v>
      </c>
      <c r="AA16" s="8">
        <f t="shared" si="9"/>
        <v>0</v>
      </c>
      <c r="AB16" s="8">
        <f t="shared" si="10"/>
        <v>0</v>
      </c>
      <c r="AC16" s="8">
        <f t="shared" si="11"/>
        <v>0</v>
      </c>
      <c r="AD16" s="8">
        <f t="shared" si="12"/>
        <v>0</v>
      </c>
      <c r="AE16" s="6">
        <f t="shared" si="13"/>
        <v>0</v>
      </c>
      <c r="AF16" s="12"/>
    </row>
    <row r="17" spans="1:32">
      <c r="A17" s="2" t="s">
        <v>18</v>
      </c>
      <c r="B17" s="22">
        <v>245</v>
      </c>
      <c r="C17" s="23">
        <f>B17*B10</f>
        <v>1114.015</v>
      </c>
      <c r="D17" s="9"/>
      <c r="E17" s="9"/>
      <c r="F17" s="9"/>
      <c r="G17" s="9"/>
      <c r="H17" s="9"/>
      <c r="I17" s="9"/>
      <c r="J17" s="10"/>
      <c r="K17" s="9"/>
      <c r="L17" s="9"/>
      <c r="M17" s="9"/>
      <c r="N17" s="9"/>
      <c r="O17" s="11"/>
      <c r="P17" s="6">
        <f t="shared" si="0"/>
        <v>0</v>
      </c>
      <c r="Q17" s="12"/>
      <c r="R17" s="19"/>
      <c r="S17" s="8">
        <f t="shared" si="1"/>
        <v>0</v>
      </c>
      <c r="T17" s="8">
        <f t="shared" si="2"/>
        <v>0</v>
      </c>
      <c r="U17" s="8">
        <f t="shared" si="3"/>
        <v>0</v>
      </c>
      <c r="V17" s="8">
        <f t="shared" si="4"/>
        <v>0</v>
      </c>
      <c r="W17" s="8">
        <f t="shared" si="5"/>
        <v>0</v>
      </c>
      <c r="X17" s="8">
        <f t="shared" si="6"/>
        <v>0</v>
      </c>
      <c r="Y17" s="8">
        <f t="shared" si="7"/>
        <v>0</v>
      </c>
      <c r="Z17" s="8">
        <f t="shared" si="8"/>
        <v>0</v>
      </c>
      <c r="AA17" s="8">
        <f t="shared" si="9"/>
        <v>0</v>
      </c>
      <c r="AB17" s="8">
        <f t="shared" si="10"/>
        <v>0</v>
      </c>
      <c r="AC17" s="8">
        <f t="shared" si="11"/>
        <v>0</v>
      </c>
      <c r="AD17" s="8">
        <f t="shared" si="12"/>
        <v>0</v>
      </c>
      <c r="AE17" s="6">
        <f t="shared" si="13"/>
        <v>0</v>
      </c>
      <c r="AF17" s="12"/>
    </row>
    <row r="18" spans="1:32">
      <c r="A18" s="2"/>
      <c r="B18" s="22"/>
      <c r="C18" s="23"/>
      <c r="D18" s="9"/>
      <c r="E18" s="9"/>
      <c r="F18" s="9"/>
      <c r="G18" s="9"/>
      <c r="H18" s="9"/>
      <c r="I18" s="9"/>
      <c r="J18" s="10"/>
      <c r="K18" s="9"/>
      <c r="L18" s="9"/>
      <c r="M18" s="9"/>
      <c r="N18" s="9"/>
      <c r="O18" s="11"/>
      <c r="P18" s="6">
        <f t="shared" si="0"/>
        <v>0</v>
      </c>
      <c r="Q18" s="12"/>
      <c r="R18" s="19"/>
      <c r="S18" s="8">
        <f t="shared" si="1"/>
        <v>0</v>
      </c>
      <c r="T18" s="8">
        <f t="shared" si="2"/>
        <v>0</v>
      </c>
      <c r="U18" s="8">
        <f t="shared" si="3"/>
        <v>0</v>
      </c>
      <c r="V18" s="8">
        <f t="shared" si="4"/>
        <v>0</v>
      </c>
      <c r="W18" s="8">
        <f t="shared" si="5"/>
        <v>0</v>
      </c>
      <c r="X18" s="8">
        <f t="shared" si="6"/>
        <v>0</v>
      </c>
      <c r="Y18" s="8">
        <f t="shared" si="7"/>
        <v>0</v>
      </c>
      <c r="Z18" s="8">
        <f t="shared" si="8"/>
        <v>0</v>
      </c>
      <c r="AA18" s="8">
        <f t="shared" si="9"/>
        <v>0</v>
      </c>
      <c r="AB18" s="8">
        <f t="shared" si="10"/>
        <v>0</v>
      </c>
      <c r="AC18" s="8">
        <f t="shared" si="11"/>
        <v>0</v>
      </c>
      <c r="AD18" s="8">
        <f t="shared" si="12"/>
        <v>0</v>
      </c>
      <c r="AE18" s="6">
        <f t="shared" si="13"/>
        <v>0</v>
      </c>
      <c r="AF18" s="12"/>
    </row>
    <row r="19" spans="1:32">
      <c r="A19" s="2"/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">
        <f t="shared" si="0"/>
        <v>0</v>
      </c>
      <c r="Q19" s="12"/>
      <c r="R19" s="19"/>
      <c r="S19" s="8">
        <f t="shared" si="1"/>
        <v>0</v>
      </c>
      <c r="T19" s="8">
        <f t="shared" si="2"/>
        <v>0</v>
      </c>
      <c r="U19" s="8">
        <f t="shared" si="3"/>
        <v>0</v>
      </c>
      <c r="V19" s="8">
        <f t="shared" si="4"/>
        <v>0</v>
      </c>
      <c r="W19" s="8">
        <f t="shared" si="5"/>
        <v>0</v>
      </c>
      <c r="X19" s="8">
        <f t="shared" si="6"/>
        <v>0</v>
      </c>
      <c r="Y19" s="8">
        <f t="shared" si="7"/>
        <v>0</v>
      </c>
      <c r="Z19" s="8">
        <f t="shared" si="8"/>
        <v>0</v>
      </c>
      <c r="AA19" s="8">
        <f t="shared" si="9"/>
        <v>0</v>
      </c>
      <c r="AB19" s="8">
        <f t="shared" si="10"/>
        <v>0</v>
      </c>
      <c r="AC19" s="8">
        <f t="shared" si="11"/>
        <v>0</v>
      </c>
      <c r="AD19" s="8">
        <f t="shared" si="12"/>
        <v>0</v>
      </c>
      <c r="AE19" s="6">
        <f t="shared" si="13"/>
        <v>0</v>
      </c>
      <c r="AF19" s="12"/>
    </row>
    <row r="20" spans="1:32">
      <c r="A20" s="2"/>
      <c r="B20" s="22"/>
      <c r="C20" s="23"/>
      <c r="D20" s="9"/>
      <c r="E20" s="9"/>
      <c r="F20" s="9"/>
      <c r="G20" s="9"/>
      <c r="H20" s="9"/>
      <c r="I20" s="9"/>
      <c r="J20" s="10"/>
      <c r="K20" s="9"/>
      <c r="L20" s="9"/>
      <c r="M20" s="9"/>
      <c r="N20" s="9"/>
      <c r="O20" s="11"/>
      <c r="P20" s="6">
        <f t="shared" si="0"/>
        <v>0</v>
      </c>
      <c r="Q20" s="12"/>
      <c r="R20" s="19"/>
      <c r="S20" s="8">
        <f t="shared" si="1"/>
        <v>0</v>
      </c>
      <c r="T20" s="8">
        <f t="shared" si="2"/>
        <v>0</v>
      </c>
      <c r="U20" s="8">
        <f t="shared" si="3"/>
        <v>0</v>
      </c>
      <c r="V20" s="8">
        <f t="shared" si="4"/>
        <v>0</v>
      </c>
      <c r="W20" s="8">
        <f t="shared" si="5"/>
        <v>0</v>
      </c>
      <c r="X20" s="8">
        <f t="shared" si="6"/>
        <v>0</v>
      </c>
      <c r="Y20" s="8">
        <f t="shared" si="7"/>
        <v>0</v>
      </c>
      <c r="Z20" s="8">
        <f t="shared" si="8"/>
        <v>0</v>
      </c>
      <c r="AA20" s="8">
        <f t="shared" si="9"/>
        <v>0</v>
      </c>
      <c r="AB20" s="8">
        <f t="shared" si="10"/>
        <v>0</v>
      </c>
      <c r="AC20" s="8">
        <f t="shared" si="11"/>
        <v>0</v>
      </c>
      <c r="AD20" s="8">
        <f t="shared" si="12"/>
        <v>0</v>
      </c>
      <c r="AE20" s="6">
        <f t="shared" si="13"/>
        <v>0</v>
      </c>
      <c r="AF20" s="12"/>
    </row>
    <row r="21" spans="1:32">
      <c r="A21" s="2"/>
      <c r="B21" s="22"/>
      <c r="C21" s="23"/>
      <c r="D21" s="9"/>
      <c r="E21" s="9"/>
      <c r="F21" s="9"/>
      <c r="G21" s="9"/>
      <c r="H21" s="9"/>
      <c r="I21" s="9"/>
      <c r="J21" s="10"/>
      <c r="K21" s="9"/>
      <c r="L21" s="9"/>
      <c r="M21" s="9"/>
      <c r="N21" s="9"/>
      <c r="O21" s="11"/>
      <c r="P21" s="6">
        <f t="shared" si="0"/>
        <v>0</v>
      </c>
      <c r="Q21" s="12"/>
      <c r="R21" s="19"/>
      <c r="S21" s="8">
        <f t="shared" si="1"/>
        <v>0</v>
      </c>
      <c r="T21" s="8">
        <f t="shared" si="2"/>
        <v>0</v>
      </c>
      <c r="U21" s="8">
        <f t="shared" si="3"/>
        <v>0</v>
      </c>
      <c r="V21" s="8">
        <f t="shared" si="4"/>
        <v>0</v>
      </c>
      <c r="W21" s="8">
        <f t="shared" si="5"/>
        <v>0</v>
      </c>
      <c r="X21" s="8">
        <f t="shared" si="6"/>
        <v>0</v>
      </c>
      <c r="Y21" s="8">
        <f t="shared" si="7"/>
        <v>0</v>
      </c>
      <c r="Z21" s="8">
        <f t="shared" si="8"/>
        <v>0</v>
      </c>
      <c r="AA21" s="8">
        <f t="shared" si="9"/>
        <v>0</v>
      </c>
      <c r="AB21" s="8">
        <f t="shared" si="10"/>
        <v>0</v>
      </c>
      <c r="AC21" s="8">
        <f t="shared" si="11"/>
        <v>0</v>
      </c>
      <c r="AD21" s="8">
        <f t="shared" si="12"/>
        <v>0</v>
      </c>
      <c r="AE21" s="6">
        <f t="shared" si="13"/>
        <v>0</v>
      </c>
      <c r="AF21" s="12"/>
    </row>
    <row r="22" spans="1:32">
      <c r="A22" s="2"/>
      <c r="B22" s="22"/>
      <c r="C22" s="23"/>
      <c r="D22" s="9"/>
      <c r="E22" s="9"/>
      <c r="F22" s="9"/>
      <c r="G22" s="9"/>
      <c r="H22" s="9"/>
      <c r="I22" s="9"/>
      <c r="J22" s="10"/>
      <c r="K22" s="9"/>
      <c r="L22" s="9"/>
      <c r="M22" s="9"/>
      <c r="N22" s="9"/>
      <c r="O22" s="11"/>
      <c r="P22" s="6">
        <f t="shared" si="0"/>
        <v>0</v>
      </c>
      <c r="Q22" s="12"/>
      <c r="R22" s="19"/>
      <c r="S22" s="8">
        <f t="shared" si="1"/>
        <v>0</v>
      </c>
      <c r="T22" s="8">
        <f t="shared" si="2"/>
        <v>0</v>
      </c>
      <c r="U22" s="8">
        <f t="shared" si="3"/>
        <v>0</v>
      </c>
      <c r="V22" s="8">
        <f t="shared" si="4"/>
        <v>0</v>
      </c>
      <c r="W22" s="8">
        <f t="shared" si="5"/>
        <v>0</v>
      </c>
      <c r="X22" s="8">
        <f t="shared" si="6"/>
        <v>0</v>
      </c>
      <c r="Y22" s="8">
        <f t="shared" si="7"/>
        <v>0</v>
      </c>
      <c r="Z22" s="8">
        <f t="shared" si="8"/>
        <v>0</v>
      </c>
      <c r="AA22" s="8">
        <f t="shared" si="9"/>
        <v>0</v>
      </c>
      <c r="AB22" s="8">
        <f t="shared" si="10"/>
        <v>0</v>
      </c>
      <c r="AC22" s="8">
        <f t="shared" si="11"/>
        <v>0</v>
      </c>
      <c r="AD22" s="8">
        <f t="shared" si="12"/>
        <v>0</v>
      </c>
      <c r="AE22" s="6">
        <f t="shared" si="13"/>
        <v>0</v>
      </c>
      <c r="AF22" s="12"/>
    </row>
    <row r="23" spans="1:32">
      <c r="A23" s="2"/>
      <c r="B23" s="22"/>
      <c r="C23" s="23"/>
      <c r="D23" s="9"/>
      <c r="E23" s="9"/>
      <c r="F23" s="9"/>
      <c r="G23" s="9"/>
      <c r="H23" s="9"/>
      <c r="I23" s="9"/>
      <c r="J23" s="10"/>
      <c r="K23" s="9"/>
      <c r="L23" s="9"/>
      <c r="M23" s="9"/>
      <c r="N23" s="9"/>
      <c r="O23" s="11"/>
      <c r="P23" s="6">
        <f t="shared" si="0"/>
        <v>0</v>
      </c>
      <c r="Q23" s="12"/>
      <c r="R23" s="19"/>
      <c r="S23" s="8">
        <f t="shared" si="1"/>
        <v>0</v>
      </c>
      <c r="T23" s="8">
        <f t="shared" si="2"/>
        <v>0</v>
      </c>
      <c r="U23" s="8">
        <f t="shared" si="3"/>
        <v>0</v>
      </c>
      <c r="V23" s="8">
        <f t="shared" si="4"/>
        <v>0</v>
      </c>
      <c r="W23" s="8">
        <f t="shared" si="5"/>
        <v>0</v>
      </c>
      <c r="X23" s="8">
        <f t="shared" si="6"/>
        <v>0</v>
      </c>
      <c r="Y23" s="8">
        <f t="shared" si="7"/>
        <v>0</v>
      </c>
      <c r="Z23" s="8">
        <f t="shared" si="8"/>
        <v>0</v>
      </c>
      <c r="AA23" s="8">
        <f t="shared" si="9"/>
        <v>0</v>
      </c>
      <c r="AB23" s="8">
        <f t="shared" si="10"/>
        <v>0</v>
      </c>
      <c r="AC23" s="8">
        <f t="shared" si="11"/>
        <v>0</v>
      </c>
      <c r="AD23" s="8">
        <f t="shared" si="12"/>
        <v>0</v>
      </c>
      <c r="AE23" s="6">
        <f t="shared" si="13"/>
        <v>0</v>
      </c>
      <c r="AF23" s="12"/>
    </row>
    <row r="24" spans="1:32">
      <c r="A24" s="2"/>
      <c r="B24" s="22"/>
      <c r="D24" s="9"/>
      <c r="E24" s="9"/>
      <c r="F24" s="9"/>
      <c r="G24" s="9"/>
      <c r="H24" s="9"/>
      <c r="I24" s="9"/>
      <c r="J24" s="10"/>
      <c r="K24" s="9"/>
      <c r="L24" s="9"/>
      <c r="M24" s="9"/>
      <c r="N24" s="9"/>
      <c r="O24" s="11"/>
      <c r="P24" s="6">
        <f t="shared" si="0"/>
        <v>0</v>
      </c>
      <c r="Q24" s="12"/>
      <c r="R24" s="19"/>
      <c r="S24" s="8">
        <f t="shared" si="1"/>
        <v>0</v>
      </c>
      <c r="T24" s="8">
        <f t="shared" si="2"/>
        <v>0</v>
      </c>
      <c r="U24" s="8">
        <f t="shared" si="3"/>
        <v>0</v>
      </c>
      <c r="V24" s="8">
        <f t="shared" si="4"/>
        <v>0</v>
      </c>
      <c r="W24" s="8">
        <f t="shared" si="5"/>
        <v>0</v>
      </c>
      <c r="X24" s="8">
        <f t="shared" si="6"/>
        <v>0</v>
      </c>
      <c r="Y24" s="8">
        <f t="shared" si="7"/>
        <v>0</v>
      </c>
      <c r="Z24" s="8">
        <f t="shared" si="8"/>
        <v>0</v>
      </c>
      <c r="AA24" s="8">
        <f t="shared" si="9"/>
        <v>0</v>
      </c>
      <c r="AB24" s="8">
        <f t="shared" si="10"/>
        <v>0</v>
      </c>
      <c r="AC24" s="8">
        <f t="shared" si="11"/>
        <v>0</v>
      </c>
      <c r="AD24" s="8">
        <f t="shared" si="12"/>
        <v>0</v>
      </c>
      <c r="AE24" s="6">
        <f t="shared" si="13"/>
        <v>0</v>
      </c>
      <c r="AF24" s="12"/>
    </row>
    <row r="25" spans="1:32">
      <c r="A25" s="2"/>
      <c r="B25" s="22"/>
      <c r="D25" s="9"/>
      <c r="E25" s="9"/>
      <c r="F25" s="9"/>
      <c r="G25" s="9"/>
      <c r="H25" s="9"/>
      <c r="I25" s="9"/>
      <c r="J25" s="10"/>
      <c r="K25" s="9"/>
      <c r="L25" s="9">
        <v>10</v>
      </c>
      <c r="M25" s="9"/>
      <c r="N25" s="9"/>
      <c r="O25" s="11"/>
      <c r="P25" s="6">
        <f t="shared" si="0"/>
        <v>10</v>
      </c>
      <c r="Q25" s="12"/>
      <c r="S25" s="8">
        <f t="shared" si="1"/>
        <v>0</v>
      </c>
      <c r="T25" s="8">
        <f t="shared" si="2"/>
        <v>0</v>
      </c>
      <c r="U25" s="8">
        <f t="shared" si="3"/>
        <v>0</v>
      </c>
      <c r="V25" s="8">
        <f t="shared" si="4"/>
        <v>0</v>
      </c>
      <c r="W25" s="8">
        <f t="shared" si="5"/>
        <v>0</v>
      </c>
      <c r="X25" s="8">
        <f t="shared" si="6"/>
        <v>0</v>
      </c>
      <c r="Y25" s="8">
        <f t="shared" si="7"/>
        <v>0</v>
      </c>
      <c r="Z25" s="8">
        <f t="shared" si="8"/>
        <v>0</v>
      </c>
      <c r="AA25" s="8">
        <f t="shared" si="9"/>
        <v>45.47</v>
      </c>
      <c r="AB25" s="8">
        <f t="shared" si="10"/>
        <v>0</v>
      </c>
      <c r="AC25" s="8">
        <f t="shared" si="11"/>
        <v>0</v>
      </c>
      <c r="AD25" s="8">
        <f t="shared" si="12"/>
        <v>0</v>
      </c>
      <c r="AE25" s="6">
        <f t="shared" si="13"/>
        <v>45.47</v>
      </c>
      <c r="AF25" s="12"/>
    </row>
    <row r="26" spans="1:32">
      <c r="A26" s="2"/>
      <c r="B26" s="22"/>
      <c r="D26" s="9"/>
      <c r="E26" s="9"/>
      <c r="F26" s="9"/>
      <c r="G26" s="9"/>
      <c r="H26" s="9"/>
      <c r="I26" s="9"/>
      <c r="J26" s="10"/>
      <c r="K26" s="9"/>
      <c r="L26" s="9"/>
      <c r="M26" s="9"/>
      <c r="N26" s="9"/>
      <c r="O26" s="11"/>
      <c r="P26" s="6">
        <f t="shared" si="0"/>
        <v>0</v>
      </c>
      <c r="Q26" s="12"/>
      <c r="S26" s="8">
        <f t="shared" si="1"/>
        <v>0</v>
      </c>
      <c r="T26" s="8">
        <f t="shared" si="2"/>
        <v>0</v>
      </c>
      <c r="U26" s="8">
        <f t="shared" si="3"/>
        <v>0</v>
      </c>
      <c r="V26" s="8">
        <f t="shared" si="4"/>
        <v>0</v>
      </c>
      <c r="W26" s="8">
        <f t="shared" si="5"/>
        <v>0</v>
      </c>
      <c r="X26" s="8">
        <f t="shared" si="6"/>
        <v>0</v>
      </c>
      <c r="Y26" s="8">
        <f t="shared" si="7"/>
        <v>0</v>
      </c>
      <c r="Z26" s="8">
        <f t="shared" si="8"/>
        <v>0</v>
      </c>
      <c r="AA26" s="8">
        <f t="shared" si="9"/>
        <v>0</v>
      </c>
      <c r="AB26" s="8">
        <f t="shared" si="10"/>
        <v>0</v>
      </c>
      <c r="AC26" s="8">
        <f t="shared" si="11"/>
        <v>0</v>
      </c>
      <c r="AD26" s="8">
        <f t="shared" si="12"/>
        <v>0</v>
      </c>
      <c r="AE26" s="6">
        <f t="shared" si="13"/>
        <v>0</v>
      </c>
      <c r="AF26" s="12"/>
    </row>
    <row r="27" spans="1:32">
      <c r="A27" s="2"/>
      <c r="B27" s="22"/>
      <c r="D27" s="9"/>
      <c r="E27" s="9"/>
      <c r="F27" s="9"/>
      <c r="G27" s="9"/>
      <c r="H27" s="9"/>
      <c r="I27" s="9"/>
      <c r="J27" s="10"/>
      <c r="K27" s="9"/>
      <c r="L27" s="9"/>
      <c r="M27" s="9"/>
      <c r="N27" s="9"/>
      <c r="O27" s="11"/>
      <c r="P27" s="6">
        <f t="shared" si="0"/>
        <v>0</v>
      </c>
      <c r="Q27" s="12"/>
      <c r="S27" s="8">
        <f t="shared" si="1"/>
        <v>0</v>
      </c>
      <c r="T27" s="8">
        <f t="shared" si="2"/>
        <v>0</v>
      </c>
      <c r="U27" s="8">
        <f t="shared" si="3"/>
        <v>0</v>
      </c>
      <c r="V27" s="8">
        <f t="shared" si="4"/>
        <v>0</v>
      </c>
      <c r="W27" s="8">
        <f t="shared" si="5"/>
        <v>0</v>
      </c>
      <c r="X27" s="8">
        <f t="shared" si="6"/>
        <v>0</v>
      </c>
      <c r="Y27" s="8">
        <f t="shared" si="7"/>
        <v>0</v>
      </c>
      <c r="Z27" s="8">
        <f t="shared" si="8"/>
        <v>0</v>
      </c>
      <c r="AA27" s="8">
        <f t="shared" si="9"/>
        <v>0</v>
      </c>
      <c r="AB27" s="8">
        <f t="shared" si="10"/>
        <v>0</v>
      </c>
      <c r="AC27" s="8">
        <f t="shared" si="11"/>
        <v>0</v>
      </c>
      <c r="AD27" s="8">
        <f t="shared" si="12"/>
        <v>0</v>
      </c>
      <c r="AE27" s="6">
        <f t="shared" si="13"/>
        <v>0</v>
      </c>
      <c r="AF27" s="12"/>
    </row>
    <row r="28" spans="1:32">
      <c r="A28" s="2"/>
      <c r="B28" s="22"/>
      <c r="D28" s="9"/>
      <c r="E28" s="9"/>
      <c r="F28" s="9"/>
      <c r="G28" s="9"/>
      <c r="H28" s="9"/>
      <c r="I28" s="9"/>
      <c r="J28" s="10"/>
      <c r="K28" s="9"/>
      <c r="L28" s="9"/>
      <c r="M28" s="9"/>
      <c r="N28" s="9"/>
      <c r="O28" s="11"/>
      <c r="P28" s="6">
        <f t="shared" si="0"/>
        <v>0</v>
      </c>
      <c r="Q28" s="12"/>
      <c r="S28" s="8">
        <f t="shared" si="1"/>
        <v>0</v>
      </c>
      <c r="T28" s="8">
        <f t="shared" si="2"/>
        <v>0</v>
      </c>
      <c r="U28" s="8">
        <f t="shared" si="3"/>
        <v>0</v>
      </c>
      <c r="V28" s="8">
        <f t="shared" si="4"/>
        <v>0</v>
      </c>
      <c r="W28" s="8">
        <f t="shared" si="5"/>
        <v>0</v>
      </c>
      <c r="X28" s="8">
        <f t="shared" si="6"/>
        <v>0</v>
      </c>
      <c r="Y28" s="8">
        <f t="shared" si="7"/>
        <v>0</v>
      </c>
      <c r="Z28" s="8">
        <f t="shared" si="8"/>
        <v>0</v>
      </c>
      <c r="AA28" s="8">
        <f t="shared" si="9"/>
        <v>0</v>
      </c>
      <c r="AB28" s="8">
        <f t="shared" si="10"/>
        <v>0</v>
      </c>
      <c r="AC28" s="8">
        <f t="shared" si="11"/>
        <v>0</v>
      </c>
      <c r="AD28" s="8">
        <f t="shared" si="12"/>
        <v>0</v>
      </c>
      <c r="AE28" s="6">
        <f t="shared" si="13"/>
        <v>0</v>
      </c>
      <c r="AF28" s="12"/>
    </row>
    <row r="29" spans="1:32">
      <c r="A29" s="2"/>
      <c r="B29" s="22"/>
      <c r="D29" s="9"/>
      <c r="E29" s="9"/>
      <c r="F29" s="9"/>
      <c r="G29" s="9"/>
      <c r="H29" s="9"/>
      <c r="I29" s="9"/>
      <c r="J29" s="10"/>
      <c r="K29" s="9"/>
      <c r="L29" s="9"/>
      <c r="M29" s="9"/>
      <c r="N29" s="9"/>
      <c r="O29" s="11"/>
      <c r="P29" s="6">
        <f t="shared" si="0"/>
        <v>0</v>
      </c>
      <c r="Q29" s="12"/>
      <c r="S29" s="8">
        <f t="shared" si="1"/>
        <v>0</v>
      </c>
      <c r="T29" s="8">
        <f t="shared" si="2"/>
        <v>0</v>
      </c>
      <c r="U29" s="8">
        <f t="shared" si="3"/>
        <v>0</v>
      </c>
      <c r="V29" s="8">
        <f t="shared" si="4"/>
        <v>0</v>
      </c>
      <c r="W29" s="8">
        <f t="shared" si="5"/>
        <v>0</v>
      </c>
      <c r="X29" s="8">
        <f t="shared" si="6"/>
        <v>0</v>
      </c>
      <c r="Y29" s="8">
        <f t="shared" si="7"/>
        <v>0</v>
      </c>
      <c r="Z29" s="8">
        <f t="shared" si="8"/>
        <v>0</v>
      </c>
      <c r="AA29" s="8">
        <f t="shared" si="9"/>
        <v>0</v>
      </c>
      <c r="AB29" s="8">
        <f t="shared" si="10"/>
        <v>0</v>
      </c>
      <c r="AC29" s="8">
        <f t="shared" si="11"/>
        <v>0</v>
      </c>
      <c r="AD29" s="8">
        <f t="shared" si="12"/>
        <v>0</v>
      </c>
      <c r="AE29" s="6">
        <f t="shared" si="13"/>
        <v>0</v>
      </c>
      <c r="AF29" s="12"/>
    </row>
    <row r="30" spans="1:32">
      <c r="A30" s="2"/>
      <c r="B30" s="22"/>
      <c r="C30" s="23"/>
      <c r="D30" s="9"/>
      <c r="E30" s="9"/>
      <c r="F30" s="9"/>
      <c r="G30" s="9"/>
      <c r="H30" s="9"/>
      <c r="I30" s="9"/>
      <c r="J30" s="10"/>
      <c r="K30" s="9"/>
      <c r="L30" s="9"/>
      <c r="M30" s="9"/>
      <c r="N30" s="9"/>
      <c r="O30" s="11"/>
      <c r="P30" s="6">
        <f t="shared" si="0"/>
        <v>0</v>
      </c>
      <c r="Q30" s="12"/>
      <c r="S30" s="8">
        <f t="shared" si="1"/>
        <v>0</v>
      </c>
      <c r="T30" s="8">
        <f t="shared" si="2"/>
        <v>0</v>
      </c>
      <c r="U30" s="8">
        <f t="shared" si="3"/>
        <v>0</v>
      </c>
      <c r="V30" s="8">
        <f t="shared" si="4"/>
        <v>0</v>
      </c>
      <c r="W30" s="8">
        <f t="shared" si="5"/>
        <v>0</v>
      </c>
      <c r="X30" s="8">
        <f t="shared" si="6"/>
        <v>0</v>
      </c>
      <c r="Y30" s="8">
        <f t="shared" si="7"/>
        <v>0</v>
      </c>
      <c r="Z30" s="8">
        <f t="shared" si="8"/>
        <v>0</v>
      </c>
      <c r="AA30" s="8">
        <f t="shared" si="9"/>
        <v>0</v>
      </c>
      <c r="AB30" s="8">
        <f t="shared" si="10"/>
        <v>0</v>
      </c>
      <c r="AC30" s="8">
        <f t="shared" si="11"/>
        <v>0</v>
      </c>
      <c r="AD30" s="8">
        <f t="shared" si="12"/>
        <v>0</v>
      </c>
      <c r="AE30" s="6">
        <f t="shared" si="13"/>
        <v>0</v>
      </c>
      <c r="AF30" s="12"/>
    </row>
    <row r="31" spans="1:32">
      <c r="A31" s="2"/>
      <c r="B31" s="22"/>
      <c r="D31" s="9"/>
      <c r="E31" s="9"/>
      <c r="F31" s="9"/>
      <c r="G31" s="9"/>
      <c r="H31" s="9"/>
      <c r="I31" s="9"/>
      <c r="J31" s="10"/>
      <c r="K31" s="9"/>
      <c r="L31" s="9"/>
      <c r="M31" s="9"/>
      <c r="N31" s="9"/>
      <c r="O31" s="11"/>
      <c r="P31" s="6">
        <f t="shared" si="0"/>
        <v>0</v>
      </c>
      <c r="Q31" s="12"/>
      <c r="S31" s="8">
        <f t="shared" si="1"/>
        <v>0</v>
      </c>
      <c r="T31" s="8">
        <f t="shared" si="2"/>
        <v>0</v>
      </c>
      <c r="U31" s="8">
        <f t="shared" si="3"/>
        <v>0</v>
      </c>
      <c r="V31" s="8">
        <f t="shared" si="4"/>
        <v>0</v>
      </c>
      <c r="W31" s="8">
        <f t="shared" si="5"/>
        <v>0</v>
      </c>
      <c r="X31" s="8">
        <f t="shared" si="6"/>
        <v>0</v>
      </c>
      <c r="Y31" s="8">
        <f t="shared" si="7"/>
        <v>0</v>
      </c>
      <c r="Z31" s="8">
        <f t="shared" si="8"/>
        <v>0</v>
      </c>
      <c r="AA31" s="8">
        <f t="shared" si="9"/>
        <v>0</v>
      </c>
      <c r="AB31" s="8">
        <f t="shared" si="10"/>
        <v>0</v>
      </c>
      <c r="AC31" s="8">
        <f t="shared" si="11"/>
        <v>0</v>
      </c>
      <c r="AD31" s="8">
        <f t="shared" si="12"/>
        <v>0</v>
      </c>
      <c r="AE31" s="6">
        <f t="shared" si="13"/>
        <v>0</v>
      </c>
      <c r="AF31" s="12"/>
    </row>
    <row r="32" spans="1:32">
      <c r="A32" s="2"/>
      <c r="B32" s="22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11"/>
      <c r="P32" s="6">
        <f t="shared" si="0"/>
        <v>0</v>
      </c>
      <c r="Q32" s="12"/>
      <c r="S32" s="8">
        <f t="shared" si="1"/>
        <v>0</v>
      </c>
      <c r="T32" s="8">
        <f t="shared" si="2"/>
        <v>0</v>
      </c>
      <c r="U32" s="8">
        <f t="shared" si="3"/>
        <v>0</v>
      </c>
      <c r="V32" s="8">
        <f t="shared" si="4"/>
        <v>0</v>
      </c>
      <c r="W32" s="8">
        <f t="shared" si="5"/>
        <v>0</v>
      </c>
      <c r="X32" s="8">
        <f t="shared" si="6"/>
        <v>0</v>
      </c>
      <c r="Y32" s="8">
        <f t="shared" si="7"/>
        <v>0</v>
      </c>
      <c r="Z32" s="8">
        <f t="shared" si="8"/>
        <v>0</v>
      </c>
      <c r="AA32" s="8">
        <f t="shared" si="9"/>
        <v>0</v>
      </c>
      <c r="AB32" s="8">
        <f t="shared" si="10"/>
        <v>0</v>
      </c>
      <c r="AC32" s="8">
        <f t="shared" si="11"/>
        <v>0</v>
      </c>
      <c r="AD32" s="8">
        <f t="shared" si="12"/>
        <v>0</v>
      </c>
      <c r="AE32" s="6">
        <f t="shared" si="13"/>
        <v>0</v>
      </c>
      <c r="AF32" s="12"/>
    </row>
    <row r="33" spans="1:32">
      <c r="A33" s="2"/>
      <c r="B33" s="22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/>
      <c r="P33" s="6">
        <f t="shared" si="0"/>
        <v>0</v>
      </c>
      <c r="Q33" s="12"/>
      <c r="S33" s="8">
        <f t="shared" si="1"/>
        <v>0</v>
      </c>
      <c r="T33" s="8">
        <f t="shared" si="2"/>
        <v>0</v>
      </c>
      <c r="U33" s="8">
        <f t="shared" si="3"/>
        <v>0</v>
      </c>
      <c r="V33" s="8">
        <f t="shared" si="4"/>
        <v>0</v>
      </c>
      <c r="W33" s="8">
        <f t="shared" si="5"/>
        <v>0</v>
      </c>
      <c r="X33" s="8">
        <f t="shared" si="6"/>
        <v>0</v>
      </c>
      <c r="Y33" s="8">
        <f t="shared" si="7"/>
        <v>0</v>
      </c>
      <c r="Z33" s="8">
        <f t="shared" si="8"/>
        <v>0</v>
      </c>
      <c r="AA33" s="8">
        <f t="shared" si="9"/>
        <v>0</v>
      </c>
      <c r="AB33" s="8">
        <f t="shared" si="10"/>
        <v>0</v>
      </c>
      <c r="AC33" s="8">
        <f t="shared" si="11"/>
        <v>0</v>
      </c>
      <c r="AD33" s="8">
        <f t="shared" si="12"/>
        <v>0</v>
      </c>
      <c r="AE33" s="6">
        <f t="shared" si="13"/>
        <v>0</v>
      </c>
      <c r="AF33" s="12"/>
    </row>
    <row r="34" spans="1:32">
      <c r="A34" s="2"/>
      <c r="B34" s="2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11"/>
      <c r="P34" s="6">
        <f t="shared" si="0"/>
        <v>0</v>
      </c>
      <c r="Q34" s="12"/>
      <c r="S34" s="8">
        <f t="shared" si="1"/>
        <v>0</v>
      </c>
      <c r="T34" s="8">
        <f t="shared" si="2"/>
        <v>0</v>
      </c>
      <c r="U34" s="8">
        <f t="shared" si="3"/>
        <v>0</v>
      </c>
      <c r="V34" s="8">
        <f t="shared" si="4"/>
        <v>0</v>
      </c>
      <c r="W34" s="8">
        <f t="shared" si="5"/>
        <v>0</v>
      </c>
      <c r="X34" s="8">
        <f t="shared" si="6"/>
        <v>0</v>
      </c>
      <c r="Y34" s="8">
        <f t="shared" si="7"/>
        <v>0</v>
      </c>
      <c r="Z34" s="8">
        <f t="shared" si="8"/>
        <v>0</v>
      </c>
      <c r="AA34" s="8">
        <f t="shared" si="9"/>
        <v>0</v>
      </c>
      <c r="AB34" s="8">
        <f t="shared" si="10"/>
        <v>0</v>
      </c>
      <c r="AC34" s="8">
        <f t="shared" si="11"/>
        <v>0</v>
      </c>
      <c r="AD34" s="8">
        <f t="shared" si="12"/>
        <v>0</v>
      </c>
      <c r="AE34" s="6">
        <f t="shared" si="13"/>
        <v>0</v>
      </c>
      <c r="AF34" s="12"/>
    </row>
    <row r="35" spans="1:32">
      <c r="A35" s="2"/>
      <c r="B35" s="22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11"/>
      <c r="P35" s="6">
        <f t="shared" si="0"/>
        <v>0</v>
      </c>
      <c r="Q35" s="12"/>
      <c r="S35" s="8">
        <f t="shared" si="1"/>
        <v>0</v>
      </c>
      <c r="T35" s="8">
        <f t="shared" si="2"/>
        <v>0</v>
      </c>
      <c r="U35" s="8">
        <f t="shared" si="3"/>
        <v>0</v>
      </c>
      <c r="V35" s="8">
        <f t="shared" si="4"/>
        <v>0</v>
      </c>
      <c r="W35" s="8">
        <f t="shared" si="5"/>
        <v>0</v>
      </c>
      <c r="X35" s="8">
        <f t="shared" si="6"/>
        <v>0</v>
      </c>
      <c r="Y35" s="8">
        <f t="shared" si="7"/>
        <v>0</v>
      </c>
      <c r="Z35" s="8">
        <f t="shared" si="8"/>
        <v>0</v>
      </c>
      <c r="AA35" s="8">
        <f t="shared" si="9"/>
        <v>0</v>
      </c>
      <c r="AB35" s="8">
        <f t="shared" si="10"/>
        <v>0</v>
      </c>
      <c r="AC35" s="8">
        <f t="shared" si="11"/>
        <v>0</v>
      </c>
      <c r="AD35" s="8">
        <f t="shared" si="12"/>
        <v>0</v>
      </c>
      <c r="AE35" s="6">
        <f t="shared" si="13"/>
        <v>0</v>
      </c>
      <c r="AF35" s="12"/>
    </row>
    <row r="36" spans="1:32">
      <c r="A36" s="2"/>
      <c r="B36" s="22"/>
      <c r="D36" s="25"/>
      <c r="E36" s="25"/>
      <c r="F36" s="25"/>
      <c r="G36" s="25">
        <v>20</v>
      </c>
      <c r="H36" s="25"/>
      <c r="I36" s="25"/>
      <c r="J36" s="25"/>
      <c r="K36" s="25"/>
      <c r="L36" s="25">
        <v>25</v>
      </c>
      <c r="M36" s="25">
        <v>25</v>
      </c>
      <c r="N36" s="25"/>
      <c r="O36" s="11"/>
      <c r="P36" s="6">
        <f t="shared" si="0"/>
        <v>70</v>
      </c>
      <c r="Q36" s="12"/>
      <c r="S36" s="8">
        <f t="shared" si="1"/>
        <v>0</v>
      </c>
      <c r="T36" s="8">
        <f t="shared" si="2"/>
        <v>0</v>
      </c>
      <c r="U36" s="8">
        <f t="shared" si="3"/>
        <v>0</v>
      </c>
      <c r="V36" s="8">
        <f t="shared" si="4"/>
        <v>90.94</v>
      </c>
      <c r="W36" s="8">
        <f t="shared" si="5"/>
        <v>0</v>
      </c>
      <c r="X36" s="8">
        <f t="shared" si="6"/>
        <v>0</v>
      </c>
      <c r="Y36" s="8">
        <f t="shared" si="7"/>
        <v>0</v>
      </c>
      <c r="Z36" s="8">
        <f t="shared" si="8"/>
        <v>0</v>
      </c>
      <c r="AA36" s="8">
        <f t="shared" si="9"/>
        <v>113.675</v>
      </c>
      <c r="AB36" s="8">
        <f t="shared" si="10"/>
        <v>113.675</v>
      </c>
      <c r="AC36" s="8">
        <f t="shared" si="11"/>
        <v>0</v>
      </c>
      <c r="AD36" s="8">
        <f t="shared" si="12"/>
        <v>0</v>
      </c>
      <c r="AE36" s="6">
        <f t="shared" si="13"/>
        <v>318.29</v>
      </c>
      <c r="AF36" s="12"/>
    </row>
    <row r="37" spans="1:32">
      <c r="A37" s="2"/>
      <c r="B37" s="22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11"/>
      <c r="P37" s="6">
        <f t="shared" si="0"/>
        <v>0</v>
      </c>
      <c r="Q37" s="12"/>
      <c r="S37" s="8">
        <f t="shared" si="1"/>
        <v>0</v>
      </c>
      <c r="T37" s="8">
        <f t="shared" si="2"/>
        <v>0</v>
      </c>
      <c r="U37" s="8">
        <f t="shared" si="3"/>
        <v>0</v>
      </c>
      <c r="V37" s="8">
        <f t="shared" si="4"/>
        <v>0</v>
      </c>
      <c r="W37" s="8">
        <f t="shared" si="5"/>
        <v>0</v>
      </c>
      <c r="X37" s="8">
        <f t="shared" si="6"/>
        <v>0</v>
      </c>
      <c r="Y37" s="8">
        <f t="shared" si="7"/>
        <v>0</v>
      </c>
      <c r="Z37" s="8">
        <f t="shared" si="8"/>
        <v>0</v>
      </c>
      <c r="AA37" s="8">
        <f t="shared" si="9"/>
        <v>0</v>
      </c>
      <c r="AB37" s="8">
        <f t="shared" si="10"/>
        <v>0</v>
      </c>
      <c r="AC37" s="8">
        <f t="shared" si="11"/>
        <v>0</v>
      </c>
      <c r="AD37" s="8">
        <f t="shared" si="12"/>
        <v>0</v>
      </c>
      <c r="AE37" s="6">
        <f t="shared" si="13"/>
        <v>0</v>
      </c>
      <c r="AF37" s="12"/>
    </row>
    <row r="38" spans="1:32">
      <c r="A38" s="2"/>
      <c r="B38" s="2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11"/>
      <c r="P38" s="6">
        <f t="shared" si="0"/>
        <v>0</v>
      </c>
      <c r="Q38" s="12"/>
      <c r="S38" s="8">
        <f t="shared" si="1"/>
        <v>0</v>
      </c>
      <c r="T38" s="8">
        <f t="shared" si="2"/>
        <v>0</v>
      </c>
      <c r="U38" s="8">
        <f t="shared" si="3"/>
        <v>0</v>
      </c>
      <c r="V38" s="8">
        <f t="shared" si="4"/>
        <v>0</v>
      </c>
      <c r="W38" s="8">
        <f t="shared" si="5"/>
        <v>0</v>
      </c>
      <c r="X38" s="8">
        <f t="shared" si="6"/>
        <v>0</v>
      </c>
      <c r="Y38" s="8">
        <f t="shared" si="7"/>
        <v>0</v>
      </c>
      <c r="Z38" s="8">
        <f t="shared" si="8"/>
        <v>0</v>
      </c>
      <c r="AA38" s="8">
        <f t="shared" si="9"/>
        <v>0</v>
      </c>
      <c r="AB38" s="8">
        <f t="shared" si="10"/>
        <v>0</v>
      </c>
      <c r="AC38" s="8">
        <f t="shared" si="11"/>
        <v>0</v>
      </c>
      <c r="AD38" s="8">
        <f t="shared" si="12"/>
        <v>0</v>
      </c>
      <c r="AE38" s="6">
        <f t="shared" si="13"/>
        <v>0</v>
      </c>
      <c r="AF38" s="12"/>
    </row>
    <row r="39" spans="1:32">
      <c r="A39" s="2"/>
      <c r="B39" s="22"/>
      <c r="D39" s="6">
        <f t="shared" ref="D39:O39" si="14">SUM(D2:D38)</f>
        <v>0</v>
      </c>
      <c r="E39" s="6">
        <f t="shared" si="14"/>
        <v>55</v>
      </c>
      <c r="F39" s="6">
        <f t="shared" si="14"/>
        <v>0</v>
      </c>
      <c r="G39" s="6">
        <f t="shared" si="14"/>
        <v>20</v>
      </c>
      <c r="H39" s="6">
        <f t="shared" si="14"/>
        <v>0</v>
      </c>
      <c r="I39" s="6">
        <f t="shared" si="14"/>
        <v>55</v>
      </c>
      <c r="J39" s="6">
        <f t="shared" si="14"/>
        <v>0</v>
      </c>
      <c r="K39" s="6">
        <f t="shared" si="14"/>
        <v>55</v>
      </c>
      <c r="L39" s="6">
        <f t="shared" si="14"/>
        <v>35</v>
      </c>
      <c r="M39" s="6">
        <f t="shared" si="14"/>
        <v>25</v>
      </c>
      <c r="N39" s="6">
        <f t="shared" si="14"/>
        <v>0</v>
      </c>
      <c r="O39" s="6">
        <f t="shared" si="14"/>
        <v>0</v>
      </c>
      <c r="P39" s="6">
        <f t="shared" si="0"/>
        <v>245</v>
      </c>
      <c r="Q39" s="12"/>
      <c r="S39" s="6">
        <f t="shared" ref="S39:AD39" si="15">SUM(S2:S38)</f>
        <v>0</v>
      </c>
      <c r="T39" s="6">
        <f t="shared" si="15"/>
        <v>250.085</v>
      </c>
      <c r="U39" s="6">
        <f t="shared" si="15"/>
        <v>0</v>
      </c>
      <c r="V39" s="6">
        <f t="shared" si="15"/>
        <v>90.94</v>
      </c>
      <c r="W39" s="6">
        <f t="shared" si="15"/>
        <v>0</v>
      </c>
      <c r="X39" s="6">
        <f t="shared" si="15"/>
        <v>250.085</v>
      </c>
      <c r="Y39" s="6">
        <f t="shared" si="15"/>
        <v>0</v>
      </c>
      <c r="Z39" s="6">
        <f t="shared" si="15"/>
        <v>250.085</v>
      </c>
      <c r="AA39" s="6">
        <f t="shared" si="15"/>
        <v>159.145</v>
      </c>
      <c r="AB39" s="6">
        <f t="shared" si="15"/>
        <v>113.675</v>
      </c>
      <c r="AC39" s="6">
        <f t="shared" si="15"/>
        <v>0</v>
      </c>
      <c r="AD39" s="6">
        <f t="shared" si="15"/>
        <v>0</v>
      </c>
      <c r="AE39" s="6">
        <f t="shared" si="13"/>
        <v>1114.015</v>
      </c>
      <c r="AF39" s="12"/>
    </row>
    <row r="40" ht="46.2" spans="1:32">
      <c r="A40" s="2"/>
      <c r="B40" s="22"/>
      <c r="Q40" s="23">
        <f>Q2*B10</f>
        <v>1114.015</v>
      </c>
      <c r="AF40" s="28">
        <f>Q40-AE39</f>
        <v>0</v>
      </c>
    </row>
    <row r="41" spans="1:32">
      <c r="A41" s="2"/>
      <c r="B41" s="22"/>
    </row>
    <row r="42" spans="1:32">
      <c r="A42" s="2"/>
      <c r="B42" s="22"/>
    </row>
    <row r="43" spans="1:32">
      <c r="G43" t="s">
        <v>118</v>
      </c>
    </row>
  </sheetData>
  <mergeCells count="4">
    <mergeCell ref="B10:B11"/>
    <mergeCell ref="Q2:Q39"/>
    <mergeCell ref="R12:R24"/>
    <mergeCell ref="AF2:AF3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6" master="" otherUserPermission="visible"/>
  <rangeList sheetStid="9" master="" otherUserPermission="visible"/>
  <rangeList sheetStid="8" master="" otherUserPermission="visible"/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KHACH HANG</vt:lpstr>
      <vt:lpstr>SL TỔNG THEO SẢN PHẨM</vt:lpstr>
      <vt:lpstr>THEO KHÁCH HÀNG</vt:lpstr>
      <vt:lpstr>DMSP</vt:lpstr>
      <vt:lpstr>IN</vt:lpstr>
      <vt:lpstr>CHUYEN SỐ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nktam</dc:creator>
  <cp:lastModifiedBy>GIGABYTE</cp:lastModifiedBy>
  <dcterms:created xsi:type="dcterms:W3CDTF">2018-01-24T09:15:00Z</dcterms:created>
  <cp:lastPrinted>2019-01-10T04:14:00Z</cp:lastPrinted>
  <dcterms:modified xsi:type="dcterms:W3CDTF">2026-05-17T05:06:46Z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6EC79AD8C69148F39293AE05E313ECC9_12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